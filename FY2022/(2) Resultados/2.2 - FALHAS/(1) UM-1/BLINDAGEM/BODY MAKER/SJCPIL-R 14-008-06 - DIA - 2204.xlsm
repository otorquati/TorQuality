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1) UM-1\BLINDAGEM\BODY MAKER\"/>
    </mc:Choice>
  </mc:AlternateContent>
  <xr:revisionPtr revIDLastSave="0" documentId="13_ncr:1_{603631A4-388B-4978-B461-703CC948B502}" xr6:coauthVersionLast="47" xr6:coauthVersionMax="47" xr10:uidLastSave="{00000000-0000-0000-0000-000000000000}"/>
  <workbookProtection workbookAlgorithmName="SHA-512" workbookHashValue="BdVIxiXvX8bdb/qceRpDEkBUQt1aCbQ5+s6u3yWXaHChV+6n2Sw1djAhFfuO9sCOqcSYxqhj+JyX1dNozuIEhQ==" workbookSaltValue="OzkARABWj51F5NnG0Dg8Qg==" workbookSpinCount="100000" lockStructure="1"/>
  <bookViews>
    <workbookView xWindow="-120" yWindow="-120" windowWidth="29040" windowHeight="16440" activeTab="5" xr2:uid="{00000000-000D-0000-FFFF-FFFF00000000}"/>
  </bookViews>
  <sheets>
    <sheet name="Instruções de Uso" sheetId="8" r:id="rId1"/>
    <sheet name="SJCPIL-R 14-008-06 - Máq. 1" sheetId="3" r:id="rId2"/>
    <sheet name="SJCPIL-R 14-008-06 - Máq. 2" sheetId="6" r:id="rId3"/>
    <sheet name="SJCPIL-R 14-008-06 - Máq. 3" sheetId="7" r:id="rId4"/>
    <sheet name="RESUMO DIÁRIO" sheetId="9" r:id="rId5"/>
    <sheet name="Pareto" sheetId="10" r:id="rId6"/>
  </sheets>
  <externalReferences>
    <externalReference r:id="rId7"/>
  </externalReferences>
  <definedNames>
    <definedName name="_xlnm.Print_Area" localSheetId="4">'RESUMO DIÁRIO'!$A$1:$AK$32</definedName>
    <definedName name="_xlnm.Print_Area" localSheetId="1">'SJCPIL-R 14-008-06 - Máq. 1'!$A$1:$AB$34</definedName>
    <definedName name="_xlnm.Print_Area" localSheetId="2">'SJCPIL-R 14-008-06 - Máq. 2'!$A$1:$AB$34</definedName>
    <definedName name="_xlnm.Print_Area" localSheetId="3">'SJCPIL-R 14-008-06 - Máq. 3'!$A$1:$AB$34</definedName>
    <definedName name="FALHAS_TOTAL_M1D">'SJCPIL-R 14-008-06 - Máq. 1'!$AA$19</definedName>
    <definedName name="FALHAS_TOTAL_M2D">'SJCPIL-R 14-008-06 - Máq. 2'!$AA$19</definedName>
    <definedName name="FALHAS_TOTAL_M3D">'SJCPIL-R 14-008-06 - Máq. 3'!$AA$19</definedName>
    <definedName name="PROD_TOTAL_M1D">'SJCPIL-R 14-008-06 - Máq. 1'!$AA$5</definedName>
    <definedName name="PROD_TOTAL_M2D">'SJCPIL-R 14-008-06 - Máq. 2'!$AA$5</definedName>
    <definedName name="PROD_TOTAL_M3D">'SJCPIL-R 14-008-06 - Máq. 3'!$AA$5</definedName>
    <definedName name="TARGET_BLD_UM_1">'SJCPIL-R 14-008-06 - Máq. 1'!$D$36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7" l="1"/>
  <c r="AA17" i="7"/>
  <c r="AA18" i="6"/>
  <c r="AA17" i="6"/>
  <c r="AA18" i="3"/>
  <c r="AA17" i="3"/>
  <c r="Z1" i="3"/>
  <c r="D36" i="3"/>
  <c r="C6" i="7"/>
  <c r="C7" i="7"/>
  <c r="C8" i="7"/>
  <c r="C9" i="7"/>
  <c r="C10" i="7"/>
  <c r="C11" i="7"/>
  <c r="C12" i="7"/>
  <c r="C13" i="7"/>
  <c r="C14" i="7"/>
  <c r="C15" i="7"/>
  <c r="C6" i="6"/>
  <c r="C7" i="6"/>
  <c r="C8" i="6"/>
  <c r="C9" i="6"/>
  <c r="C10" i="6"/>
  <c r="C11" i="6"/>
  <c r="C12" i="6"/>
  <c r="C13" i="6"/>
  <c r="C14" i="6"/>
  <c r="C15" i="6"/>
  <c r="W1" i="7" l="1"/>
  <c r="W1" i="6"/>
  <c r="Z1" i="7"/>
  <c r="Z1" i="6" l="1"/>
  <c r="P1" i="7"/>
  <c r="P1" i="6"/>
  <c r="AP16" i="9" l="1"/>
  <c r="AP15" i="9"/>
  <c r="AO16" i="9"/>
  <c r="AO15" i="9"/>
  <c r="AN16" i="9"/>
  <c r="AN15" i="9"/>
  <c r="AQ15" i="9" l="1"/>
  <c r="AR15" i="9" s="1"/>
  <c r="AQ16" i="9"/>
  <c r="AR16" i="9" s="1"/>
  <c r="D36" i="6" l="1"/>
  <c r="D36" i="7"/>
  <c r="E16" i="6"/>
  <c r="E16" i="7"/>
  <c r="K16" i="7" l="1"/>
  <c r="AA15" i="6" l="1"/>
  <c r="AO14" i="9" s="1"/>
  <c r="AA14" i="6"/>
  <c r="AO13" i="9" s="1"/>
  <c r="AA13" i="6"/>
  <c r="AO12" i="9" s="1"/>
  <c r="AA12" i="6"/>
  <c r="AO11" i="9" s="1"/>
  <c r="AA11" i="6"/>
  <c r="AO10" i="9" s="1"/>
  <c r="AA10" i="6"/>
  <c r="AO9" i="9" s="1"/>
  <c r="AA9" i="6"/>
  <c r="AO8" i="9" s="1"/>
  <c r="AA8" i="6"/>
  <c r="AO7" i="9" s="1"/>
  <c r="AA7" i="6"/>
  <c r="AO6" i="9" s="1"/>
  <c r="AA6" i="6"/>
  <c r="AO5" i="9" s="1"/>
  <c r="AA15" i="7"/>
  <c r="AP14" i="9" s="1"/>
  <c r="AA14" i="7"/>
  <c r="AP13" i="9" s="1"/>
  <c r="AA13" i="7"/>
  <c r="AP12" i="9" s="1"/>
  <c r="AA12" i="7"/>
  <c r="AP11" i="9" s="1"/>
  <c r="AA11" i="7"/>
  <c r="AP10" i="9" s="1"/>
  <c r="AA10" i="7"/>
  <c r="AP9" i="9" s="1"/>
  <c r="AA9" i="7"/>
  <c r="AP8" i="9" s="1"/>
  <c r="AA8" i="7"/>
  <c r="AP7" i="9" s="1"/>
  <c r="AA7" i="7"/>
  <c r="AP6" i="9" s="1"/>
  <c r="AA6" i="7"/>
  <c r="AP5" i="9" s="1"/>
  <c r="AA15" i="3"/>
  <c r="AN14" i="9" s="1"/>
  <c r="AA14" i="3"/>
  <c r="AN13" i="9" s="1"/>
  <c r="AA13" i="3"/>
  <c r="AN12" i="9" s="1"/>
  <c r="AA12" i="3"/>
  <c r="AN11" i="9" s="1"/>
  <c r="AA11" i="3"/>
  <c r="AN10" i="9" s="1"/>
  <c r="AA10" i="3"/>
  <c r="AN9" i="9" s="1"/>
  <c r="AA9" i="3"/>
  <c r="AN8" i="9" s="1"/>
  <c r="AA8" i="3"/>
  <c r="AN7" i="9" s="1"/>
  <c r="AA7" i="3"/>
  <c r="AN6" i="9" s="1"/>
  <c r="AA6" i="3"/>
  <c r="AN5" i="9" s="1"/>
  <c r="AA5" i="6"/>
  <c r="AO4" i="9" s="1"/>
  <c r="AA5" i="7"/>
  <c r="AP4" i="9" s="1"/>
  <c r="AA5" i="3"/>
  <c r="AN4" i="9" s="1"/>
  <c r="AQ13" i="9" l="1"/>
  <c r="AR13" i="9" s="1"/>
  <c r="AQ6" i="9"/>
  <c r="AR6" i="9" s="1"/>
  <c r="AQ11" i="9"/>
  <c r="AR11" i="9" s="1"/>
  <c r="AQ7" i="9"/>
  <c r="AR7" i="9" s="1"/>
  <c r="AQ9" i="9"/>
  <c r="AR9" i="9" s="1"/>
  <c r="AQ10" i="9"/>
  <c r="AR10" i="9" s="1"/>
  <c r="AQ14" i="9"/>
  <c r="AR14" i="9" s="1"/>
  <c r="AP17" i="9"/>
  <c r="AP18" i="9" s="1"/>
  <c r="AQ8" i="9"/>
  <c r="AR8" i="9" s="1"/>
  <c r="AQ4" i="9"/>
  <c r="AQ12" i="9"/>
  <c r="AR12" i="9" s="1"/>
  <c r="AO17" i="9"/>
  <c r="AO18" i="9" s="1"/>
  <c r="AQ5" i="9"/>
  <c r="AN17" i="9"/>
  <c r="AN18" i="9" s="1"/>
  <c r="D16" i="3"/>
  <c r="D19" i="3" s="1"/>
  <c r="D20" i="3" s="1"/>
  <c r="AR5" i="9" l="1"/>
  <c r="AQ17" i="9"/>
  <c r="AQ18" i="9" s="1"/>
  <c r="O16" i="3"/>
  <c r="O19" i="3" s="1"/>
  <c r="O20" i="3" s="1"/>
  <c r="P16" i="3"/>
  <c r="P19" i="3" s="1"/>
  <c r="P20" i="3" s="1"/>
  <c r="O21" i="3"/>
  <c r="P21" i="3"/>
  <c r="O16" i="7"/>
  <c r="O19" i="7" s="1"/>
  <c r="O20" i="7" s="1"/>
  <c r="P16" i="7"/>
  <c r="P19" i="7" s="1"/>
  <c r="P20" i="7" s="1"/>
  <c r="O21" i="7"/>
  <c r="P21" i="7"/>
  <c r="O16" i="6"/>
  <c r="O19" i="6" s="1"/>
  <c r="O20" i="6" s="1"/>
  <c r="P16" i="6"/>
  <c r="P19" i="6" s="1"/>
  <c r="P20" i="6" s="1"/>
  <c r="O21" i="6"/>
  <c r="P21" i="6"/>
  <c r="AS11" i="9" l="1"/>
  <c r="AT11" i="9" s="1"/>
  <c r="AS12" i="9"/>
  <c r="AT12" i="9" s="1"/>
  <c r="AS13" i="9"/>
  <c r="AT13" i="9" s="1"/>
  <c r="AS7" i="9"/>
  <c r="AT7" i="9" s="1"/>
  <c r="AS15" i="9"/>
  <c r="AT15" i="9" s="1"/>
  <c r="AS14" i="9"/>
  <c r="AT14" i="9" s="1"/>
  <c r="AS8" i="9"/>
  <c r="AT8" i="9" s="1"/>
  <c r="AS16" i="9"/>
  <c r="AT16" i="9" s="1"/>
  <c r="AS6" i="9"/>
  <c r="AT6" i="9" s="1"/>
  <c r="AS9" i="9"/>
  <c r="AT9" i="9" s="1"/>
  <c r="AS5" i="9"/>
  <c r="AT5" i="9" s="1"/>
  <c r="AS10" i="9"/>
  <c r="AT10" i="9" s="1"/>
  <c r="A31" i="7"/>
  <c r="A31" i="6"/>
  <c r="AV16" i="9" l="1"/>
  <c r="AU16" i="9"/>
  <c r="AV8" i="9"/>
  <c r="AU8" i="9"/>
  <c r="AU14" i="9"/>
  <c r="AV14" i="9"/>
  <c r="AV15" i="9"/>
  <c r="AU15" i="9"/>
  <c r="AV7" i="9"/>
  <c r="AU7" i="9"/>
  <c r="AU13" i="9"/>
  <c r="AV13" i="9"/>
  <c r="AU6" i="9"/>
  <c r="AV6" i="9"/>
  <c r="AV10" i="9"/>
  <c r="AU10" i="9"/>
  <c r="AV5" i="9"/>
  <c r="AU5" i="9"/>
  <c r="AV9" i="9"/>
  <c r="AU9" i="9"/>
  <c r="AU12" i="9"/>
  <c r="AV12" i="9"/>
  <c r="AU11" i="9"/>
  <c r="AV11" i="9"/>
  <c r="D16" i="7"/>
  <c r="D19" i="7" s="1"/>
  <c r="D20" i="7" s="1"/>
  <c r="AV17" i="9" l="1"/>
  <c r="AW5" i="9"/>
  <c r="AX5" i="9" s="1"/>
  <c r="D5" i="9" a="1"/>
  <c r="D5" i="9" s="1"/>
  <c r="D6" i="9" a="1"/>
  <c r="D6" i="9" s="1"/>
  <c r="D9" i="9" a="1"/>
  <c r="D9" i="9" s="1"/>
  <c r="D11" i="9" a="1"/>
  <c r="D11" i="9" s="1"/>
  <c r="D12" i="9" a="1"/>
  <c r="D12" i="9" s="1"/>
  <c r="D8" i="9" a="1"/>
  <c r="D8" i="9" s="1"/>
  <c r="AY5" i="9" l="1"/>
  <c r="AW6" i="9"/>
  <c r="I16" i="7"/>
  <c r="I19" i="7" s="1"/>
  <c r="I20" i="7" s="1"/>
  <c r="J16" i="7"/>
  <c r="J19" i="7" s="1"/>
  <c r="J20" i="7" s="1"/>
  <c r="K19" i="7"/>
  <c r="K20" i="7" s="1"/>
  <c r="L16" i="7"/>
  <c r="L19" i="7" s="1"/>
  <c r="L20" i="7" s="1"/>
  <c r="M16" i="7"/>
  <c r="M19" i="7" s="1"/>
  <c r="M20" i="7" s="1"/>
  <c r="N16" i="7"/>
  <c r="N19" i="7" s="1"/>
  <c r="N20" i="7" s="1"/>
  <c r="AX6" i="9" l="1"/>
  <c r="AW7" i="9"/>
  <c r="E19" i="7"/>
  <c r="E20" i="7" s="1"/>
  <c r="F16" i="7"/>
  <c r="F19" i="7" s="1"/>
  <c r="F20" i="7" s="1"/>
  <c r="F16" i="6"/>
  <c r="F19" i="6" s="1"/>
  <c r="F20" i="6" s="1"/>
  <c r="G16" i="6"/>
  <c r="G19" i="6" s="1"/>
  <c r="G20" i="6" s="1"/>
  <c r="G16" i="7"/>
  <c r="G19" i="7" s="1"/>
  <c r="G20" i="7" s="1"/>
  <c r="AX7" i="9" l="1"/>
  <c r="AW8" i="9"/>
  <c r="E19" i="6"/>
  <c r="E20" i="6" s="1"/>
  <c r="P7" i="9"/>
  <c r="AW9" i="9" l="1"/>
  <c r="AX8" i="9"/>
  <c r="AW10" i="9" l="1"/>
  <c r="AX9" i="9"/>
  <c r="AB5" i="9" a="1"/>
  <c r="AB5" i="9" s="1"/>
  <c r="AF5" i="9" a="1"/>
  <c r="AF5" i="9" s="1"/>
  <c r="AW11" i="9" l="1"/>
  <c r="AX10" i="9"/>
  <c r="Q16" i="6"/>
  <c r="Q19" i="6" s="1"/>
  <c r="Q20" i="6" s="1"/>
  <c r="R16" i="6"/>
  <c r="R19" i="6" s="1"/>
  <c r="R20" i="6" s="1"/>
  <c r="S16" i="6"/>
  <c r="S19" i="6" s="1"/>
  <c r="S20" i="6" s="1"/>
  <c r="T16" i="6"/>
  <c r="T19" i="6" s="1"/>
  <c r="T20" i="6" s="1"/>
  <c r="U16" i="6"/>
  <c r="U19" i="6" s="1"/>
  <c r="U20" i="6" s="1"/>
  <c r="Q16" i="3"/>
  <c r="Q19" i="3" s="1"/>
  <c r="Q20" i="3" s="1"/>
  <c r="R16" i="3"/>
  <c r="R19" i="3" s="1"/>
  <c r="R20" i="3" s="1"/>
  <c r="S16" i="3"/>
  <c r="S19" i="3" s="1"/>
  <c r="S20" i="3" s="1"/>
  <c r="T16" i="3"/>
  <c r="T19" i="3" s="1"/>
  <c r="T20" i="3" s="1"/>
  <c r="U16" i="3"/>
  <c r="U19" i="3" s="1"/>
  <c r="U20" i="3" s="1"/>
  <c r="V16" i="3"/>
  <c r="V19" i="3" s="1"/>
  <c r="V20" i="3" s="1"/>
  <c r="AH5" i="9" a="1"/>
  <c r="AH5" i="9" s="1"/>
  <c r="AI5" i="9" a="1"/>
  <c r="AI5" i="9" s="1"/>
  <c r="AH6" i="9" a="1"/>
  <c r="AH6" i="9" s="1"/>
  <c r="AI6" i="9" a="1"/>
  <c r="AI6" i="9" s="1"/>
  <c r="AH7" i="9" a="1"/>
  <c r="AH7" i="9" s="1"/>
  <c r="AI7" i="9" a="1"/>
  <c r="AI7" i="9" s="1"/>
  <c r="AH8" i="9" a="1"/>
  <c r="AH8" i="9" s="1"/>
  <c r="AI8" i="9" a="1"/>
  <c r="AI8" i="9" s="1"/>
  <c r="AH9" i="9" a="1"/>
  <c r="AH9" i="9" s="1"/>
  <c r="AI9" i="9" a="1"/>
  <c r="AI9" i="9" s="1"/>
  <c r="AH10" i="9" a="1"/>
  <c r="AH10" i="9" s="1"/>
  <c r="AI10" i="9" a="1"/>
  <c r="AI10" i="9" s="1"/>
  <c r="AH11" i="9" a="1"/>
  <c r="AH11" i="9" s="1"/>
  <c r="AI11" i="9" a="1"/>
  <c r="AI11" i="9" s="1"/>
  <c r="AH12" i="9" a="1"/>
  <c r="AH12" i="9" s="1"/>
  <c r="AI12" i="9" a="1"/>
  <c r="AI12" i="9" s="1"/>
  <c r="AH13" i="9" a="1"/>
  <c r="AH13" i="9" s="1"/>
  <c r="AI13" i="9" a="1"/>
  <c r="AI13" i="9" s="1"/>
  <c r="AH14" i="9" a="1"/>
  <c r="AH14" i="9" s="1"/>
  <c r="AI14" i="9" a="1"/>
  <c r="AI14" i="9" s="1"/>
  <c r="AH15" i="9" a="1"/>
  <c r="AH15" i="9" s="1"/>
  <c r="AI15" i="9" a="1"/>
  <c r="AI15" i="9" s="1"/>
  <c r="Q16" i="7"/>
  <c r="Q19" i="7" s="1"/>
  <c r="Q20" i="7" s="1"/>
  <c r="R16" i="7"/>
  <c r="R19" i="7" s="1"/>
  <c r="R20" i="7" s="1"/>
  <c r="S16" i="7"/>
  <c r="S19" i="7" s="1"/>
  <c r="S20" i="7" s="1"/>
  <c r="T16" i="7"/>
  <c r="T19" i="7" s="1"/>
  <c r="T20" i="7" s="1"/>
  <c r="U16" i="7"/>
  <c r="U19" i="7" s="1"/>
  <c r="U20" i="7" s="1"/>
  <c r="V16" i="7"/>
  <c r="V19" i="7" s="1"/>
  <c r="V20" i="7" s="1"/>
  <c r="W16" i="7"/>
  <c r="W19" i="7" s="1"/>
  <c r="W20" i="7" s="1"/>
  <c r="X16" i="7"/>
  <c r="X19" i="7" s="1"/>
  <c r="X20" i="7" s="1"/>
  <c r="Y16" i="7"/>
  <c r="Y19" i="7" s="1"/>
  <c r="Y20" i="7" s="1"/>
  <c r="Z16" i="7"/>
  <c r="Z19" i="7" s="1"/>
  <c r="Z20" i="7" s="1"/>
  <c r="AW12" i="9" l="1"/>
  <c r="AX11" i="9"/>
  <c r="AI18" i="9" a="1"/>
  <c r="AI18" i="9" s="1"/>
  <c r="AH18" i="9" a="1"/>
  <c r="AH18" i="9" s="1"/>
  <c r="AG18" i="9" a="1"/>
  <c r="AG18" i="9" s="1"/>
  <c r="AF18" i="9" a="1"/>
  <c r="AF18" i="9" s="1"/>
  <c r="AE18" i="9" a="1"/>
  <c r="AE18" i="9" s="1"/>
  <c r="AD18" i="9" a="1"/>
  <c r="AD18" i="9" s="1"/>
  <c r="AC18" i="9" a="1"/>
  <c r="AC18" i="9" s="1"/>
  <c r="AI17" i="9" a="1"/>
  <c r="AI17" i="9" s="1"/>
  <c r="AH17" i="9" a="1"/>
  <c r="AH17" i="9" s="1"/>
  <c r="AG17" i="9" a="1"/>
  <c r="AG17" i="9" s="1"/>
  <c r="AF17" i="9" a="1"/>
  <c r="AF17" i="9" s="1"/>
  <c r="AE17" i="9" a="1"/>
  <c r="AE17" i="9" s="1"/>
  <c r="AD17" i="9" a="1"/>
  <c r="AD17" i="9" s="1"/>
  <c r="AC17" i="9" a="1"/>
  <c r="AC17" i="9" s="1"/>
  <c r="AF15" i="9" a="1"/>
  <c r="AF15" i="9" s="1"/>
  <c r="AE15" i="9" a="1"/>
  <c r="AE15" i="9" s="1"/>
  <c r="AD15" i="9" a="1"/>
  <c r="AD15" i="9" s="1"/>
  <c r="AC15" i="9" a="1"/>
  <c r="AC15" i="9" s="1"/>
  <c r="AF14" i="9" a="1"/>
  <c r="AF14" i="9" s="1"/>
  <c r="AE14" i="9" a="1"/>
  <c r="AE14" i="9" s="1"/>
  <c r="AD14" i="9" a="1"/>
  <c r="AD14" i="9" s="1"/>
  <c r="AC14" i="9" a="1"/>
  <c r="AC14" i="9" s="1"/>
  <c r="AF13" i="9" a="1"/>
  <c r="AF13" i="9" s="1"/>
  <c r="AE13" i="9" a="1"/>
  <c r="AE13" i="9" s="1"/>
  <c r="AD13" i="9" a="1"/>
  <c r="AD13" i="9" s="1"/>
  <c r="AC13" i="9" a="1"/>
  <c r="AC13" i="9" s="1"/>
  <c r="AF12" i="9" a="1"/>
  <c r="AF12" i="9" s="1"/>
  <c r="AE12" i="9" a="1"/>
  <c r="AE12" i="9" s="1"/>
  <c r="AD12" i="9" a="1"/>
  <c r="AD12" i="9" s="1"/>
  <c r="AC12" i="9" a="1"/>
  <c r="AC12" i="9" s="1"/>
  <c r="AF11" i="9" a="1"/>
  <c r="AF11" i="9" s="1"/>
  <c r="AE11" i="9" a="1"/>
  <c r="AE11" i="9" s="1"/>
  <c r="AD11" i="9" a="1"/>
  <c r="AD11" i="9" s="1"/>
  <c r="AC11" i="9" a="1"/>
  <c r="AC11" i="9" s="1"/>
  <c r="AF10" i="9" a="1"/>
  <c r="AF10" i="9" s="1"/>
  <c r="AE10" i="9" a="1"/>
  <c r="AE10" i="9" s="1"/>
  <c r="AD10" i="9" a="1"/>
  <c r="AD10" i="9" s="1"/>
  <c r="AC10" i="9" a="1"/>
  <c r="AC10" i="9" s="1"/>
  <c r="AF9" i="9" a="1"/>
  <c r="AF9" i="9" s="1"/>
  <c r="AE9" i="9" a="1"/>
  <c r="AE9" i="9" s="1"/>
  <c r="AD9" i="9" a="1"/>
  <c r="AD9" i="9" s="1"/>
  <c r="AC9" i="9" a="1"/>
  <c r="AC9" i="9" s="1"/>
  <c r="AF8" i="9" a="1"/>
  <c r="AF8" i="9" s="1"/>
  <c r="AE8" i="9" a="1"/>
  <c r="AE8" i="9" s="1"/>
  <c r="AD8" i="9" a="1"/>
  <c r="AD8" i="9" s="1"/>
  <c r="AC8" i="9" a="1"/>
  <c r="AC8" i="9" s="1"/>
  <c r="AF7" i="9" a="1"/>
  <c r="AF7" i="9" s="1"/>
  <c r="AE7" i="9" a="1"/>
  <c r="AE7" i="9" s="1"/>
  <c r="AD7" i="9" a="1"/>
  <c r="AD7" i="9" s="1"/>
  <c r="AC7" i="9" a="1"/>
  <c r="AC7" i="9" s="1"/>
  <c r="AF6" i="9" a="1"/>
  <c r="AF6" i="9" s="1"/>
  <c r="AE6" i="9" a="1"/>
  <c r="AE6" i="9" s="1"/>
  <c r="AD6" i="9" a="1"/>
  <c r="AD6" i="9" s="1"/>
  <c r="AC6" i="9" a="1"/>
  <c r="AC6" i="9" s="1"/>
  <c r="AE5" i="9" a="1"/>
  <c r="AE5" i="9" s="1"/>
  <c r="AD5" i="9" a="1"/>
  <c r="AD5" i="9" s="1"/>
  <c r="AC5" i="9" a="1"/>
  <c r="AC5" i="9" s="1"/>
  <c r="AF1" i="9"/>
  <c r="AW13" i="9" l="1"/>
  <c r="AX12" i="9"/>
  <c r="AE16" i="9"/>
  <c r="AE19" i="9" s="1"/>
  <c r="AE20" i="9" s="1"/>
  <c r="AH16" i="9"/>
  <c r="AH19" i="9" s="1"/>
  <c r="AH20" i="9" s="1"/>
  <c r="AC16" i="9"/>
  <c r="AC19" i="9" s="1"/>
  <c r="AC20" i="9" s="1"/>
  <c r="AF16" i="9"/>
  <c r="AF19" i="9" s="1"/>
  <c r="AF20" i="9" s="1"/>
  <c r="AD16" i="9"/>
  <c r="AD19" i="9" s="1"/>
  <c r="AD20" i="9" s="1"/>
  <c r="AI16" i="9"/>
  <c r="AI19" i="9" s="1"/>
  <c r="AI20" i="9" s="1"/>
  <c r="AG19" i="9"/>
  <c r="AG20" i="9" s="1"/>
  <c r="AW14" i="9" l="1"/>
  <c r="AX13" i="9"/>
  <c r="F5" i="9" a="1"/>
  <c r="F5" i="9" s="1"/>
  <c r="F6" i="9" a="1"/>
  <c r="F6" i="9" s="1"/>
  <c r="F7" i="9" a="1"/>
  <c r="F7" i="9" s="1"/>
  <c r="F8" i="9" a="1"/>
  <c r="F8" i="9" s="1"/>
  <c r="F9" i="9" a="1"/>
  <c r="F9" i="9" s="1"/>
  <c r="F10" i="9" a="1"/>
  <c r="F10" i="9" s="1"/>
  <c r="F11" i="9" a="1"/>
  <c r="F11" i="9" s="1"/>
  <c r="F12" i="9" a="1"/>
  <c r="F12" i="9" s="1"/>
  <c r="F13" i="9" a="1"/>
  <c r="F13" i="9" s="1"/>
  <c r="F14" i="9" a="1"/>
  <c r="F14" i="9" s="1"/>
  <c r="F15" i="9" a="1"/>
  <c r="F15" i="9" s="1"/>
  <c r="AW15" i="9" l="1"/>
  <c r="AX14" i="9"/>
  <c r="AB18" i="9" a="1"/>
  <c r="AB18" i="9" s="1"/>
  <c r="AA18" i="9" a="1"/>
  <c r="AA18" i="9" s="1"/>
  <c r="Z18" i="9" a="1"/>
  <c r="Z18" i="9" s="1"/>
  <c r="Y18" i="9" a="1"/>
  <c r="Y18" i="9" s="1"/>
  <c r="X18" i="9" a="1"/>
  <c r="X18" i="9" s="1"/>
  <c r="W18" i="9" a="1"/>
  <c r="W18" i="9" s="1"/>
  <c r="V18" i="9" a="1"/>
  <c r="V18" i="9" s="1"/>
  <c r="U18" i="9" a="1"/>
  <c r="U18" i="9" s="1"/>
  <c r="T18" i="9" a="1"/>
  <c r="T18" i="9" s="1"/>
  <c r="S18" i="9" a="1"/>
  <c r="S18" i="9" s="1"/>
  <c r="R18" i="9" a="1"/>
  <c r="R18" i="9" s="1"/>
  <c r="Q18" i="9" a="1"/>
  <c r="Q18" i="9" s="1"/>
  <c r="P18" i="9" a="1"/>
  <c r="P18" i="9" s="1"/>
  <c r="O18" i="9" a="1"/>
  <c r="O18" i="9" s="1"/>
  <c r="N18" i="9" a="1"/>
  <c r="N18" i="9" s="1"/>
  <c r="M18" i="9" a="1"/>
  <c r="M18" i="9" s="1"/>
  <c r="L18" i="9" a="1"/>
  <c r="L18" i="9" s="1"/>
  <c r="K18" i="9" a="1"/>
  <c r="K18" i="9" s="1"/>
  <c r="J18" i="9" a="1"/>
  <c r="J18" i="9" s="1"/>
  <c r="I18" i="9" a="1"/>
  <c r="I18" i="9" s="1"/>
  <c r="H18" i="9" a="1"/>
  <c r="H18" i="9" s="1"/>
  <c r="G18" i="9" a="1"/>
  <c r="G18" i="9" s="1"/>
  <c r="F18" i="9" a="1"/>
  <c r="F18" i="9" s="1"/>
  <c r="E18" i="9" a="1"/>
  <c r="E18" i="9" s="1"/>
  <c r="D18" i="9" a="1"/>
  <c r="D18" i="9" s="1"/>
  <c r="AB17" i="9" a="1"/>
  <c r="AB17" i="9" s="1"/>
  <c r="AA17" i="9" a="1"/>
  <c r="AA17" i="9" s="1"/>
  <c r="Z17" i="9" a="1"/>
  <c r="Z17" i="9" s="1"/>
  <c r="Y17" i="9" a="1"/>
  <c r="Y17" i="9" s="1"/>
  <c r="X17" i="9" a="1"/>
  <c r="X17" i="9" s="1"/>
  <c r="W17" i="9" a="1"/>
  <c r="W17" i="9" s="1"/>
  <c r="V17" i="9" a="1"/>
  <c r="V17" i="9" s="1"/>
  <c r="U17" i="9" a="1"/>
  <c r="U17" i="9" s="1"/>
  <c r="T17" i="9" a="1"/>
  <c r="T17" i="9" s="1"/>
  <c r="S17" i="9" a="1"/>
  <c r="S17" i="9" s="1"/>
  <c r="R17" i="9" a="1"/>
  <c r="R17" i="9" s="1"/>
  <c r="Q17" i="9" a="1"/>
  <c r="Q17" i="9" s="1"/>
  <c r="P17" i="9" a="1"/>
  <c r="P17" i="9" s="1"/>
  <c r="O17" i="9" a="1"/>
  <c r="O17" i="9" s="1"/>
  <c r="N17" i="9" a="1"/>
  <c r="N17" i="9" s="1"/>
  <c r="M17" i="9" a="1"/>
  <c r="M17" i="9" s="1"/>
  <c r="L17" i="9" a="1"/>
  <c r="L17" i="9" s="1"/>
  <c r="K17" i="9" a="1"/>
  <c r="K17" i="9" s="1"/>
  <c r="J17" i="9" a="1"/>
  <c r="J17" i="9" s="1"/>
  <c r="I17" i="9" a="1"/>
  <c r="I17" i="9" s="1"/>
  <c r="H17" i="9" a="1"/>
  <c r="H17" i="9" s="1"/>
  <c r="G17" i="9" a="1"/>
  <c r="G17" i="9" s="1"/>
  <c r="F17" i="9" a="1"/>
  <c r="F17" i="9" s="1"/>
  <c r="E17" i="9" a="1"/>
  <c r="E17" i="9" s="1"/>
  <c r="D17" i="9" a="1"/>
  <c r="D17" i="9" s="1"/>
  <c r="AB15" i="9" a="1"/>
  <c r="AB15" i="9" s="1"/>
  <c r="AA15" i="9" a="1"/>
  <c r="AA15" i="9" s="1"/>
  <c r="Z15" i="9" a="1"/>
  <c r="Z15" i="9" s="1"/>
  <c r="Y15" i="9" a="1"/>
  <c r="Y15" i="9" s="1"/>
  <c r="X15" i="9" a="1"/>
  <c r="X15" i="9" s="1"/>
  <c r="W15" i="9" a="1"/>
  <c r="W15" i="9" s="1"/>
  <c r="V15" i="9" a="1"/>
  <c r="V15" i="9" s="1"/>
  <c r="U15" i="9" a="1"/>
  <c r="U15" i="9" s="1"/>
  <c r="T15" i="9" a="1"/>
  <c r="T15" i="9" s="1"/>
  <c r="S15" i="9" a="1"/>
  <c r="S15" i="9" s="1"/>
  <c r="R15" i="9" a="1"/>
  <c r="R15" i="9" s="1"/>
  <c r="Q15" i="9" a="1"/>
  <c r="Q15" i="9" s="1"/>
  <c r="P15" i="9" a="1"/>
  <c r="P15" i="9" s="1"/>
  <c r="O15" i="9" a="1"/>
  <c r="O15" i="9" s="1"/>
  <c r="N15" i="9" a="1"/>
  <c r="N15" i="9" s="1"/>
  <c r="M15" i="9" a="1"/>
  <c r="M15" i="9" s="1"/>
  <c r="L15" i="9" a="1"/>
  <c r="L15" i="9" s="1"/>
  <c r="K15" i="9" a="1"/>
  <c r="K15" i="9" s="1"/>
  <c r="J15" i="9" a="1"/>
  <c r="J15" i="9" s="1"/>
  <c r="I15" i="9" a="1"/>
  <c r="I15" i="9" s="1"/>
  <c r="H15" i="9" a="1"/>
  <c r="H15" i="9" s="1"/>
  <c r="G15" i="9" a="1"/>
  <c r="G15" i="9" s="1"/>
  <c r="E15" i="9" a="1"/>
  <c r="E15" i="9" s="1"/>
  <c r="D15" i="9" a="1"/>
  <c r="D15" i="9" s="1"/>
  <c r="AB14" i="9" a="1"/>
  <c r="AB14" i="9" s="1"/>
  <c r="AA14" i="9" a="1"/>
  <c r="AA14" i="9" s="1"/>
  <c r="Z14" i="9" a="1"/>
  <c r="Z14" i="9" s="1"/>
  <c r="Y14" i="9" a="1"/>
  <c r="Y14" i="9" s="1"/>
  <c r="X14" i="9" a="1"/>
  <c r="X14" i="9" s="1"/>
  <c r="W14" i="9" a="1"/>
  <c r="W14" i="9" s="1"/>
  <c r="V14" i="9" a="1"/>
  <c r="V14" i="9" s="1"/>
  <c r="U14" i="9" a="1"/>
  <c r="U14" i="9" s="1"/>
  <c r="T14" i="9" a="1"/>
  <c r="T14" i="9" s="1"/>
  <c r="S14" i="9" a="1"/>
  <c r="S14" i="9" s="1"/>
  <c r="R14" i="9" a="1"/>
  <c r="R14" i="9" s="1"/>
  <c r="Q14" i="9" a="1"/>
  <c r="Q14" i="9" s="1"/>
  <c r="P14" i="9" a="1"/>
  <c r="P14" i="9" s="1"/>
  <c r="O14" i="9" a="1"/>
  <c r="O14" i="9" s="1"/>
  <c r="N14" i="9" a="1"/>
  <c r="N14" i="9" s="1"/>
  <c r="M14" i="9" a="1"/>
  <c r="M14" i="9" s="1"/>
  <c r="L14" i="9" a="1"/>
  <c r="L14" i="9" s="1"/>
  <c r="K14" i="9" a="1"/>
  <c r="K14" i="9" s="1"/>
  <c r="J14" i="9" a="1"/>
  <c r="J14" i="9" s="1"/>
  <c r="I14" i="9" a="1"/>
  <c r="I14" i="9" s="1"/>
  <c r="H14" i="9" a="1"/>
  <c r="H14" i="9" s="1"/>
  <c r="G14" i="9" a="1"/>
  <c r="G14" i="9" s="1"/>
  <c r="E14" i="9" a="1"/>
  <c r="E14" i="9" s="1"/>
  <c r="D14" i="9" a="1"/>
  <c r="D14" i="9" s="1"/>
  <c r="AB13" i="9" a="1"/>
  <c r="AB13" i="9" s="1"/>
  <c r="AA13" i="9" a="1"/>
  <c r="AA13" i="9" s="1"/>
  <c r="Z13" i="9" a="1"/>
  <c r="Z13" i="9" s="1"/>
  <c r="Y13" i="9" a="1"/>
  <c r="Y13" i="9" s="1"/>
  <c r="X13" i="9" a="1"/>
  <c r="X13" i="9" s="1"/>
  <c r="W13" i="9" a="1"/>
  <c r="W13" i="9" s="1"/>
  <c r="V13" i="9" a="1"/>
  <c r="V13" i="9" s="1"/>
  <c r="U13" i="9" a="1"/>
  <c r="U13" i="9" s="1"/>
  <c r="T13" i="9" a="1"/>
  <c r="T13" i="9" s="1"/>
  <c r="S13" i="9" a="1"/>
  <c r="S13" i="9" s="1"/>
  <c r="R13" i="9" a="1"/>
  <c r="R13" i="9" s="1"/>
  <c r="Q13" i="9" a="1"/>
  <c r="Q13" i="9" s="1"/>
  <c r="P13" i="9" a="1"/>
  <c r="P13" i="9" s="1"/>
  <c r="O13" i="9" a="1"/>
  <c r="O13" i="9" s="1"/>
  <c r="N13" i="9" a="1"/>
  <c r="N13" i="9" s="1"/>
  <c r="M13" i="9" a="1"/>
  <c r="M13" i="9" s="1"/>
  <c r="L13" i="9" a="1"/>
  <c r="L13" i="9" s="1"/>
  <c r="K13" i="9" a="1"/>
  <c r="K13" i="9" s="1"/>
  <c r="J13" i="9" a="1"/>
  <c r="J13" i="9" s="1"/>
  <c r="I13" i="9" a="1"/>
  <c r="I13" i="9" s="1"/>
  <c r="H13" i="9" a="1"/>
  <c r="H13" i="9" s="1"/>
  <c r="G13" i="9" a="1"/>
  <c r="G13" i="9" s="1"/>
  <c r="E13" i="9" a="1"/>
  <c r="E13" i="9" s="1"/>
  <c r="D13" i="9" a="1"/>
  <c r="D13" i="9" s="1"/>
  <c r="AB9" i="9" a="1"/>
  <c r="AB9" i="9" s="1"/>
  <c r="AA9" i="9" a="1"/>
  <c r="AA9" i="9" s="1"/>
  <c r="Z9" i="9" a="1"/>
  <c r="Z9" i="9" s="1"/>
  <c r="Y9" i="9" a="1"/>
  <c r="Y9" i="9" s="1"/>
  <c r="X9" i="9" a="1"/>
  <c r="X9" i="9" s="1"/>
  <c r="W9" i="9" a="1"/>
  <c r="W9" i="9" s="1"/>
  <c r="V9" i="9" a="1"/>
  <c r="V9" i="9" s="1"/>
  <c r="U9" i="9" a="1"/>
  <c r="U9" i="9" s="1"/>
  <c r="T9" i="9" a="1"/>
  <c r="T9" i="9" s="1"/>
  <c r="S9" i="9" a="1"/>
  <c r="S9" i="9" s="1"/>
  <c r="R9" i="9" a="1"/>
  <c r="R9" i="9" s="1"/>
  <c r="Q9" i="9" a="1"/>
  <c r="Q9" i="9" s="1"/>
  <c r="P9" i="9" a="1"/>
  <c r="P9" i="9" s="1"/>
  <c r="O9" i="9" a="1"/>
  <c r="O9" i="9" s="1"/>
  <c r="N9" i="9" a="1"/>
  <c r="N9" i="9" s="1"/>
  <c r="M9" i="9" a="1"/>
  <c r="M9" i="9" s="1"/>
  <c r="L9" i="9" a="1"/>
  <c r="L9" i="9" s="1"/>
  <c r="K9" i="9" a="1"/>
  <c r="K9" i="9" s="1"/>
  <c r="J9" i="9" a="1"/>
  <c r="J9" i="9" s="1"/>
  <c r="I9" i="9" a="1"/>
  <c r="I9" i="9" s="1"/>
  <c r="H9" i="9" a="1"/>
  <c r="H9" i="9" s="1"/>
  <c r="G9" i="9" a="1"/>
  <c r="G9" i="9" s="1"/>
  <c r="E9" i="9" a="1"/>
  <c r="E9" i="9" s="1"/>
  <c r="AB8" i="9" a="1"/>
  <c r="AB8" i="9" s="1"/>
  <c r="AA8" i="9" a="1"/>
  <c r="AA8" i="9" s="1"/>
  <c r="Z8" i="9" a="1"/>
  <c r="Z8" i="9" s="1"/>
  <c r="Y8" i="9" a="1"/>
  <c r="Y8" i="9" s="1"/>
  <c r="X8" i="9" a="1"/>
  <c r="X8" i="9" s="1"/>
  <c r="W8" i="9" a="1"/>
  <c r="W8" i="9" s="1"/>
  <c r="V8" i="9" a="1"/>
  <c r="V8" i="9" s="1"/>
  <c r="U8" i="9" a="1"/>
  <c r="U8" i="9" s="1"/>
  <c r="T8" i="9" a="1"/>
  <c r="T8" i="9" s="1"/>
  <c r="S8" i="9" a="1"/>
  <c r="S8" i="9" s="1"/>
  <c r="R8" i="9" a="1"/>
  <c r="R8" i="9" s="1"/>
  <c r="Q8" i="9" a="1"/>
  <c r="Q8" i="9" s="1"/>
  <c r="P8" i="9" a="1"/>
  <c r="P8" i="9" s="1"/>
  <c r="O8" i="9" a="1"/>
  <c r="O8" i="9" s="1"/>
  <c r="N8" i="9" a="1"/>
  <c r="N8" i="9" s="1"/>
  <c r="M8" i="9" a="1"/>
  <c r="M8" i="9" s="1"/>
  <c r="L8" i="9" a="1"/>
  <c r="L8" i="9" s="1"/>
  <c r="K8" i="9" a="1"/>
  <c r="K8" i="9" s="1"/>
  <c r="J8" i="9" a="1"/>
  <c r="J8" i="9" s="1"/>
  <c r="I8" i="9" a="1"/>
  <c r="I8" i="9" s="1"/>
  <c r="H8" i="9" a="1"/>
  <c r="H8" i="9" s="1"/>
  <c r="G8" i="9" a="1"/>
  <c r="G8" i="9" s="1"/>
  <c r="E8" i="9" a="1"/>
  <c r="E8" i="9" s="1"/>
  <c r="AB7" i="9" a="1"/>
  <c r="AB7" i="9" s="1"/>
  <c r="AA7" i="9" a="1"/>
  <c r="AA7" i="9" s="1"/>
  <c r="Z7" i="9" a="1"/>
  <c r="Z7" i="9" s="1"/>
  <c r="Y7" i="9" a="1"/>
  <c r="Y7" i="9" s="1"/>
  <c r="X7" i="9" a="1"/>
  <c r="X7" i="9" s="1"/>
  <c r="W7" i="9" a="1"/>
  <c r="W7" i="9" s="1"/>
  <c r="V7" i="9" a="1"/>
  <c r="V7" i="9" s="1"/>
  <c r="U7" i="9" a="1"/>
  <c r="U7" i="9" s="1"/>
  <c r="T7" i="9" a="1"/>
  <c r="T7" i="9" s="1"/>
  <c r="S7" i="9" a="1"/>
  <c r="S7" i="9" s="1"/>
  <c r="R7" i="9" a="1"/>
  <c r="R7" i="9" s="1"/>
  <c r="Q7" i="9" a="1"/>
  <c r="Q7" i="9" s="1"/>
  <c r="O7" i="9" a="1"/>
  <c r="O7" i="9" s="1"/>
  <c r="N7" i="9" a="1"/>
  <c r="N7" i="9" s="1"/>
  <c r="M7" i="9" a="1"/>
  <c r="M7" i="9" s="1"/>
  <c r="L7" i="9" a="1"/>
  <c r="L7" i="9" s="1"/>
  <c r="K7" i="9" a="1"/>
  <c r="K7" i="9" s="1"/>
  <c r="J7" i="9" a="1"/>
  <c r="J7" i="9" s="1"/>
  <c r="I7" i="9" a="1"/>
  <c r="I7" i="9" s="1"/>
  <c r="H7" i="9" a="1"/>
  <c r="H7" i="9" s="1"/>
  <c r="G7" i="9" a="1"/>
  <c r="G7" i="9" s="1"/>
  <c r="E7" i="9" a="1"/>
  <c r="E7" i="9" s="1"/>
  <c r="D7" i="9" a="1"/>
  <c r="D7" i="9" s="1"/>
  <c r="AB6" i="9" a="1"/>
  <c r="AB6" i="9" s="1"/>
  <c r="AA6" i="9" a="1"/>
  <c r="AA6" i="9" s="1"/>
  <c r="Z6" i="9" a="1"/>
  <c r="Z6" i="9" s="1"/>
  <c r="Y6" i="9" a="1"/>
  <c r="Y6" i="9" s="1"/>
  <c r="X6" i="9" a="1"/>
  <c r="X6" i="9" s="1"/>
  <c r="W6" i="9" a="1"/>
  <c r="W6" i="9" s="1"/>
  <c r="V6" i="9" a="1"/>
  <c r="V6" i="9" s="1"/>
  <c r="U6" i="9" a="1"/>
  <c r="U6" i="9" s="1"/>
  <c r="T6" i="9" a="1"/>
  <c r="T6" i="9" s="1"/>
  <c r="S6" i="9" a="1"/>
  <c r="S6" i="9" s="1"/>
  <c r="R6" i="9" a="1"/>
  <c r="R6" i="9" s="1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E6" i="9" a="1"/>
  <c r="E6" i="9" s="1"/>
  <c r="E5" i="9" a="1"/>
  <c r="E5" i="9" s="1"/>
  <c r="G5" i="9" a="1"/>
  <c r="G5" i="9" s="1"/>
  <c r="H5" i="9" a="1"/>
  <c r="H5" i="9" s="1"/>
  <c r="I5" i="9" a="1"/>
  <c r="I5" i="9" s="1"/>
  <c r="J5" i="9" a="1"/>
  <c r="J5" i="9" s="1"/>
  <c r="K5" i="9" a="1"/>
  <c r="K5" i="9" s="1"/>
  <c r="L5" i="9" a="1"/>
  <c r="L5" i="9" s="1"/>
  <c r="M5" i="9" a="1"/>
  <c r="M5" i="9" s="1"/>
  <c r="N5" i="9" a="1"/>
  <c r="N5" i="9" s="1"/>
  <c r="O5" i="9" a="1"/>
  <c r="O5" i="9" s="1"/>
  <c r="P5" i="9" a="1"/>
  <c r="P5" i="9" s="1"/>
  <c r="Q5" i="9" a="1"/>
  <c r="Q5" i="9" s="1"/>
  <c r="R5" i="9" a="1"/>
  <c r="R5" i="9" s="1"/>
  <c r="S5" i="9" a="1"/>
  <c r="S5" i="9" s="1"/>
  <c r="T5" i="9" a="1"/>
  <c r="T5" i="9" s="1"/>
  <c r="U5" i="9" a="1"/>
  <c r="U5" i="9" s="1"/>
  <c r="V5" i="9" a="1"/>
  <c r="V5" i="9" s="1"/>
  <c r="W5" i="9" a="1"/>
  <c r="W5" i="9" s="1"/>
  <c r="X5" i="9" a="1"/>
  <c r="X5" i="9" s="1"/>
  <c r="Y5" i="9" a="1"/>
  <c r="Y5" i="9" s="1"/>
  <c r="Z5" i="9" a="1"/>
  <c r="Z5" i="9" s="1"/>
  <c r="AA5" i="9" a="1"/>
  <c r="AA5" i="9" s="1"/>
  <c r="F36" i="9"/>
  <c r="J36" i="9"/>
  <c r="N36" i="9"/>
  <c r="R36" i="9"/>
  <c r="V36" i="9"/>
  <c r="Z36" i="9"/>
  <c r="AG36" i="9"/>
  <c r="AH36" i="9"/>
  <c r="AF36" i="9"/>
  <c r="AA36" i="9"/>
  <c r="Y36" i="9"/>
  <c r="W36" i="9"/>
  <c r="U36" i="9"/>
  <c r="S36" i="9"/>
  <c r="Q36" i="9"/>
  <c r="O36" i="9"/>
  <c r="M36" i="9"/>
  <c r="K36" i="9"/>
  <c r="I36" i="9"/>
  <c r="G36" i="9"/>
  <c r="E36" i="9"/>
  <c r="D36" i="9"/>
  <c r="AI21" i="9"/>
  <c r="AH21" i="9"/>
  <c r="AG21" i="9"/>
  <c r="AF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AW16" i="9" l="1"/>
  <c r="AX16" i="9" s="1"/>
  <c r="AX15" i="9"/>
  <c r="AJ7" i="9"/>
  <c r="AJ6" i="9"/>
  <c r="AJ5" i="9"/>
  <c r="H36" i="9"/>
  <c r="L36" i="9"/>
  <c r="P36" i="9"/>
  <c r="T36" i="9"/>
  <c r="X36" i="9"/>
  <c r="AB36" i="9"/>
  <c r="AI36" i="9"/>
  <c r="AJ8" i="9" l="1"/>
  <c r="AJ9" i="9"/>
  <c r="D34" i="9"/>
  <c r="E34" i="9" s="1"/>
  <c r="F34" i="9" s="1"/>
  <c r="G34" i="9" s="1"/>
  <c r="H34" i="9" s="1"/>
  <c r="I34" i="9" s="1"/>
  <c r="J34" i="9" s="1"/>
  <c r="K34" i="9" s="1"/>
  <c r="L34" i="9" s="1"/>
  <c r="M34" i="9" s="1"/>
  <c r="N34" i="9" s="1"/>
  <c r="O34" i="9" s="1"/>
  <c r="P34" i="9" s="1"/>
  <c r="Q34" i="9" s="1"/>
  <c r="R34" i="9" s="1"/>
  <c r="S34" i="9" s="1"/>
  <c r="T34" i="9" s="1"/>
  <c r="U34" i="9" s="1"/>
  <c r="V34" i="9" s="1"/>
  <c r="W34" i="9" s="1"/>
  <c r="X34" i="9" s="1"/>
  <c r="Y34" i="9" s="1"/>
  <c r="Z34" i="9" s="1"/>
  <c r="AA34" i="9" s="1"/>
  <c r="AB34" i="9" s="1"/>
  <c r="AF34" i="9" s="1"/>
  <c r="AG34" i="9" s="1"/>
  <c r="AH34" i="9" s="1"/>
  <c r="AI34" i="9" s="1"/>
  <c r="AJ34" i="9" s="1"/>
  <c r="AK34" i="9" s="1"/>
  <c r="AJ13" i="9" l="1"/>
  <c r="AJ15" i="9" l="1"/>
  <c r="AJ14" i="9"/>
  <c r="H16" i="7"/>
  <c r="H19" i="7" s="1"/>
  <c r="H20" i="7" s="1"/>
  <c r="AJ17" i="9" l="1"/>
  <c r="AJ18" i="9" l="1"/>
  <c r="H16" i="6" l="1"/>
  <c r="I16" i="6"/>
  <c r="I19" i="6" s="1"/>
  <c r="I20" i="6" s="1"/>
  <c r="J16" i="6"/>
  <c r="J19" i="6" s="1"/>
  <c r="J20" i="6" s="1"/>
  <c r="K16" i="6"/>
  <c r="K19" i="6" s="1"/>
  <c r="K20" i="6" s="1"/>
  <c r="L16" i="6"/>
  <c r="L19" i="6" s="1"/>
  <c r="L20" i="6" s="1"/>
  <c r="M16" i="6"/>
  <c r="M19" i="6" s="1"/>
  <c r="M20" i="6" s="1"/>
  <c r="N16" i="6"/>
  <c r="N19" i="6" s="1"/>
  <c r="N20" i="6" s="1"/>
  <c r="V16" i="6"/>
  <c r="V19" i="6" s="1"/>
  <c r="V20" i="6" s="1"/>
  <c r="W16" i="6"/>
  <c r="W19" i="6" s="1"/>
  <c r="W20" i="6" s="1"/>
  <c r="X16" i="6"/>
  <c r="X19" i="6" s="1"/>
  <c r="X20" i="6" s="1"/>
  <c r="Y16" i="6"/>
  <c r="Y19" i="6" s="1"/>
  <c r="Y20" i="6" s="1"/>
  <c r="Z16" i="6"/>
  <c r="Z19" i="6" s="1"/>
  <c r="Z20" i="6" s="1"/>
  <c r="E16" i="3"/>
  <c r="E19" i="3" s="1"/>
  <c r="E20" i="3" s="1"/>
  <c r="F16" i="3"/>
  <c r="F19" i="3" s="1"/>
  <c r="F20" i="3" s="1"/>
  <c r="G16" i="3"/>
  <c r="H16" i="3"/>
  <c r="H19" i="3" s="1"/>
  <c r="H20" i="3" s="1"/>
  <c r="I16" i="3"/>
  <c r="I19" i="3" s="1"/>
  <c r="I20" i="3" s="1"/>
  <c r="J16" i="3"/>
  <c r="J19" i="3" s="1"/>
  <c r="J20" i="3" s="1"/>
  <c r="K16" i="3"/>
  <c r="K19" i="3" s="1"/>
  <c r="K20" i="3" s="1"/>
  <c r="L16" i="3"/>
  <c r="L19" i="3" s="1"/>
  <c r="L20" i="3" s="1"/>
  <c r="M16" i="3"/>
  <c r="M19" i="3" s="1"/>
  <c r="M20" i="3" s="1"/>
  <c r="N16" i="3"/>
  <c r="N19" i="3" s="1"/>
  <c r="N20" i="3" s="1"/>
  <c r="W16" i="3"/>
  <c r="W19" i="3" s="1"/>
  <c r="W20" i="3" s="1"/>
  <c r="X16" i="3"/>
  <c r="X19" i="3" s="1"/>
  <c r="X20" i="3" s="1"/>
  <c r="Y16" i="3"/>
  <c r="Y19" i="3" s="1"/>
  <c r="Y20" i="3" s="1"/>
  <c r="Z16" i="3"/>
  <c r="Z19" i="3" s="1"/>
  <c r="Z20" i="3" s="1"/>
  <c r="D16" i="6"/>
  <c r="D19" i="6" s="1"/>
  <c r="D20" i="6" s="1"/>
  <c r="H19" i="6" l="1"/>
  <c r="H20" i="6" s="1"/>
  <c r="AA16" i="6"/>
  <c r="AA19" i="6" s="1"/>
  <c r="AA20" i="6" s="1"/>
  <c r="AA16" i="3"/>
  <c r="AA19" i="3" s="1"/>
  <c r="AA20" i="3" s="1"/>
  <c r="G19" i="3"/>
  <c r="G20" i="3" s="1"/>
  <c r="Z21" i="7" l="1"/>
  <c r="Y21" i="7"/>
  <c r="X21" i="7"/>
  <c r="W21" i="7"/>
  <c r="V21" i="7"/>
  <c r="U21" i="7"/>
  <c r="R21" i="7"/>
  <c r="Q21" i="7"/>
  <c r="N21" i="7"/>
  <c r="M21" i="7"/>
  <c r="L21" i="7"/>
  <c r="K21" i="7"/>
  <c r="J21" i="7"/>
  <c r="I21" i="7"/>
  <c r="H21" i="7"/>
  <c r="G21" i="7"/>
  <c r="F21" i="7"/>
  <c r="E21" i="7"/>
  <c r="D21" i="7"/>
  <c r="Z21" i="6"/>
  <c r="Y21" i="6"/>
  <c r="X21" i="6"/>
  <c r="W21" i="6"/>
  <c r="V21" i="6"/>
  <c r="U21" i="6"/>
  <c r="R21" i="6"/>
  <c r="Q21" i="6"/>
  <c r="N21" i="6"/>
  <c r="M21" i="6"/>
  <c r="L21" i="6"/>
  <c r="K21" i="6"/>
  <c r="J21" i="6"/>
  <c r="I21" i="6"/>
  <c r="H21" i="6"/>
  <c r="G21" i="6"/>
  <c r="F21" i="6"/>
  <c r="E21" i="6"/>
  <c r="D21" i="6"/>
  <c r="AB36" i="7" l="1"/>
  <c r="Z21" i="3"/>
  <c r="Y21" i="3"/>
  <c r="X21" i="3"/>
  <c r="W21" i="3"/>
  <c r="V21" i="3"/>
  <c r="U21" i="3"/>
  <c r="R21" i="3"/>
  <c r="Q21" i="3"/>
  <c r="N21" i="3"/>
  <c r="M21" i="3"/>
  <c r="L21" i="3"/>
  <c r="K21" i="3"/>
  <c r="J21" i="3"/>
  <c r="I21" i="3"/>
  <c r="H21" i="3"/>
  <c r="G21" i="3"/>
  <c r="F21" i="3"/>
  <c r="E21" i="3"/>
  <c r="D21" i="3"/>
  <c r="AB36" i="3" l="1"/>
  <c r="AB36" i="6"/>
  <c r="H10" i="9" l="1" a="1"/>
  <c r="H10" i="9" s="1"/>
  <c r="K10" i="9" a="1"/>
  <c r="K10" i="9" s="1"/>
  <c r="S10" i="9" a="1"/>
  <c r="S10" i="9" s="1"/>
  <c r="N10" i="9" a="1"/>
  <c r="N10" i="9" s="1"/>
  <c r="J10" i="9" a="1"/>
  <c r="J10" i="9" s="1"/>
  <c r="T10" i="9" a="1"/>
  <c r="T10" i="9" s="1"/>
  <c r="G10" i="9" a="1"/>
  <c r="G10" i="9" s="1"/>
  <c r="V10" i="9" a="1"/>
  <c r="V10" i="9" s="1"/>
  <c r="U10" i="9" a="1"/>
  <c r="U10" i="9" s="1"/>
  <c r="AA10" i="9" a="1"/>
  <c r="AA10" i="9" s="1"/>
  <c r="Z10" i="9" a="1"/>
  <c r="Z10" i="9" s="1"/>
  <c r="I10" i="9" a="1"/>
  <c r="I10" i="9" s="1"/>
  <c r="P10" i="9" a="1"/>
  <c r="P10" i="9" s="1"/>
  <c r="AB10" i="9" a="1"/>
  <c r="AB10" i="9" s="1"/>
  <c r="Q10" i="9" a="1"/>
  <c r="Q10" i="9" s="1"/>
  <c r="D10" i="9" a="1"/>
  <c r="D10" i="9" s="1"/>
  <c r="M10" i="9" a="1"/>
  <c r="M10" i="9" s="1"/>
  <c r="O10" i="9" a="1"/>
  <c r="O10" i="9" s="1"/>
  <c r="E10" i="9" a="1"/>
  <c r="E10" i="9" s="1"/>
  <c r="Y10" i="9" a="1"/>
  <c r="Y10" i="9" s="1"/>
  <c r="X10" i="9" a="1"/>
  <c r="X10" i="9" s="1"/>
  <c r="R10" i="9" a="1"/>
  <c r="R10" i="9" s="1"/>
  <c r="L10" i="9" a="1"/>
  <c r="L10" i="9" s="1"/>
  <c r="W10" i="9" a="1"/>
  <c r="W10" i="9" s="1"/>
  <c r="AJ10" i="9" l="1"/>
  <c r="X11" i="9" a="1"/>
  <c r="X11" i="9" s="1"/>
  <c r="L11" i="9" a="1"/>
  <c r="L11" i="9" s="1"/>
  <c r="Q11" i="9" a="1"/>
  <c r="Q11" i="9" s="1"/>
  <c r="AA11" i="9" a="1"/>
  <c r="AA11" i="9" s="1"/>
  <c r="U11" i="9" a="1"/>
  <c r="U11" i="9" s="1"/>
  <c r="R11" i="9" a="1"/>
  <c r="R11" i="9" s="1"/>
  <c r="S11" i="9" a="1"/>
  <c r="S11" i="9" s="1"/>
  <c r="N11" i="9" a="1"/>
  <c r="N11" i="9" s="1"/>
  <c r="Y11" i="9" a="1"/>
  <c r="Y11" i="9" s="1"/>
  <c r="K11" i="9" a="1"/>
  <c r="K11" i="9" s="1"/>
  <c r="AB11" i="9" a="1"/>
  <c r="AB11" i="9" s="1"/>
  <c r="H11" i="9" a="1"/>
  <c r="H11" i="9" s="1"/>
  <c r="W11" i="9" a="1"/>
  <c r="W11" i="9" s="1"/>
  <c r="M11" i="9" a="1"/>
  <c r="M11" i="9" s="1"/>
  <c r="P11" i="9" a="1"/>
  <c r="P11" i="9" s="1"/>
  <c r="Z11" i="9" a="1"/>
  <c r="Z11" i="9" s="1"/>
  <c r="O11" i="9" a="1"/>
  <c r="O11" i="9" s="1"/>
  <c r="E11" i="9" a="1"/>
  <c r="E11" i="9" s="1"/>
  <c r="I11" i="9" a="1"/>
  <c r="I11" i="9" s="1"/>
  <c r="T11" i="9" a="1"/>
  <c r="T11" i="9" s="1"/>
  <c r="G11" i="9" a="1"/>
  <c r="G11" i="9" s="1"/>
  <c r="V11" i="9" a="1"/>
  <c r="V11" i="9" s="1"/>
  <c r="J11" i="9" a="1"/>
  <c r="J11" i="9" s="1"/>
  <c r="AJ11" i="9" l="1"/>
  <c r="U12" i="9" a="1"/>
  <c r="U12" i="9" s="1"/>
  <c r="U16" i="9" s="1"/>
  <c r="U19" i="9" s="1"/>
  <c r="U20" i="9" s="1"/>
  <c r="H12" i="9" a="1"/>
  <c r="H12" i="9" s="1"/>
  <c r="H16" i="9" s="1"/>
  <c r="H19" i="9" s="1"/>
  <c r="H20" i="9" s="1"/>
  <c r="V12" i="9" a="1"/>
  <c r="V12" i="9" s="1"/>
  <c r="V16" i="9" s="1"/>
  <c r="V19" i="9" s="1"/>
  <c r="V20" i="9" s="1"/>
  <c r="S12" i="9" a="1"/>
  <c r="S12" i="9" s="1"/>
  <c r="S16" i="9" s="1"/>
  <c r="S19" i="9" s="1"/>
  <c r="S20" i="9" s="1"/>
  <c r="I12" i="9" a="1"/>
  <c r="I12" i="9" s="1"/>
  <c r="I16" i="9" s="1"/>
  <c r="I19" i="9" s="1"/>
  <c r="I20" i="9" s="1"/>
  <c r="W12" i="9" a="1"/>
  <c r="W12" i="9" s="1"/>
  <c r="W16" i="9" s="1"/>
  <c r="W19" i="9" s="1"/>
  <c r="W20" i="9" s="1"/>
  <c r="F16" i="9"/>
  <c r="F19" i="9" s="1"/>
  <c r="F20" i="9" s="1"/>
  <c r="G12" i="9" a="1"/>
  <c r="G12" i="9" s="1"/>
  <c r="G16" i="9" s="1"/>
  <c r="G19" i="9" s="1"/>
  <c r="G20" i="9" s="1"/>
  <c r="AA12" i="9" a="1"/>
  <c r="AA12" i="9" s="1"/>
  <c r="AA16" i="9" s="1"/>
  <c r="AA19" i="9" s="1"/>
  <c r="AA20" i="9" s="1"/>
  <c r="X12" i="9" a="1"/>
  <c r="X12" i="9" s="1"/>
  <c r="X16" i="9" s="1"/>
  <c r="X19" i="9" s="1"/>
  <c r="X20" i="9" s="1"/>
  <c r="AA16" i="7"/>
  <c r="AA19" i="7" s="1"/>
  <c r="J12" i="9" a="1"/>
  <c r="J12" i="9" s="1"/>
  <c r="J16" i="9" s="1"/>
  <c r="J19" i="9" s="1"/>
  <c r="J20" i="9" s="1"/>
  <c r="L12" i="9" a="1"/>
  <c r="L12" i="9" s="1"/>
  <c r="L16" i="9" s="1"/>
  <c r="L19" i="9" s="1"/>
  <c r="L20" i="9" s="1"/>
  <c r="T12" i="9" a="1"/>
  <c r="T12" i="9" s="1"/>
  <c r="T16" i="9" s="1"/>
  <c r="T19" i="9" s="1"/>
  <c r="T20" i="9" s="1"/>
  <c r="O12" i="9" a="1"/>
  <c r="O12" i="9" s="1"/>
  <c r="O16" i="9" s="1"/>
  <c r="O19" i="9" s="1"/>
  <c r="O20" i="9" s="1"/>
  <c r="Z12" i="9" a="1"/>
  <c r="Z12" i="9" s="1"/>
  <c r="Z16" i="9" s="1"/>
  <c r="Z19" i="9" s="1"/>
  <c r="Z20" i="9" s="1"/>
  <c r="K12" i="9" a="1"/>
  <c r="K12" i="9" s="1"/>
  <c r="K16" i="9" s="1"/>
  <c r="K19" i="9" s="1"/>
  <c r="K20" i="9" s="1"/>
  <c r="P12" i="9" a="1"/>
  <c r="P12" i="9" s="1"/>
  <c r="P16" i="9" s="1"/>
  <c r="P19" i="9" s="1"/>
  <c r="P20" i="9" s="1"/>
  <c r="Q12" i="9" a="1"/>
  <c r="Q12" i="9" s="1"/>
  <c r="Q16" i="9" s="1"/>
  <c r="Q19" i="9" s="1"/>
  <c r="Q20" i="9" s="1"/>
  <c r="M12" i="9" a="1"/>
  <c r="M12" i="9" s="1"/>
  <c r="M16" i="9" s="1"/>
  <c r="M19" i="9" s="1"/>
  <c r="M20" i="9" s="1"/>
  <c r="AB12" i="9" a="1"/>
  <c r="AB12" i="9" s="1"/>
  <c r="AB16" i="9" s="1"/>
  <c r="AB19" i="9" s="1"/>
  <c r="AB20" i="9" s="1"/>
  <c r="N12" i="9" a="1"/>
  <c r="N12" i="9" s="1"/>
  <c r="N16" i="9" s="1"/>
  <c r="N19" i="9" s="1"/>
  <c r="N20" i="9" s="1"/>
  <c r="Y12" i="9" a="1"/>
  <c r="Y12" i="9" s="1"/>
  <c r="Y16" i="9" s="1"/>
  <c r="Y19" i="9" s="1"/>
  <c r="Y20" i="9" s="1"/>
  <c r="R12" i="9" a="1"/>
  <c r="R12" i="9" s="1"/>
  <c r="R16" i="9" s="1"/>
  <c r="R19" i="9" s="1"/>
  <c r="R20" i="9" s="1"/>
  <c r="E12" i="9" a="1"/>
  <c r="E12" i="9" s="1"/>
  <c r="E16" i="9" s="1"/>
  <c r="E19" i="9" s="1"/>
  <c r="E20" i="9" s="1"/>
  <c r="AJ12" i="9" l="1"/>
  <c r="D16" i="9"/>
  <c r="D19" i="9" l="1"/>
  <c r="AJ16" i="9"/>
  <c r="AA20" i="7" l="1"/>
  <c r="D20" i="9"/>
  <c r="AJ19" i="9"/>
  <c r="AJ20" i="9" l="1"/>
</calcChain>
</file>

<file path=xl/sharedStrings.xml><?xml version="1.0" encoding="utf-8"?>
<sst xmlns="http://schemas.openxmlformats.org/spreadsheetml/2006/main" count="148" uniqueCount="60">
  <si>
    <t>FALHAS  DA  BLINDAGEM - BODY MAKER - UM-1</t>
  </si>
  <si>
    <t>DIA</t>
  </si>
  <si>
    <t>TOTAL</t>
  </si>
  <si>
    <t>PRODUÇÃO</t>
  </si>
  <si>
    <t>FALHAS</t>
  </si>
  <si>
    <t>ppm</t>
  </si>
  <si>
    <t>FLEXER</t>
  </si>
  <si>
    <t>MONTAGEM / OUTROS</t>
  </si>
  <si>
    <t>Inspetor:</t>
  </si>
  <si>
    <t>Produção:</t>
  </si>
  <si>
    <t>Data:</t>
  </si>
  <si>
    <t>Objetivo</t>
  </si>
  <si>
    <t>Controle da Qualidade:</t>
  </si>
  <si>
    <t>Data</t>
  </si>
  <si>
    <t>Ocorrências</t>
  </si>
  <si>
    <t>Tb. Amassado Fuinga</t>
  </si>
  <si>
    <t>Lingueta aberta</t>
  </si>
  <si>
    <t>Pank</t>
  </si>
  <si>
    <t>Pé de Elefante</t>
  </si>
  <si>
    <t>Tubo Oval</t>
  </si>
  <si>
    <t>Tb. amassado sup.</t>
  </si>
  <si>
    <t>Tb amassado inf.</t>
  </si>
  <si>
    <t>Chapa Riscada</t>
  </si>
  <si>
    <t>Chapa Manchada</t>
  </si>
  <si>
    <t>MÁQ. Nº</t>
  </si>
  <si>
    <t>Outros</t>
  </si>
  <si>
    <t>Sub-Total</t>
  </si>
  <si>
    <t>MODELO</t>
  </si>
  <si>
    <t>Total</t>
  </si>
  <si>
    <t>MM - Mês com 2 dígitos</t>
  </si>
  <si>
    <t>AA - Ano com 2 digitos</t>
  </si>
  <si>
    <t>Senhas: PANA.AAMM.CQ</t>
  </si>
  <si>
    <t>Planilhas Bloqueadas após fechamento do mês:</t>
  </si>
  <si>
    <t>TURNO: Dia</t>
  </si>
  <si>
    <t>MÁQ. Nº 2</t>
  </si>
  <si>
    <t>MÁQ. Nº 3</t>
  </si>
  <si>
    <t/>
  </si>
  <si>
    <t>Visto CQ</t>
  </si>
  <si>
    <t>Visto Supervisor</t>
  </si>
  <si>
    <t>MÁQ. Nº 1</t>
  </si>
  <si>
    <r>
      <rPr>
        <sz val="11"/>
        <rFont val="Arial"/>
        <family val="2"/>
      </rPr>
      <t>Sistema de Gestão Integrado</t>
    </r>
    <r>
      <rPr>
        <sz val="10"/>
        <rFont val="Arial"/>
        <family val="2"/>
      </rPr>
      <t xml:space="preserve">
</t>
    </r>
    <r>
      <rPr>
        <b/>
        <sz val="18"/>
        <rFont val="Arial"/>
        <family val="2"/>
      </rPr>
      <t>Panasonic do Brasil Limitada</t>
    </r>
  </si>
  <si>
    <t>It.</t>
  </si>
  <si>
    <t>Tipo de Falhas</t>
  </si>
  <si>
    <t>Produção</t>
  </si>
  <si>
    <t>Máq. 1</t>
  </si>
  <si>
    <t>Máq. 2</t>
  </si>
  <si>
    <t>Máq. 3</t>
  </si>
  <si>
    <t>Maior</t>
  </si>
  <si>
    <t>Corresp</t>
  </si>
  <si>
    <t>Cálculo</t>
  </si>
  <si>
    <t>Tipo de Falha</t>
  </si>
  <si>
    <t>Ac</t>
  </si>
  <si>
    <t>Ac%</t>
  </si>
  <si>
    <t>Problemas</t>
  </si>
  <si>
    <t>Total p/ máquina</t>
  </si>
  <si>
    <t>Mês / Ano</t>
  </si>
  <si>
    <t>Tubo Amassado no Corte</t>
  </si>
  <si>
    <t>Chapa Aberta</t>
  </si>
  <si>
    <t xml:space="preserve">Tb. Amassado Flanger </t>
  </si>
  <si>
    <t>TURNO: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</si>
</sst>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_);_(* \(#,##0\);_(* &quot;-&quot;_);_(@_)"/>
    <numFmt numFmtId="165" formatCode="_(* #,##0.00_);_(* \(#,##0.00\);_(* &quot;-&quot;??_);_(@_)"/>
    <numFmt numFmtId="166" formatCode="0.00_)"/>
    <numFmt numFmtId="167" formatCode="&quot;W&quot;#,##0;[Red]\-&quot;W&quot;#,##0"/>
    <numFmt numFmtId="168" formatCode="&quot;W&quot;#,##0.00;[Red]\-&quot;W&quot;#,##0.00"/>
  </numFmts>
  <fonts count="23">
    <font>
      <sz val="10"/>
      <name val="Arial"/>
    </font>
    <font>
      <sz val="8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2"/>
      <name val="ＭＳ ゴシック"/>
      <family val="3"/>
      <charset val="128"/>
    </font>
    <font>
      <sz val="11"/>
      <name val="明朝"/>
      <family val="1"/>
      <charset val="128"/>
    </font>
    <font>
      <b/>
      <sz val="1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0"/>
      <color rgb="FFFF0000"/>
      <name val="Arial"/>
      <family val="2"/>
    </font>
    <font>
      <sz val="10"/>
      <color theme="3" tint="0.39997558519241921"/>
      <name val="Arial"/>
      <family val="2"/>
    </font>
    <font>
      <sz val="14"/>
      <name val="Arial"/>
      <family val="2"/>
    </font>
    <font>
      <sz val="22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b/>
      <sz val="8"/>
      <color theme="0"/>
      <name val="Arial"/>
      <family val="2"/>
    </font>
    <font>
      <sz val="10"/>
      <color theme="0"/>
      <name val="Arial"/>
      <family val="2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6" fontId="2" fillId="0" borderId="0"/>
    <xf numFmtId="10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37" fontId="4" fillId="0" borderId="0"/>
    <xf numFmtId="168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3" fillId="0" borderId="0"/>
  </cellStyleXfs>
  <cellXfs count="138">
    <xf numFmtId="0" fontId="0" fillId="0" borderId="0" xfId="0"/>
    <xf numFmtId="1" fontId="1" fillId="0" borderId="12" xfId="0" applyNumberFormat="1" applyFont="1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textRotation="90"/>
      <protection locked="0"/>
    </xf>
    <xf numFmtId="1" fontId="1" fillId="0" borderId="1" xfId="0" applyNumberFormat="1" applyFont="1" applyBorder="1" applyAlignment="1" applyProtection="1">
      <alignment horizontal="center" vertical="center" shrinkToFit="1"/>
      <protection locked="0"/>
    </xf>
    <xf numFmtId="1" fontId="1" fillId="0" borderId="16" xfId="0" applyNumberFormat="1" applyFont="1" applyBorder="1" applyAlignment="1">
      <alignment horizontal="right" vertical="center" shrinkToFit="1"/>
    </xf>
    <xf numFmtId="1" fontId="1" fillId="0" borderId="18" xfId="0" applyNumberFormat="1" applyFont="1" applyBorder="1" applyAlignment="1">
      <alignment horizontal="right" vertical="center" shrinkToFit="1"/>
    </xf>
    <xf numFmtId="0" fontId="0" fillId="0" borderId="5" xfId="0" applyBorder="1"/>
    <xf numFmtId="0" fontId="0" fillId="0" borderId="11" xfId="0" applyBorder="1"/>
    <xf numFmtId="0" fontId="3" fillId="0" borderId="1" xfId="0" applyFont="1" applyBorder="1" applyAlignment="1" applyProtection="1">
      <alignment horizontal="center" vertical="center" textRotation="90"/>
      <protection locked="0"/>
    </xf>
    <xf numFmtId="0" fontId="6" fillId="0" borderId="0" xfId="0" applyFont="1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0" fillId="0" borderId="3" xfId="0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1" xfId="0" applyBorder="1"/>
    <xf numFmtId="0" fontId="0" fillId="0" borderId="0" xfId="0" applyAlignment="1">
      <alignment vertical="center"/>
    </xf>
    <xf numFmtId="1" fontId="0" fillId="0" borderId="1" xfId="0" applyNumberForma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0" fillId="0" borderId="3" xfId="0" applyFont="1" applyBorder="1" applyAlignment="1">
      <alignment vertical="top"/>
    </xf>
    <xf numFmtId="0" fontId="0" fillId="0" borderId="10" xfId="0" applyBorder="1"/>
    <xf numFmtId="0" fontId="10" fillId="0" borderId="8" xfId="0" applyFont="1" applyBorder="1"/>
    <xf numFmtId="0" fontId="0" fillId="0" borderId="2" xfId="0" applyBorder="1"/>
    <xf numFmtId="0" fontId="0" fillId="0" borderId="13" xfId="0" applyBorder="1"/>
    <xf numFmtId="0" fontId="0" fillId="0" borderId="1" xfId="0" applyBorder="1" applyAlignment="1">
      <alignment horizontal="center" vertical="center" textRotation="90"/>
    </xf>
    <xf numFmtId="0" fontId="0" fillId="0" borderId="29" xfId="0" applyBorder="1" applyAlignment="1">
      <alignment horizontal="center" vertical="center" textRotation="90"/>
    </xf>
    <xf numFmtId="0" fontId="2" fillId="0" borderId="0" xfId="0" applyFont="1"/>
    <xf numFmtId="1" fontId="1" fillId="0" borderId="14" xfId="0" applyNumberFormat="1" applyFont="1" applyBorder="1" applyAlignment="1" applyProtection="1">
      <alignment horizontal="center" vertical="center" shrinkToFit="1"/>
      <protection locked="0"/>
    </xf>
    <xf numFmtId="1" fontId="1" fillId="0" borderId="17" xfId="0" applyNumberFormat="1" applyFont="1" applyBorder="1" applyAlignment="1">
      <alignment horizontal="right" vertical="center" shrinkToFit="1"/>
    </xf>
    <xf numFmtId="0" fontId="9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/>
    </xf>
    <xf numFmtId="0" fontId="8" fillId="0" borderId="6" xfId="0" applyFont="1" applyBorder="1" applyAlignment="1">
      <alignment horizontal="left" vertical="center"/>
    </xf>
    <xf numFmtId="1" fontId="1" fillId="0" borderId="9" xfId="0" applyNumberFormat="1" applyFont="1" applyBorder="1" applyAlignment="1" applyProtection="1">
      <alignment horizontal="center" vertical="center" shrinkToFit="1"/>
      <protection locked="0"/>
    </xf>
    <xf numFmtId="1" fontId="1" fillId="0" borderId="32" xfId="0" applyNumberFormat="1" applyFont="1" applyBorder="1" applyAlignment="1" applyProtection="1">
      <alignment horizontal="center" vertical="center" shrinkToFit="1"/>
      <protection locked="0"/>
    </xf>
    <xf numFmtId="1" fontId="1" fillId="0" borderId="19" xfId="0" applyNumberFormat="1" applyFont="1" applyBorder="1" applyAlignment="1">
      <alignment horizontal="right" vertical="center" shrinkToFit="1"/>
    </xf>
    <xf numFmtId="0" fontId="0" fillId="0" borderId="1" xfId="0" applyBorder="1" applyAlignment="1">
      <alignment vertical="center"/>
    </xf>
    <xf numFmtId="0" fontId="3" fillId="4" borderId="0" xfId="10" applyFill="1"/>
    <xf numFmtId="0" fontId="13" fillId="4" borderId="0" xfId="10" applyFont="1" applyFill="1"/>
    <xf numFmtId="0" fontId="14" fillId="4" borderId="0" xfId="10" applyFont="1" applyFill="1"/>
    <xf numFmtId="0" fontId="15" fillId="4" borderId="0" xfId="10" applyFont="1" applyFill="1"/>
    <xf numFmtId="1" fontId="3" fillId="0" borderId="12" xfId="0" applyNumberFormat="1" applyFont="1" applyBorder="1" applyAlignment="1" applyProtection="1">
      <alignment horizontal="center" vertical="center" shrinkToFit="1"/>
      <protection locked="0"/>
    </xf>
    <xf numFmtId="0" fontId="0" fillId="0" borderId="31" xfId="0" applyBorder="1" applyAlignment="1" applyProtection="1">
      <alignment horizontal="center" vertical="center" shrinkToFit="1"/>
      <protection locked="0"/>
    </xf>
    <xf numFmtId="0" fontId="3" fillId="0" borderId="31" xfId="0" applyFont="1" applyBorder="1" applyAlignment="1" applyProtection="1">
      <alignment horizontal="center" vertical="center" shrinkToFit="1"/>
      <protection locked="0"/>
    </xf>
    <xf numFmtId="0" fontId="0" fillId="0" borderId="4" xfId="0" applyBorder="1" applyAlignment="1" applyProtection="1">
      <alignment horizontal="center" shrinkToFit="1"/>
      <protection locked="0"/>
    </xf>
    <xf numFmtId="0" fontId="11" fillId="0" borderId="10" xfId="0" applyFont="1" applyBorder="1" applyAlignment="1">
      <alignment horizontal="center" vertical="center" textRotation="90"/>
    </xf>
    <xf numFmtId="0" fontId="11" fillId="0" borderId="0" xfId="0" applyFont="1" applyAlignment="1">
      <alignment horizontal="center" vertical="center" textRotation="90"/>
    </xf>
    <xf numFmtId="0" fontId="11" fillId="0" borderId="2" xfId="0" applyFont="1" applyBorder="1" applyAlignment="1">
      <alignment horizontal="center" vertical="center" textRotation="90"/>
    </xf>
    <xf numFmtId="0" fontId="6" fillId="0" borderId="0" xfId="0" quotePrefix="1" applyFont="1" applyAlignment="1">
      <alignment horizontal="centerContinuous" vertical="center"/>
    </xf>
    <xf numFmtId="0" fontId="10" fillId="0" borderId="15" xfId="0" applyFont="1" applyBorder="1" applyAlignment="1">
      <alignment vertical="top"/>
    </xf>
    <xf numFmtId="0" fontId="11" fillId="0" borderId="12" xfId="0" applyFont="1" applyBorder="1" applyAlignment="1">
      <alignment horizontal="center" vertical="center" textRotation="90"/>
    </xf>
    <xf numFmtId="0" fontId="0" fillId="0" borderId="16" xfId="0" applyBorder="1"/>
    <xf numFmtId="0" fontId="11" fillId="0" borderId="36" xfId="0" applyFont="1" applyBorder="1" applyAlignment="1">
      <alignment horizontal="center" vertical="center" textRotation="90"/>
    </xf>
    <xf numFmtId="0" fontId="0" fillId="0" borderId="37" xfId="0" applyBorder="1"/>
    <xf numFmtId="0" fontId="9" fillId="0" borderId="3" xfId="0" applyFont="1" applyBorder="1" applyAlignment="1">
      <alignment horizontal="centerContinuous" vertical="center"/>
    </xf>
    <xf numFmtId="0" fontId="9" fillId="0" borderId="3" xfId="0" applyFont="1" applyBorder="1" applyAlignment="1">
      <alignment horizontal="centerContinuous"/>
    </xf>
    <xf numFmtId="0" fontId="9" fillId="0" borderId="7" xfId="0" applyFont="1" applyBorder="1" applyAlignment="1">
      <alignment horizontal="left" vertical="center"/>
    </xf>
    <xf numFmtId="0" fontId="17" fillId="0" borderId="6" xfId="0" applyFont="1" applyBorder="1" applyAlignment="1">
      <alignment horizontal="left" vertical="center"/>
    </xf>
    <xf numFmtId="0" fontId="3" fillId="0" borderId="0" xfId="0" applyFont="1" applyAlignment="1">
      <alignment horizontal="centerContinuous" wrapText="1"/>
    </xf>
    <xf numFmtId="0" fontId="10" fillId="0" borderId="0" xfId="0" applyFont="1" applyAlignment="1">
      <alignment vertical="top"/>
    </xf>
    <xf numFmtId="0" fontId="10" fillId="0" borderId="2" xfId="0" applyFont="1" applyBorder="1"/>
    <xf numFmtId="0" fontId="11" fillId="0" borderId="38" xfId="0" applyFont="1" applyBorder="1" applyAlignment="1">
      <alignment horizontal="center" vertical="center" textRotation="90"/>
    </xf>
    <xf numFmtId="0" fontId="3" fillId="0" borderId="4" xfId="0" applyFont="1" applyBorder="1" applyAlignment="1" applyProtection="1">
      <alignment horizontal="center" vertical="center" shrinkToFit="1"/>
      <protection locked="0"/>
    </xf>
    <xf numFmtId="0" fontId="9" fillId="0" borderId="31" xfId="0" applyFont="1" applyBorder="1" applyAlignment="1" applyProtection="1">
      <alignment horizontal="center" vertical="center" shrinkToFit="1"/>
      <protection locked="0"/>
    </xf>
    <xf numFmtId="1" fontId="3" fillId="0" borderId="14" xfId="0" applyNumberFormat="1" applyFont="1" applyBorder="1" applyAlignment="1" applyProtection="1">
      <alignment horizontal="center" vertical="center" shrinkToFit="1"/>
      <protection locked="0"/>
    </xf>
    <xf numFmtId="1" fontId="3" fillId="0" borderId="32" xfId="0" applyNumberFormat="1" applyFont="1" applyBorder="1" applyAlignment="1" applyProtection="1">
      <alignment horizontal="center" vertical="center" shrinkToFit="1"/>
      <protection locked="0"/>
    </xf>
    <xf numFmtId="1" fontId="3" fillId="0" borderId="9" xfId="0" applyNumberFormat="1" applyFont="1" applyBorder="1" applyAlignment="1" applyProtection="1">
      <alignment horizontal="center" vertical="center" shrinkToFit="1"/>
      <protection locked="0"/>
    </xf>
    <xf numFmtId="1" fontId="9" fillId="0" borderId="12" xfId="0" applyNumberFormat="1" applyFont="1" applyBorder="1" applyAlignment="1" applyProtection="1">
      <alignment horizontal="center" vertical="center" shrinkToFit="1"/>
      <protection locked="0"/>
    </xf>
    <xf numFmtId="0" fontId="9" fillId="0" borderId="12" xfId="0" applyFont="1" applyBorder="1" applyAlignment="1" applyProtection="1">
      <alignment horizontal="center" vertical="center" shrinkToFit="1"/>
      <protection locked="0"/>
    </xf>
    <xf numFmtId="0" fontId="0" fillId="0" borderId="4" xfId="0" applyBorder="1" applyAlignment="1" applyProtection="1">
      <alignment horizontal="center" vertical="center" shrinkToFit="1"/>
      <protection locked="0"/>
    </xf>
    <xf numFmtId="1" fontId="9" fillId="0" borderId="14" xfId="0" applyNumberFormat="1" applyFont="1" applyBorder="1" applyAlignment="1" applyProtection="1">
      <alignment horizontal="center" vertical="center" shrinkToFit="1"/>
      <protection locked="0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12" xfId="0" applyNumberFormat="1" applyFont="1" applyBorder="1" applyAlignment="1">
      <alignment horizontal="center" vertical="center" shrinkToFit="1"/>
    </xf>
    <xf numFmtId="1" fontId="3" fillId="0" borderId="32" xfId="0" applyNumberFormat="1" applyFont="1" applyBorder="1" applyAlignment="1">
      <alignment horizontal="center" vertical="center" shrinkToFit="1"/>
    </xf>
    <xf numFmtId="1" fontId="3" fillId="0" borderId="9" xfId="0" applyNumberFormat="1" applyFont="1" applyBorder="1" applyAlignment="1">
      <alignment horizontal="center" vertical="center" shrinkToFit="1"/>
    </xf>
    <xf numFmtId="0" fontId="12" fillId="0" borderId="0" xfId="0" applyFont="1" applyAlignment="1">
      <alignment horizontal="center"/>
    </xf>
    <xf numFmtId="1" fontId="0" fillId="0" borderId="0" xfId="0" applyNumberFormat="1" applyAlignment="1">
      <alignment vertical="center"/>
    </xf>
    <xf numFmtId="1" fontId="0" fillId="0" borderId="0" xfId="0" applyNumberFormat="1" applyAlignment="1">
      <alignment horizontal="center" vertical="center"/>
    </xf>
    <xf numFmtId="1" fontId="0" fillId="0" borderId="1" xfId="0" applyNumberFormat="1" applyBorder="1"/>
    <xf numFmtId="1" fontId="9" fillId="0" borderId="16" xfId="0" applyNumberFormat="1" applyFont="1" applyBorder="1" applyAlignment="1">
      <alignment horizontal="right" vertical="center" shrinkToFit="1"/>
    </xf>
    <xf numFmtId="1" fontId="9" fillId="0" borderId="17" xfId="0" applyNumberFormat="1" applyFont="1" applyBorder="1" applyAlignment="1">
      <alignment horizontal="right" vertical="center" shrinkToFit="1"/>
    </xf>
    <xf numFmtId="1" fontId="9" fillId="0" borderId="18" xfId="0" applyNumberFormat="1" applyFont="1" applyBorder="1" applyAlignment="1">
      <alignment horizontal="right" vertical="center" shrinkToFit="1"/>
    </xf>
    <xf numFmtId="1" fontId="9" fillId="0" borderId="19" xfId="0" applyNumberFormat="1" applyFont="1" applyBorder="1" applyAlignment="1">
      <alignment horizontal="right" vertical="center" shrinkToFit="1"/>
    </xf>
    <xf numFmtId="0" fontId="20" fillId="0" borderId="0" xfId="0" applyFont="1" applyAlignment="1">
      <alignment horizontal="centerContinuous" vertical="center"/>
    </xf>
    <xf numFmtId="0" fontId="21" fillId="0" borderId="0" xfId="0" applyFont="1"/>
    <xf numFmtId="0" fontId="20" fillId="0" borderId="0" xfId="0" applyFont="1" applyAlignment="1">
      <alignment horizontal="center" vertical="center"/>
    </xf>
    <xf numFmtId="0" fontId="17" fillId="0" borderId="21" xfId="0" quotePrefix="1" applyFont="1" applyBorder="1" applyAlignment="1">
      <alignment horizontal="center" vertical="center" wrapText="1"/>
    </xf>
    <xf numFmtId="0" fontId="17" fillId="0" borderId="22" xfId="0" quotePrefix="1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textRotation="90"/>
    </xf>
    <xf numFmtId="0" fontId="9" fillId="0" borderId="21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 textRotation="90"/>
    </xf>
    <xf numFmtId="0" fontId="9" fillId="0" borderId="26" xfId="0" applyFont="1" applyBorder="1" applyAlignment="1">
      <alignment horizontal="center" vertical="center" textRotation="90"/>
    </xf>
    <xf numFmtId="0" fontId="3" fillId="0" borderId="33" xfId="0" applyFon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9" fillId="0" borderId="28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 textRotation="90"/>
    </xf>
    <xf numFmtId="0" fontId="10" fillId="0" borderId="35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 textRotation="90"/>
    </xf>
    <xf numFmtId="0" fontId="11" fillId="0" borderId="0" xfId="0" applyFont="1" applyAlignment="1">
      <alignment horizontal="center" vertical="center" textRotation="90"/>
    </xf>
    <xf numFmtId="0" fontId="11" fillId="0" borderId="2" xfId="0" applyFont="1" applyBorder="1" applyAlignment="1">
      <alignment horizontal="center" vertical="center" textRotation="90"/>
    </xf>
    <xf numFmtId="0" fontId="17" fillId="0" borderId="21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 wrapText="1"/>
    </xf>
    <xf numFmtId="0" fontId="17" fillId="0" borderId="24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 textRotation="90"/>
    </xf>
    <xf numFmtId="0" fontId="7" fillId="0" borderId="26" xfId="0" applyFont="1" applyBorder="1" applyAlignment="1">
      <alignment horizontal="center" vertical="center" textRotation="90"/>
    </xf>
    <xf numFmtId="0" fontId="3" fillId="0" borderId="2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 textRotation="90"/>
    </xf>
    <xf numFmtId="0" fontId="9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33" xfId="0" applyBorder="1" applyAlignment="1">
      <alignment horizontal="center" shrinkToFit="1"/>
    </xf>
    <xf numFmtId="0" fontId="0" fillId="0" borderId="19" xfId="0" applyBorder="1" applyAlignment="1">
      <alignment horizontal="center" shrinkToFit="1"/>
    </xf>
  </cellXfs>
  <cellStyles count="11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10" xr:uid="{00000000-0005-0000-0000-000004000000}"/>
    <cellStyle name="Percent [2]" xfId="4" xr:uid="{00000000-0005-0000-0000-000005000000}"/>
    <cellStyle name="桁区切り [0.00]_laroux" xfId="5" xr:uid="{00000000-0005-0000-0000-000006000000}"/>
    <cellStyle name="桁区切り_laroux" xfId="6" xr:uid="{00000000-0005-0000-0000-000007000000}"/>
    <cellStyle name="標準_22生産1" xfId="7" xr:uid="{00000000-0005-0000-0000-000008000000}"/>
    <cellStyle name="通貨 [0.00]_９７上" xfId="8" xr:uid="{00000000-0005-0000-0000-000009000000}"/>
    <cellStyle name="通貨_９７上" xfId="9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7044407633484"/>
          <c:y val="2.4665210074974592E-2"/>
          <c:w val="0.84874132232030075"/>
          <c:h val="0.95735450355865759"/>
        </c:manualLayout>
      </c:layout>
      <c:lineChart>
        <c:grouping val="standard"/>
        <c:varyColors val="0"/>
        <c:ser>
          <c:idx val="2"/>
          <c:order val="1"/>
          <c:tx>
            <c:strRef>
              <c:f>'SJCPIL-R 14-008-06 - Máq. 1'!$A$20:$C$20</c:f>
              <c:strCache>
                <c:ptCount val="3"/>
                <c:pt idx="0">
                  <c:v>ppm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numRef>
              <c:f>'SJCPIL-R 14-008-06 - Máq. 1'!$D$3:$Z$3</c:f>
              <c:numCache>
                <c:formatCode>General</c:formatCode>
                <c:ptCount val="23"/>
              </c:numCache>
            </c:numRef>
          </c:cat>
          <c:val>
            <c:numRef>
              <c:f>'SJCPIL-R 14-008-06 - Máq. 1'!$D$20:$Z$20</c:f>
              <c:numCache>
                <c:formatCode>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B0-4998-AED0-2F934F465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745496"/>
        <c:axId val="223688648"/>
      </c:lineChart>
      <c:scatterChart>
        <c:scatterStyle val="lineMarker"/>
        <c:varyColors val="0"/>
        <c:ser>
          <c:idx val="0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dLbl>
              <c:idx val="0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000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8308-4642-BD48-41D4DBDC7B28}"/>
                </c:ext>
              </c:extLst>
            </c:dLbl>
            <c:spPr>
              <a:solidFill>
                <a:srgbClr val="FF0000"/>
              </a:solidFill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2225">
                <a:solidFill>
                  <a:srgbClr val="FF0000"/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14-008-06 - Máq. 1'!$D$36</c:f>
              <c:numCache>
                <c:formatCode>General</c:formatCode>
                <c:ptCount val="1"/>
                <c:pt idx="0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0-4998-AED0-2F934F465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89040"/>
        <c:axId val="223683160"/>
      </c:scatterChart>
      <c:catAx>
        <c:axId val="947454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3688648"/>
        <c:crosses val="autoZero"/>
        <c:auto val="1"/>
        <c:lblAlgn val="ctr"/>
        <c:lblOffset val="100"/>
        <c:tickMarkSkip val="1"/>
        <c:noMultiLvlLbl val="1"/>
      </c:catAx>
      <c:valAx>
        <c:axId val="223688648"/>
        <c:scaling>
          <c:orientation val="minMax"/>
          <c:max val="1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1.7512670251256954E-2"/>
              <c:y val="0.301148670615568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94745496"/>
        <c:crosses val="autoZero"/>
        <c:crossBetween val="between"/>
      </c:valAx>
      <c:valAx>
        <c:axId val="2236831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3689040"/>
        <c:crosses val="max"/>
        <c:crossBetween val="midCat"/>
      </c:valAx>
      <c:valAx>
        <c:axId val="223689040"/>
        <c:scaling>
          <c:orientation val="minMax"/>
          <c:max val="2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22368316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50393704" l="0.78740157480314965" r="0.78740157480314965" t="0.98425196850393704" header="0.51181102362204722" footer="0.5118110236220472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88326402591091"/>
          <c:y val="2.1828017012227533E-2"/>
          <c:w val="0.84309859112533869"/>
          <c:h val="0.95930940988835722"/>
        </c:manualLayout>
      </c:layout>
      <c:lineChart>
        <c:grouping val="standard"/>
        <c:varyColors val="0"/>
        <c:ser>
          <c:idx val="2"/>
          <c:order val="1"/>
          <c:tx>
            <c:strRef>
              <c:f>'SJCPIL-R 14-008-06 - Máq. 2'!$A$20:$C$20</c:f>
              <c:strCache>
                <c:ptCount val="3"/>
                <c:pt idx="0">
                  <c:v>ppm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'SJCPIL-R 14-008-06 - Máq. 2'!$D$20:$Z$20</c:f>
              <c:numCache>
                <c:formatCode>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6F-4AFC-AD34-79E7A438C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684336"/>
        <c:axId val="223685120"/>
      </c:lineChart>
      <c:scatterChart>
        <c:scatterStyle val="lineMarker"/>
        <c:varyColors val="0"/>
        <c:ser>
          <c:idx val="0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2225">
                <a:solidFill>
                  <a:srgbClr val="FF0000"/>
                </a:solidFill>
              </a:ln>
            </c:spPr>
          </c:errBars>
          <c:xVal>
            <c:numRef>
              <c:f>'SJCPIL-R 14-008-06 - Máq. 2'!$D$2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'SJCPIL-R 14-008-06 - Máq. 2'!$D$36</c:f>
              <c:numCache>
                <c:formatCode>General</c:formatCode>
                <c:ptCount val="1"/>
                <c:pt idx="0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6F-4AFC-AD34-79E7A438C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82768"/>
        <c:axId val="223682376"/>
      </c:scatterChart>
      <c:catAx>
        <c:axId val="2236843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3685120"/>
        <c:crosses val="autoZero"/>
        <c:auto val="1"/>
        <c:lblAlgn val="ctr"/>
        <c:lblOffset val="100"/>
        <c:noMultiLvlLbl val="1"/>
      </c:catAx>
      <c:valAx>
        <c:axId val="223685120"/>
        <c:scaling>
          <c:orientation val="minMax"/>
          <c:max val="1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1.7512670251256954E-2"/>
              <c:y val="0.301148670615568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3684336"/>
        <c:crosses val="autoZero"/>
        <c:crossBetween val="between"/>
      </c:valAx>
      <c:valAx>
        <c:axId val="2236823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3682768"/>
        <c:crosses val="max"/>
        <c:crossBetween val="midCat"/>
      </c:valAx>
      <c:valAx>
        <c:axId val="223682768"/>
        <c:scaling>
          <c:orientation val="minMax"/>
          <c:max val="2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223682376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50393704" l="0.78740157480314965" r="0.78740157480314965" t="0.98425196850393704" header="0.51181102362204722" footer="0.51181102362204722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94184798722517"/>
          <c:y val="2.7656831472620946E-2"/>
          <c:w val="0.84401534546100354"/>
          <c:h val="0.9428269537480064"/>
        </c:manualLayout>
      </c:layout>
      <c:lineChart>
        <c:grouping val="standard"/>
        <c:varyColors val="0"/>
        <c:ser>
          <c:idx val="1"/>
          <c:order val="1"/>
          <c:tx>
            <c:strRef>
              <c:f>'SJCPIL-R 14-008-06 - Máq. 3'!$A$20:$C$20</c:f>
              <c:strCache>
                <c:ptCount val="3"/>
                <c:pt idx="0">
                  <c:v>ppm</c:v>
                </c:pt>
              </c:strCache>
            </c:strRef>
          </c:tx>
          <c:spPr>
            <a:ln w="22225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'SJCPIL-R 14-008-06 - Máq. 3'!$D$20:$Z$20</c:f>
              <c:numCache>
                <c:formatCode>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06-482F-8313-914D9D24F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689432"/>
        <c:axId val="223683552"/>
      </c:lineChart>
      <c:scatterChart>
        <c:scatterStyle val="lineMarker"/>
        <c:varyColors val="0"/>
        <c:ser>
          <c:idx val="0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dLbl>
              <c:idx val="0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000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E864-4379-953A-9703E90CF189}"/>
                </c:ext>
              </c:extLst>
            </c:dLbl>
            <c:spPr>
              <a:solidFill>
                <a:srgbClr val="FF0000"/>
              </a:solidFill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2225">
                <a:solidFill>
                  <a:srgbClr val="FF0000"/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14-008-06 - Máq. 3'!$D$36</c:f>
              <c:numCache>
                <c:formatCode>General</c:formatCode>
                <c:ptCount val="1"/>
                <c:pt idx="0">
                  <c:v>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E4-40CB-AC01-F43B2E3F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88256"/>
        <c:axId val="223685904"/>
      </c:scatterChart>
      <c:catAx>
        <c:axId val="2236894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crossAx val="223683552"/>
        <c:crosses val="autoZero"/>
        <c:auto val="1"/>
        <c:lblAlgn val="ctr"/>
        <c:lblOffset val="100"/>
        <c:noMultiLvlLbl val="1"/>
      </c:catAx>
      <c:valAx>
        <c:axId val="223683552"/>
        <c:scaling>
          <c:orientation val="minMax"/>
          <c:max val="1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1.7512670251256954E-2"/>
              <c:y val="0.301148670615568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3689432"/>
        <c:crosses val="autoZero"/>
        <c:crossBetween val="between"/>
      </c:valAx>
      <c:valAx>
        <c:axId val="2236859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3688256"/>
        <c:crosses val="max"/>
        <c:crossBetween val="midCat"/>
      </c:valAx>
      <c:valAx>
        <c:axId val="223688256"/>
        <c:scaling>
          <c:orientation val="minMax"/>
          <c:max val="2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223685904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50393704" l="0.78740157480314965" r="0.78740157480314965" t="0.98425196850393704" header="0.51181102362204722" footer="0.51181102362204722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75762838929581"/>
          <c:y val="3.4408674413378727E-2"/>
          <c:w val="0.88721404502142731"/>
          <c:h val="0.9333352934628979"/>
        </c:manualLayout>
      </c:layout>
      <c:lineChart>
        <c:grouping val="standard"/>
        <c:varyColors val="0"/>
        <c:ser>
          <c:idx val="0"/>
          <c:order val="0"/>
          <c:tx>
            <c:v>Objetivo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'RESUMO DIÁRIO'!$D$3:$AI$3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'RESUMO DIÁRIO'!$D$34:$AJ$34</c:f>
              <c:numCache>
                <c:formatCode>General</c:formatCode>
                <c:ptCount val="33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04-4C77-888C-AC9A2F383B6B}"/>
            </c:ext>
          </c:extLst>
        </c:ser>
        <c:ser>
          <c:idx val="1"/>
          <c:order val="1"/>
          <c:tx>
            <c:v>Falhas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'RESUMO DIÁRIO'!$D$3:$AI$3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'SJCPIL-R 14-008-01 - Máq. 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04-4C77-888C-AC9A2F383B6B}"/>
            </c:ext>
          </c:extLst>
        </c:ser>
        <c:ser>
          <c:idx val="2"/>
          <c:order val="2"/>
          <c:tx>
            <c:strRef>
              <c:f>'RESUMO DIÁRIO'!$A$20:$C$20</c:f>
              <c:strCache>
                <c:ptCount val="3"/>
                <c:pt idx="0">
                  <c:v>ppm</c:v>
                </c:pt>
              </c:strCache>
            </c:strRef>
          </c:tx>
          <c:spPr>
            <a:ln>
              <a:solidFill>
                <a:srgbClr val="002060"/>
              </a:solidFill>
              <a:round/>
            </a:ln>
          </c:spPr>
          <c:marker>
            <c:symbol val="none"/>
          </c:marker>
          <c:cat>
            <c:numRef>
              <c:f>'RESUMO DIÁRIO'!$D$3:$AI$3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'RESUMO DIÁRIO'!$D$20:$AI$20</c:f>
              <c:numCache>
                <c:formatCode>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04-4C77-888C-AC9A2F383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3683944"/>
        <c:axId val="223684728"/>
      </c:lineChart>
      <c:catAx>
        <c:axId val="2236839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crossAx val="223684728"/>
        <c:crosses val="autoZero"/>
        <c:auto val="1"/>
        <c:lblAlgn val="ctr"/>
        <c:lblOffset val="100"/>
        <c:tickMarkSkip val="1"/>
        <c:noMultiLvlLbl val="1"/>
      </c:catAx>
      <c:valAx>
        <c:axId val="223684728"/>
        <c:scaling>
          <c:orientation val="minMax"/>
          <c:max val="1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1.7512670251256954E-2"/>
              <c:y val="0.301148670615568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3683944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50393704" l="0.78740157480314965" r="0.78740157480314965" t="0.98425196850393704" header="0.51181102362204722" footer="0.51181102362204722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Pareto de Falhas da Blindagem UM-1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'RESUMO DIÁRIO'!$AY$3</c:f>
              <c:strCache>
                <c:ptCount val="1"/>
                <c:pt idx="0">
                  <c:v>Problemas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20000"/>
                    <a:lumOff val="80000"/>
                  </a:schemeClr>
                </a:gs>
                <a:gs pos="100000">
                  <a:srgbClr val="FF000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DIÁRIO'!$AU$5:$AU$16</c:f>
              <c:strCache>
                <c:ptCount val="12"/>
                <c:pt idx="0">
                  <c:v>MONTAGEM / OUTROS</c:v>
                </c:pt>
                <c:pt idx="1">
                  <c:v>FLEXER</c:v>
                </c:pt>
                <c:pt idx="2">
                  <c:v>Outros</c:v>
                </c:pt>
                <c:pt idx="3">
                  <c:v>Pé de Elefante</c:v>
                </c:pt>
                <c:pt idx="4">
                  <c:v>Pank</c:v>
                </c:pt>
                <c:pt idx="5">
                  <c:v>Lingueta aberta</c:v>
                </c:pt>
                <c:pt idx="6">
                  <c:v>Tb amassado inf.</c:v>
                </c:pt>
                <c:pt idx="7">
                  <c:v>Tb. amassado sup.</c:v>
                </c:pt>
                <c:pt idx="8">
                  <c:v>Tb. Amassado Fuinga</c:v>
                </c:pt>
                <c:pt idx="9">
                  <c:v>Tubo Oval</c:v>
                </c:pt>
                <c:pt idx="10">
                  <c:v>Chapa Manchada</c:v>
                </c:pt>
                <c:pt idx="11">
                  <c:v>Chapa Riscada</c:v>
                </c:pt>
              </c:strCache>
            </c:strRef>
          </c:cat>
          <c:val>
            <c:numRef>
              <c:f>'RESUMO DIÁRIO'!$AY$5:$AY$16</c:f>
              <c:numCache>
                <c:formatCode>General</c:formatCode>
                <c:ptCount val="1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63-4410-9F9A-265FC419D2C6}"/>
            </c:ext>
          </c:extLst>
        </c:ser>
        <c:ser>
          <c:idx val="0"/>
          <c:order val="1"/>
          <c:tx>
            <c:strRef>
              <c:f>'RESUMO DIÁRIO'!$AV$3</c:f>
              <c:strCache>
                <c:ptCount val="1"/>
                <c:pt idx="0">
                  <c:v>ppm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50000">
                  <a:schemeClr val="accent1">
                    <a:lumMod val="45000"/>
                    <a:lumOff val="55000"/>
                  </a:schemeClr>
                </a:gs>
                <a:gs pos="100000">
                  <a:srgbClr val="00206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DIÁRIO'!$AU$5:$AU$16</c:f>
              <c:strCache>
                <c:ptCount val="12"/>
                <c:pt idx="0">
                  <c:v>MONTAGEM / OUTROS</c:v>
                </c:pt>
                <c:pt idx="1">
                  <c:v>FLEXER</c:v>
                </c:pt>
                <c:pt idx="2">
                  <c:v>Outros</c:v>
                </c:pt>
                <c:pt idx="3">
                  <c:v>Pé de Elefante</c:v>
                </c:pt>
                <c:pt idx="4">
                  <c:v>Pank</c:v>
                </c:pt>
                <c:pt idx="5">
                  <c:v>Lingueta aberta</c:v>
                </c:pt>
                <c:pt idx="6">
                  <c:v>Tb amassado inf.</c:v>
                </c:pt>
                <c:pt idx="7">
                  <c:v>Tb. amassado sup.</c:v>
                </c:pt>
                <c:pt idx="8">
                  <c:v>Tb. Amassado Fuinga</c:v>
                </c:pt>
                <c:pt idx="9">
                  <c:v>Tubo Oval</c:v>
                </c:pt>
                <c:pt idx="10">
                  <c:v>Chapa Manchada</c:v>
                </c:pt>
                <c:pt idx="11">
                  <c:v>Chapa Riscada</c:v>
                </c:pt>
              </c:strCache>
            </c:strRef>
          </c:cat>
          <c:val>
            <c:numRef>
              <c:f>'RESUMO DIÁRIO'!$AV$5:$AV$16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63-4410-9F9A-265FC419D2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223686296"/>
        <c:axId val="223686688"/>
      </c:barChart>
      <c:lineChart>
        <c:grouping val="standard"/>
        <c:varyColors val="0"/>
        <c:ser>
          <c:idx val="1"/>
          <c:order val="2"/>
          <c:tx>
            <c:strRef>
              <c:f>'RESUMO DIÁRIO'!$AX$3</c:f>
              <c:strCache>
                <c:ptCount val="1"/>
                <c:pt idx="0">
                  <c:v>Ac%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DIÁRIO'!$AU$5:$AU$16</c:f>
              <c:strCache>
                <c:ptCount val="12"/>
                <c:pt idx="0">
                  <c:v>MONTAGEM / OUTROS</c:v>
                </c:pt>
                <c:pt idx="1">
                  <c:v>FLEXER</c:v>
                </c:pt>
                <c:pt idx="2">
                  <c:v>Outros</c:v>
                </c:pt>
                <c:pt idx="3">
                  <c:v>Pé de Elefante</c:v>
                </c:pt>
                <c:pt idx="4">
                  <c:v>Pank</c:v>
                </c:pt>
                <c:pt idx="5">
                  <c:v>Lingueta aberta</c:v>
                </c:pt>
                <c:pt idx="6">
                  <c:v>Tb amassado inf.</c:v>
                </c:pt>
                <c:pt idx="7">
                  <c:v>Tb. amassado sup.</c:v>
                </c:pt>
                <c:pt idx="8">
                  <c:v>Tb. Amassado Fuinga</c:v>
                </c:pt>
                <c:pt idx="9">
                  <c:v>Tubo Oval</c:v>
                </c:pt>
                <c:pt idx="10">
                  <c:v>Chapa Manchada</c:v>
                </c:pt>
                <c:pt idx="11">
                  <c:v>Chapa Riscada</c:v>
                </c:pt>
              </c:strCache>
            </c:strRef>
          </c:cat>
          <c:val>
            <c:numRef>
              <c:f>'RESUMO DIÁRIO'!$AX$5:$AX$16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63-4410-9F9A-265FC419D2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4499304"/>
        <c:axId val="223687864"/>
      </c:lineChart>
      <c:catAx>
        <c:axId val="22368629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686688"/>
        <c:crosses val="autoZero"/>
        <c:auto val="1"/>
        <c:lblAlgn val="ctr"/>
        <c:lblOffset val="100"/>
        <c:noMultiLvlLbl val="0"/>
      </c:catAx>
      <c:valAx>
        <c:axId val="22368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Taxa</a:t>
                </a:r>
                <a:r>
                  <a:rPr lang="pt-BR" baseline="0"/>
                  <a:t> Defeituosa (ppm)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686296"/>
        <c:crosses val="autoZero"/>
        <c:crossBetween val="between"/>
      </c:valAx>
      <c:valAx>
        <c:axId val="2236878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4499304"/>
        <c:crosses val="max"/>
        <c:crossBetween val="between"/>
      </c:valAx>
      <c:catAx>
        <c:axId val="224499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3687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2952750"/>
          <a:ext cx="7934325" cy="1905001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609599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3048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20</xdr:row>
      <xdr:rowOff>19050</xdr:rowOff>
    </xdr:from>
    <xdr:to>
      <xdr:col>26</xdr:col>
      <xdr:colOff>180975</xdr:colOff>
      <xdr:row>29</xdr:row>
      <xdr:rowOff>333375</xdr:rowOff>
    </xdr:to>
    <xdr:graphicFrame macro="">
      <xdr:nvGraphicFramePr>
        <xdr:cNvPr id="3" name="Gráfico 8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66675</xdr:rowOff>
        </xdr:from>
        <xdr:to>
          <xdr:col>19</xdr:col>
          <xdr:colOff>552450</xdr:colOff>
          <xdr:row>0</xdr:row>
          <xdr:rowOff>285750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304800</xdr:rowOff>
        </xdr:from>
        <xdr:to>
          <xdr:col>19</xdr:col>
          <xdr:colOff>552450</xdr:colOff>
          <xdr:row>1</xdr:row>
          <xdr:rowOff>19050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228601</xdr:colOff>
      <xdr:row>20</xdr:row>
      <xdr:rowOff>38100</xdr:rowOff>
    </xdr:from>
    <xdr:to>
      <xdr:col>26</xdr:col>
      <xdr:colOff>399226</xdr:colOff>
      <xdr:row>29</xdr:row>
      <xdr:rowOff>323850</xdr:rowOff>
    </xdr:to>
    <xdr:graphicFrame macro="">
      <xdr:nvGraphicFramePr>
        <xdr:cNvPr id="3" name="Gráfico 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66675</xdr:rowOff>
        </xdr:from>
        <xdr:to>
          <xdr:col>19</xdr:col>
          <xdr:colOff>552450</xdr:colOff>
          <xdr:row>0</xdr:row>
          <xdr:rowOff>285750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304800</xdr:rowOff>
        </xdr:from>
        <xdr:to>
          <xdr:col>19</xdr:col>
          <xdr:colOff>552450</xdr:colOff>
          <xdr:row>1</xdr:row>
          <xdr:rowOff>19050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20</xdr:row>
      <xdr:rowOff>9526</xdr:rowOff>
    </xdr:from>
    <xdr:to>
      <xdr:col>26</xdr:col>
      <xdr:colOff>294449</xdr:colOff>
      <xdr:row>29</xdr:row>
      <xdr:rowOff>342526</xdr:rowOff>
    </xdr:to>
    <xdr:graphicFrame macro="">
      <xdr:nvGraphicFramePr>
        <xdr:cNvPr id="3" name="Gráfico 8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66675</xdr:rowOff>
        </xdr:from>
        <xdr:to>
          <xdr:col>19</xdr:col>
          <xdr:colOff>552450</xdr:colOff>
          <xdr:row>0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304800</xdr:rowOff>
        </xdr:from>
        <xdr:to>
          <xdr:col>19</xdr:col>
          <xdr:colOff>552450</xdr:colOff>
          <xdr:row>1</xdr:row>
          <xdr:rowOff>19050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85725</xdr:rowOff>
    </xdr:from>
    <xdr:to>
      <xdr:col>5</xdr:col>
      <xdr:colOff>47625</xdr:colOff>
      <xdr:row>1</xdr:row>
      <xdr:rowOff>152400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85725" y="85725"/>
          <a:ext cx="2552700" cy="571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2000" b="1" i="0" u="none" strike="noStrike" baseline="0">
            <a:solidFill>
              <a:srgbClr val="0000FF"/>
            </a:solidFill>
            <a:latin typeface="SwitzerlandBlack"/>
          </a:endParaRPr>
        </a:p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47625</xdr:colOff>
      <xdr:row>20</xdr:row>
      <xdr:rowOff>9525</xdr:rowOff>
    </xdr:from>
    <xdr:to>
      <xdr:col>35</xdr:col>
      <xdr:colOff>133350</xdr:colOff>
      <xdr:row>30</xdr:row>
      <xdr:rowOff>0</xdr:rowOff>
    </xdr:to>
    <xdr:graphicFrame macro="">
      <xdr:nvGraphicFramePr>
        <xdr:cNvPr id="3" name="Gráfico 8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21577</xdr:colOff>
      <xdr:row>0</xdr:row>
      <xdr:rowOff>0</xdr:rowOff>
    </xdr:from>
    <xdr:to>
      <xdr:col>15</xdr:col>
      <xdr:colOff>600075</xdr:colOff>
      <xdr:row>44</xdr:row>
      <xdr:rowOff>19050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PUB\QUALIDADE\FY2021\(1)%20Quality%20Business%20Plan\1.3%20-%20Medi&#231;&#227;o%20e%20Monitoramento\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30">
          <cell r="Y30">
            <v>600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2:S39"/>
  <sheetViews>
    <sheetView workbookViewId="0">
      <selection activeCell="Q5" sqref="Q5"/>
    </sheetView>
  </sheetViews>
  <sheetFormatPr defaultRowHeight="12.75"/>
  <cols>
    <col min="1" max="16384" width="9.140625" style="39"/>
  </cols>
  <sheetData>
    <row r="2" spans="2:19" ht="27"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</row>
    <row r="7" spans="2:19" ht="18">
      <c r="N7" s="41"/>
    </row>
    <row r="8" spans="2:19" ht="18">
      <c r="N8" s="41"/>
    </row>
    <row r="9" spans="2:19" ht="18">
      <c r="H9" s="41"/>
    </row>
    <row r="11" spans="2:19" ht="18">
      <c r="H11" s="41"/>
      <c r="I11" s="41"/>
      <c r="K11" s="41"/>
      <c r="M11" s="41"/>
      <c r="N11" s="41"/>
      <c r="O11" s="41"/>
      <c r="P11" s="41"/>
      <c r="Q11" s="41"/>
      <c r="R11" s="41"/>
      <c r="S11" s="41"/>
    </row>
    <row r="12" spans="2:19" ht="18"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</row>
    <row r="13" spans="2:19" ht="18">
      <c r="B13" s="41"/>
      <c r="C13" s="41"/>
      <c r="D13" s="41"/>
      <c r="E13" s="41"/>
      <c r="F13" s="41"/>
      <c r="G13" s="41"/>
      <c r="H13" s="41"/>
      <c r="I13" s="41"/>
      <c r="K13" s="41"/>
      <c r="L13" s="41"/>
      <c r="M13" s="41"/>
      <c r="N13" s="41"/>
      <c r="O13" s="41"/>
      <c r="P13" s="41"/>
      <c r="Q13" s="41"/>
      <c r="R13" s="41"/>
      <c r="S13" s="41"/>
    </row>
    <row r="14" spans="2:19" ht="18"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</row>
    <row r="15" spans="2:19" ht="18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</row>
    <row r="16" spans="2:19" ht="18"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</row>
    <row r="17" spans="2:14" ht="18"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</row>
    <row r="18" spans="2:14" ht="18"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</row>
    <row r="19" spans="2:14" ht="18"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</row>
    <row r="20" spans="2:14" ht="18"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</row>
    <row r="21" spans="2:14" ht="18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</row>
    <row r="22" spans="2:14" ht="18"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</row>
    <row r="23" spans="2:14" ht="18"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</row>
    <row r="24" spans="2:14" ht="18"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</row>
    <row r="25" spans="2:14" ht="18"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</row>
    <row r="35" spans="2:6">
      <c r="B35" s="40" t="s">
        <v>32</v>
      </c>
      <c r="C35" s="40"/>
      <c r="D35" s="40"/>
      <c r="E35" s="40"/>
      <c r="F35" s="40"/>
    </row>
    <row r="36" spans="2:6">
      <c r="B36" s="40" t="s">
        <v>31</v>
      </c>
      <c r="C36" s="40"/>
      <c r="D36" s="40"/>
      <c r="E36" s="40"/>
      <c r="F36" s="40"/>
    </row>
    <row r="37" spans="2:6">
      <c r="B37" s="40"/>
      <c r="C37" s="40"/>
      <c r="D37" s="40"/>
      <c r="E37" s="40"/>
      <c r="F37" s="40"/>
    </row>
    <row r="38" spans="2:6">
      <c r="B38" s="40" t="s">
        <v>30</v>
      </c>
      <c r="C38" s="40"/>
      <c r="D38" s="40"/>
      <c r="E38" s="40"/>
      <c r="F38" s="40"/>
    </row>
    <row r="39" spans="2:6">
      <c r="B39" s="40" t="s">
        <v>29</v>
      </c>
      <c r="C39" s="40"/>
      <c r="D39" s="40"/>
      <c r="E39" s="40"/>
      <c r="F39" s="40"/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9">
    <pageSetUpPr fitToPage="1"/>
  </sheetPr>
  <dimension ref="A1:AB45"/>
  <sheetViews>
    <sheetView showZeros="0" topLeftCell="A16" zoomScale="89" zoomScaleNormal="89" workbookViewId="0">
      <selection activeCell="L18" sqref="L18"/>
    </sheetView>
  </sheetViews>
  <sheetFormatPr defaultColWidth="11.42578125" defaultRowHeight="12.75"/>
  <cols>
    <col min="1" max="1" width="4.42578125" customWidth="1"/>
    <col min="2" max="2" width="4" bestFit="1" customWidth="1"/>
    <col min="3" max="3" width="27.85546875" customWidth="1"/>
    <col min="4" max="26" width="9.140625" customWidth="1"/>
    <col min="27" max="27" width="15.7109375" customWidth="1"/>
    <col min="28" max="28" width="1" customWidth="1"/>
  </cols>
  <sheetData>
    <row r="1" spans="1:27" ht="39.75" customHeight="1" thickBot="1">
      <c r="A1" s="60" t="s">
        <v>40</v>
      </c>
      <c r="B1" s="10"/>
      <c r="C1" s="10"/>
      <c r="D1" s="10"/>
      <c r="E1" s="9"/>
      <c r="F1" s="9"/>
      <c r="G1" s="9" t="s">
        <v>0</v>
      </c>
      <c r="H1" s="9"/>
      <c r="I1" s="9"/>
      <c r="J1" s="9"/>
      <c r="K1" s="9"/>
      <c r="L1" s="9"/>
      <c r="M1" s="9"/>
      <c r="N1" s="9"/>
      <c r="O1" s="9"/>
      <c r="P1" s="32" t="s">
        <v>59</v>
      </c>
      <c r="Q1" s="33"/>
      <c r="R1" s="32"/>
      <c r="S1" s="32"/>
      <c r="T1" s="32"/>
      <c r="W1" s="88" t="s">
        <v>55</v>
      </c>
      <c r="X1" s="89"/>
      <c r="Y1" s="89"/>
      <c r="Z1" s="90" t="str">
        <f ca="1">MID(CELL("nome.arquivo"),SEARCH(".xl",CELL("nome.arquivo"))-2,2)&amp;" / 20"&amp;MID(CELL("nome.arquivo"),SEARCH(".xl",CELL("nome.arquivo"))-4,2)</f>
        <v>03 / 2022</v>
      </c>
      <c r="AA1" s="91"/>
    </row>
    <row r="2" spans="1:27" ht="13.5" thickBot="1"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7"/>
    </row>
    <row r="3" spans="1:27" ht="30" customHeight="1" thickBot="1">
      <c r="A3" s="56" t="s">
        <v>1</v>
      </c>
      <c r="B3" s="56"/>
      <c r="C3" s="57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99" t="s">
        <v>2</v>
      </c>
    </row>
    <row r="4" spans="1:27" ht="30" customHeight="1" thickBot="1">
      <c r="A4" s="97" t="s">
        <v>39</v>
      </c>
      <c r="B4" s="95" t="s">
        <v>27</v>
      </c>
      <c r="C4" s="96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100"/>
    </row>
    <row r="5" spans="1:27" s="16" customFormat="1" ht="30" customHeight="1">
      <c r="A5" s="98"/>
      <c r="B5" s="92" t="s">
        <v>3</v>
      </c>
      <c r="C5" s="93"/>
      <c r="D5" s="69"/>
      <c r="E5" s="69"/>
      <c r="F5" s="69"/>
      <c r="G5" s="69"/>
      <c r="H5" s="69"/>
      <c r="I5" s="69"/>
      <c r="J5" s="70"/>
      <c r="K5" s="69"/>
      <c r="L5" s="69"/>
      <c r="M5" s="69"/>
      <c r="N5" s="70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81">
        <f>SUM(D5:Z5)</f>
        <v>0</v>
      </c>
    </row>
    <row r="6" spans="1:27" s="16" customFormat="1" ht="30" customHeight="1">
      <c r="A6" s="98"/>
      <c r="B6" s="94" t="s">
        <v>4</v>
      </c>
      <c r="C6" s="58" t="s">
        <v>22</v>
      </c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82">
        <f t="shared" ref="AA6:AA18" si="0">SUM(D6:Z6)</f>
        <v>0</v>
      </c>
    </row>
    <row r="7" spans="1:27" s="16" customFormat="1" ht="30" customHeight="1">
      <c r="A7" s="98"/>
      <c r="B7" s="94"/>
      <c r="C7" s="58" t="s">
        <v>23</v>
      </c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82">
        <f t="shared" si="0"/>
        <v>0</v>
      </c>
    </row>
    <row r="8" spans="1:27" s="16" customFormat="1" ht="30" customHeight="1">
      <c r="A8" s="98"/>
      <c r="B8" s="94"/>
      <c r="C8" s="58" t="s">
        <v>56</v>
      </c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82">
        <f t="shared" si="0"/>
        <v>0</v>
      </c>
    </row>
    <row r="9" spans="1:27" s="16" customFormat="1" ht="30" customHeight="1">
      <c r="A9" s="98"/>
      <c r="B9" s="94"/>
      <c r="C9" s="58" t="s">
        <v>15</v>
      </c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82">
        <f t="shared" si="0"/>
        <v>0</v>
      </c>
    </row>
    <row r="10" spans="1:27" s="16" customFormat="1" ht="30" customHeight="1">
      <c r="A10" s="98"/>
      <c r="B10" s="94"/>
      <c r="C10" s="58" t="s">
        <v>57</v>
      </c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82">
        <f t="shared" si="0"/>
        <v>0</v>
      </c>
    </row>
    <row r="11" spans="1:27" s="16" customFormat="1" ht="30" customHeight="1">
      <c r="A11" s="98"/>
      <c r="B11" s="94"/>
      <c r="C11" s="58" t="s">
        <v>58</v>
      </c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82">
        <f t="shared" si="0"/>
        <v>0</v>
      </c>
    </row>
    <row r="12" spans="1:27" s="16" customFormat="1" ht="30" customHeight="1">
      <c r="A12" s="98"/>
      <c r="B12" s="94"/>
      <c r="C12" s="58" t="s">
        <v>16</v>
      </c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82">
        <f t="shared" si="0"/>
        <v>0</v>
      </c>
    </row>
    <row r="13" spans="1:27" s="16" customFormat="1" ht="30" customHeight="1">
      <c r="A13" s="98"/>
      <c r="B13" s="94"/>
      <c r="C13" s="58" t="s">
        <v>17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82">
        <f t="shared" si="0"/>
        <v>0</v>
      </c>
    </row>
    <row r="14" spans="1:27" s="16" customFormat="1" ht="30" customHeight="1">
      <c r="A14" s="98"/>
      <c r="B14" s="94"/>
      <c r="C14" s="58" t="s">
        <v>18</v>
      </c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82">
        <f t="shared" si="0"/>
        <v>0</v>
      </c>
    </row>
    <row r="15" spans="1:27" s="16" customFormat="1" ht="30" customHeight="1">
      <c r="A15" s="98"/>
      <c r="B15" s="94"/>
      <c r="C15" s="58" t="s">
        <v>25</v>
      </c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82">
        <f t="shared" si="0"/>
        <v>0</v>
      </c>
    </row>
    <row r="16" spans="1:27" s="16" customFormat="1" ht="30" customHeight="1" thickBot="1">
      <c r="A16" s="98"/>
      <c r="B16" s="94"/>
      <c r="C16" s="59" t="s">
        <v>26</v>
      </c>
      <c r="D16" s="73">
        <f>SUM(D6:D15)</f>
        <v>0</v>
      </c>
      <c r="E16" s="73">
        <f t="shared" ref="E16:Z16" si="1">SUM(E6:E15)</f>
        <v>0</v>
      </c>
      <c r="F16" s="73">
        <f t="shared" si="1"/>
        <v>0</v>
      </c>
      <c r="G16" s="73">
        <f t="shared" si="1"/>
        <v>0</v>
      </c>
      <c r="H16" s="73">
        <f t="shared" si="1"/>
        <v>0</v>
      </c>
      <c r="I16" s="73">
        <f t="shared" si="1"/>
        <v>0</v>
      </c>
      <c r="J16" s="73">
        <f t="shared" si="1"/>
        <v>0</v>
      </c>
      <c r="K16" s="73">
        <f t="shared" si="1"/>
        <v>0</v>
      </c>
      <c r="L16" s="73">
        <f t="shared" si="1"/>
        <v>0</v>
      </c>
      <c r="M16" s="73">
        <f t="shared" si="1"/>
        <v>0</v>
      </c>
      <c r="N16" s="73">
        <f t="shared" si="1"/>
        <v>0</v>
      </c>
      <c r="O16" s="73">
        <f t="shared" si="1"/>
        <v>0</v>
      </c>
      <c r="P16" s="73">
        <f t="shared" si="1"/>
        <v>0</v>
      </c>
      <c r="Q16" s="73">
        <f t="shared" si="1"/>
        <v>0</v>
      </c>
      <c r="R16" s="73">
        <f t="shared" si="1"/>
        <v>0</v>
      </c>
      <c r="S16" s="73">
        <f t="shared" si="1"/>
        <v>0</v>
      </c>
      <c r="T16" s="73">
        <f t="shared" si="1"/>
        <v>0</v>
      </c>
      <c r="U16" s="73">
        <f t="shared" si="1"/>
        <v>0</v>
      </c>
      <c r="V16" s="73">
        <f t="shared" si="1"/>
        <v>0</v>
      </c>
      <c r="W16" s="73">
        <f t="shared" si="1"/>
        <v>0</v>
      </c>
      <c r="X16" s="73">
        <f t="shared" si="1"/>
        <v>0</v>
      </c>
      <c r="Y16" s="73">
        <f t="shared" si="1"/>
        <v>0</v>
      </c>
      <c r="Z16" s="73">
        <f t="shared" si="1"/>
        <v>0</v>
      </c>
      <c r="AA16" s="83">
        <f t="shared" ref="AA16" si="2">SUM(D16:Z16)</f>
        <v>0</v>
      </c>
    </row>
    <row r="17" spans="1:27" s="16" customFormat="1" ht="30" customHeight="1">
      <c r="A17" s="92" t="s">
        <v>6</v>
      </c>
      <c r="B17" s="101"/>
      <c r="C17" s="9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1">
        <f t="shared" si="0"/>
        <v>0</v>
      </c>
    </row>
    <row r="18" spans="1:27" s="16" customFormat="1" ht="30" customHeight="1" thickBot="1">
      <c r="A18" s="102" t="s">
        <v>7</v>
      </c>
      <c r="B18" s="103"/>
      <c r="C18" s="103"/>
      <c r="D18" s="67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84">
        <f t="shared" si="0"/>
        <v>0</v>
      </c>
    </row>
    <row r="19" spans="1:27" s="16" customFormat="1" ht="30" customHeight="1">
      <c r="A19" s="104" t="s">
        <v>2</v>
      </c>
      <c r="B19" s="105"/>
      <c r="C19" s="105"/>
      <c r="D19" s="74">
        <f t="shared" ref="D19" si="3">SUM(D16:D18)</f>
        <v>0</v>
      </c>
      <c r="E19" s="74">
        <f t="shared" ref="E19" si="4">SUM(E16:E18)</f>
        <v>0</v>
      </c>
      <c r="F19" s="74">
        <f t="shared" ref="F19" si="5">SUM(F16:F18)</f>
        <v>0</v>
      </c>
      <c r="G19" s="74">
        <f t="shared" ref="G19" si="6">SUM(G16:G18)</f>
        <v>0</v>
      </c>
      <c r="H19" s="74">
        <f t="shared" ref="H19" si="7">SUM(H16:H18)</f>
        <v>0</v>
      </c>
      <c r="I19" s="74">
        <f t="shared" ref="I19" si="8">SUM(I16:I18)</f>
        <v>0</v>
      </c>
      <c r="J19" s="74">
        <f t="shared" ref="J19" si="9">SUM(J16:J18)</f>
        <v>0</v>
      </c>
      <c r="K19" s="74">
        <f t="shared" ref="K19" si="10">SUM(K16:K18)</f>
        <v>0</v>
      </c>
      <c r="L19" s="74">
        <f t="shared" ref="L19" si="11">SUM(L16:L18)</f>
        <v>0</v>
      </c>
      <c r="M19" s="74">
        <f t="shared" ref="M19" si="12">SUM(M16:M18)</f>
        <v>0</v>
      </c>
      <c r="N19" s="74">
        <f t="shared" ref="N19" si="13">SUM(N16:N18)</f>
        <v>0</v>
      </c>
      <c r="O19" s="74">
        <f t="shared" ref="O19" si="14">SUM(O16:O18)</f>
        <v>0</v>
      </c>
      <c r="P19" s="74">
        <f t="shared" ref="P19" si="15">SUM(P16:P18)</f>
        <v>0</v>
      </c>
      <c r="Q19" s="74">
        <f t="shared" ref="Q19" si="16">SUM(Q16:Q18)</f>
        <v>0</v>
      </c>
      <c r="R19" s="74">
        <f t="shared" ref="R19" si="17">SUM(R16:R18)</f>
        <v>0</v>
      </c>
      <c r="S19" s="74">
        <f t="shared" ref="S19" si="18">SUM(S16:S18)</f>
        <v>0</v>
      </c>
      <c r="T19" s="74">
        <f t="shared" ref="T19" si="19">SUM(T16:T18)</f>
        <v>0</v>
      </c>
      <c r="U19" s="74">
        <f t="shared" ref="U19" si="20">SUM(U16:U18)</f>
        <v>0</v>
      </c>
      <c r="V19" s="74">
        <f t="shared" ref="V19" si="21">SUM(V16:V18)</f>
        <v>0</v>
      </c>
      <c r="W19" s="74">
        <f t="shared" ref="W19" si="22">SUM(W16:W18)</f>
        <v>0</v>
      </c>
      <c r="X19" s="74">
        <f t="shared" ref="X19" si="23">SUM(X16:X18)</f>
        <v>0</v>
      </c>
      <c r="Y19" s="74">
        <f t="shared" ref="Y19" si="24">SUM(Y16:Y18)</f>
        <v>0</v>
      </c>
      <c r="Z19" s="74">
        <f t="shared" ref="Z19" si="25">SUM(Z16:Z18)</f>
        <v>0</v>
      </c>
      <c r="AA19" s="81">
        <f t="shared" ref="AA19" si="26">SUM(AA16:AA18)</f>
        <v>0</v>
      </c>
    </row>
    <row r="20" spans="1:27" s="16" customFormat="1" ht="30" customHeight="1" thickBot="1">
      <c r="A20" s="106" t="s">
        <v>5</v>
      </c>
      <c r="B20" s="107"/>
      <c r="C20" s="107"/>
      <c r="D20" s="75" t="str">
        <f t="shared" ref="D20:Z20" si="27">IF(ISERR(D19/D5),"",D19/D5*1000000)</f>
        <v/>
      </c>
      <c r="E20" s="76" t="str">
        <f t="shared" si="27"/>
        <v/>
      </c>
      <c r="F20" s="76" t="str">
        <f t="shared" si="27"/>
        <v/>
      </c>
      <c r="G20" s="76" t="str">
        <f t="shared" si="27"/>
        <v/>
      </c>
      <c r="H20" s="76" t="str">
        <f t="shared" si="27"/>
        <v/>
      </c>
      <c r="I20" s="76" t="str">
        <f t="shared" si="27"/>
        <v/>
      </c>
      <c r="J20" s="76" t="str">
        <f t="shared" si="27"/>
        <v/>
      </c>
      <c r="K20" s="76" t="str">
        <f t="shared" si="27"/>
        <v/>
      </c>
      <c r="L20" s="76" t="str">
        <f t="shared" si="27"/>
        <v/>
      </c>
      <c r="M20" s="76" t="str">
        <f t="shared" si="27"/>
        <v/>
      </c>
      <c r="N20" s="76" t="str">
        <f t="shared" si="27"/>
        <v/>
      </c>
      <c r="O20" s="76" t="str">
        <f t="shared" si="27"/>
        <v/>
      </c>
      <c r="P20" s="76" t="str">
        <f t="shared" si="27"/>
        <v/>
      </c>
      <c r="Q20" s="76" t="str">
        <f t="shared" si="27"/>
        <v/>
      </c>
      <c r="R20" s="76" t="str">
        <f t="shared" si="27"/>
        <v/>
      </c>
      <c r="S20" s="76" t="str">
        <f t="shared" si="27"/>
        <v/>
      </c>
      <c r="T20" s="76" t="str">
        <f t="shared" si="27"/>
        <v/>
      </c>
      <c r="U20" s="76" t="str">
        <f t="shared" si="27"/>
        <v/>
      </c>
      <c r="V20" s="76" t="str">
        <f t="shared" si="27"/>
        <v/>
      </c>
      <c r="W20" s="76" t="str">
        <f t="shared" si="27"/>
        <v/>
      </c>
      <c r="X20" s="76" t="str">
        <f t="shared" si="27"/>
        <v/>
      </c>
      <c r="Y20" s="76" t="str">
        <f t="shared" si="27"/>
        <v/>
      </c>
      <c r="Z20" s="76" t="str">
        <f t="shared" si="27"/>
        <v/>
      </c>
      <c r="AA20" s="84" t="str">
        <f t="shared" ref="AA20" si="28">IF(ISERR(AA19/AA5),"",AA19/AA5*1000000)</f>
        <v/>
      </c>
    </row>
    <row r="21" spans="1:27" ht="30" customHeight="1">
      <c r="A21" s="110"/>
      <c r="B21" s="19"/>
      <c r="C21" s="20"/>
      <c r="D21" s="113">
        <f>D39</f>
        <v>0</v>
      </c>
      <c r="E21" s="113">
        <f t="shared" ref="E21:Z21" si="29">E39</f>
        <v>0</v>
      </c>
      <c r="F21" s="113">
        <f t="shared" si="29"/>
        <v>0</v>
      </c>
      <c r="G21" s="113">
        <f t="shared" si="29"/>
        <v>0</v>
      </c>
      <c r="H21" s="113">
        <f t="shared" si="29"/>
        <v>0</v>
      </c>
      <c r="I21" s="113">
        <f t="shared" si="29"/>
        <v>0</v>
      </c>
      <c r="J21" s="113">
        <f t="shared" si="29"/>
        <v>0</v>
      </c>
      <c r="K21" s="113">
        <f t="shared" si="29"/>
        <v>0</v>
      </c>
      <c r="L21" s="113">
        <f t="shared" si="29"/>
        <v>0</v>
      </c>
      <c r="M21" s="113">
        <f t="shared" si="29"/>
        <v>0</v>
      </c>
      <c r="N21" s="113">
        <f t="shared" si="29"/>
        <v>0</v>
      </c>
      <c r="O21" s="113">
        <f t="shared" si="29"/>
        <v>0</v>
      </c>
      <c r="P21" s="113">
        <f t="shared" si="29"/>
        <v>0</v>
      </c>
      <c r="Q21" s="113">
        <f t="shared" si="29"/>
        <v>0</v>
      </c>
      <c r="R21" s="113">
        <f t="shared" si="29"/>
        <v>0</v>
      </c>
      <c r="S21" s="47"/>
      <c r="T21" s="47"/>
      <c r="U21" s="113">
        <f t="shared" si="29"/>
        <v>0</v>
      </c>
      <c r="V21" s="113">
        <f t="shared" si="29"/>
        <v>0</v>
      </c>
      <c r="W21" s="113">
        <f t="shared" si="29"/>
        <v>0</v>
      </c>
      <c r="X21" s="113">
        <f t="shared" si="29"/>
        <v>0</v>
      </c>
      <c r="Y21" s="113">
        <f t="shared" si="29"/>
        <v>0</v>
      </c>
      <c r="Z21" s="113">
        <f t="shared" si="29"/>
        <v>0</v>
      </c>
      <c r="AA21" s="6"/>
    </row>
    <row r="22" spans="1:27" ht="30" customHeight="1">
      <c r="A22" s="110"/>
      <c r="B22" s="19"/>
      <c r="C22" s="11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48"/>
      <c r="T22" s="48"/>
      <c r="U22" s="114"/>
      <c r="V22" s="114"/>
      <c r="W22" s="114"/>
      <c r="X22" s="114"/>
      <c r="Y22" s="114"/>
      <c r="Z22" s="114"/>
      <c r="AA22" s="7"/>
    </row>
    <row r="23" spans="1:27" ht="30" customHeight="1">
      <c r="A23" s="110"/>
      <c r="B23" s="19"/>
      <c r="C23" s="20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48"/>
      <c r="T23" s="48"/>
      <c r="U23" s="114"/>
      <c r="V23" s="114"/>
      <c r="W23" s="114"/>
      <c r="X23" s="114"/>
      <c r="Y23" s="114"/>
      <c r="Z23" s="114"/>
      <c r="AA23" s="7"/>
    </row>
    <row r="24" spans="1:27" ht="30" customHeight="1">
      <c r="A24" s="110"/>
      <c r="B24" s="19"/>
      <c r="C24" s="21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48"/>
      <c r="T24" s="48"/>
      <c r="U24" s="114"/>
      <c r="V24" s="114"/>
      <c r="W24" s="114"/>
      <c r="X24" s="114"/>
      <c r="Y24" s="114"/>
      <c r="Z24" s="114"/>
      <c r="AA24" s="7"/>
    </row>
    <row r="25" spans="1:27" ht="30" customHeight="1">
      <c r="A25" s="110"/>
      <c r="B25" s="19"/>
      <c r="C25" s="21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48"/>
      <c r="T25" s="48"/>
      <c r="U25" s="114"/>
      <c r="V25" s="114"/>
      <c r="W25" s="114"/>
      <c r="X25" s="114"/>
      <c r="Y25" s="114"/>
      <c r="Z25" s="114"/>
      <c r="AA25" s="7"/>
    </row>
    <row r="26" spans="1:27" ht="30" customHeight="1">
      <c r="A26" s="110"/>
      <c r="B26" s="19"/>
      <c r="C26" s="21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48"/>
      <c r="T26" s="48"/>
      <c r="U26" s="114"/>
      <c r="V26" s="114"/>
      <c r="W26" s="114"/>
      <c r="X26" s="114"/>
      <c r="Y26" s="114"/>
      <c r="Z26" s="114"/>
      <c r="AA26" s="7"/>
    </row>
    <row r="27" spans="1:27" ht="30" customHeight="1">
      <c r="A27" s="110"/>
      <c r="B27" s="19"/>
      <c r="C27" s="21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8"/>
      <c r="T27" s="48"/>
      <c r="U27" s="114"/>
      <c r="V27" s="114"/>
      <c r="W27" s="114"/>
      <c r="X27" s="114"/>
      <c r="Y27" s="114"/>
      <c r="Z27" s="114"/>
      <c r="AA27" s="7"/>
    </row>
    <row r="28" spans="1:27" ht="30" customHeight="1">
      <c r="A28" s="110"/>
      <c r="B28" s="19"/>
      <c r="C28" s="21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48"/>
      <c r="T28" s="48"/>
      <c r="U28" s="114"/>
      <c r="V28" s="114"/>
      <c r="W28" s="114"/>
      <c r="X28" s="114"/>
      <c r="Y28" s="114"/>
      <c r="Z28" s="114"/>
      <c r="AA28" s="7"/>
    </row>
    <row r="29" spans="1:27" ht="30" customHeight="1">
      <c r="A29" s="110"/>
      <c r="B29" s="19"/>
      <c r="C29" s="21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48"/>
      <c r="T29" s="48"/>
      <c r="U29" s="114"/>
      <c r="V29" s="114"/>
      <c r="W29" s="114"/>
      <c r="X29" s="114"/>
      <c r="Y29" s="114"/>
      <c r="Z29" s="114"/>
      <c r="AA29" s="7"/>
    </row>
    <row r="30" spans="1:27" ht="30" customHeight="1" thickBot="1">
      <c r="A30" s="110"/>
      <c r="B30" s="19"/>
      <c r="C30" s="21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5"/>
      <c r="P30" s="115"/>
      <c r="Q30" s="114"/>
      <c r="R30" s="114"/>
      <c r="S30" s="48"/>
      <c r="T30" s="48"/>
      <c r="U30" s="114"/>
      <c r="V30" s="114"/>
      <c r="W30" s="114"/>
      <c r="X30" s="114"/>
      <c r="Y30" s="114"/>
      <c r="Z30" s="114"/>
      <c r="AA30" s="7"/>
    </row>
    <row r="31" spans="1:27" ht="30" customHeight="1">
      <c r="A31" s="108" t="s">
        <v>38</v>
      </c>
      <c r="B31" s="109"/>
      <c r="C31" s="109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3"/>
    </row>
    <row r="32" spans="1:27" ht="30" customHeight="1" thickBot="1">
      <c r="A32" s="111" t="s">
        <v>37</v>
      </c>
      <c r="B32" s="112"/>
      <c r="C32" s="112"/>
      <c r="D32" s="54"/>
      <c r="E32" s="54"/>
      <c r="F32" s="54"/>
      <c r="G32" s="54"/>
      <c r="H32" s="54"/>
      <c r="I32" s="54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54"/>
      <c r="U32" s="54"/>
      <c r="V32" s="54"/>
      <c r="W32" s="54"/>
      <c r="X32" s="54"/>
      <c r="Y32" s="54"/>
      <c r="Z32" s="54"/>
      <c r="AA32" s="55"/>
    </row>
    <row r="33" spans="1:28" ht="30" customHeight="1">
      <c r="A33" s="51" t="s">
        <v>8</v>
      </c>
      <c r="J33" s="22" t="s">
        <v>9</v>
      </c>
      <c r="K33" s="23"/>
      <c r="L33" s="23"/>
      <c r="M33" s="23"/>
      <c r="N33" s="23"/>
      <c r="O33" s="23"/>
      <c r="P33" s="23"/>
      <c r="Q33" s="23"/>
      <c r="R33" s="23"/>
      <c r="S33" s="6"/>
      <c r="T33" s="61" t="s">
        <v>12</v>
      </c>
      <c r="AA33" s="7"/>
    </row>
    <row r="34" spans="1:28" ht="13.5" thickBot="1">
      <c r="A34" s="24" t="s">
        <v>10</v>
      </c>
      <c r="B34" s="25"/>
      <c r="C34" s="25"/>
      <c r="D34" s="25"/>
      <c r="E34" s="25"/>
      <c r="F34" s="25"/>
      <c r="G34" s="25"/>
      <c r="H34" s="25"/>
      <c r="I34" s="25"/>
      <c r="J34" s="24" t="s">
        <v>10</v>
      </c>
      <c r="K34" s="25"/>
      <c r="L34" s="25"/>
      <c r="M34" s="25"/>
      <c r="N34" s="25"/>
      <c r="O34" s="25"/>
      <c r="P34" s="25"/>
      <c r="Q34" s="25"/>
      <c r="R34" s="25"/>
      <c r="S34" s="26"/>
      <c r="T34" s="62" t="s">
        <v>10</v>
      </c>
      <c r="U34" s="25"/>
      <c r="V34" s="25"/>
      <c r="W34" s="25"/>
      <c r="X34" s="25"/>
      <c r="Y34" s="25"/>
      <c r="Z34" s="25"/>
      <c r="AA34" s="26"/>
    </row>
    <row r="36" spans="1:28">
      <c r="A36" t="s">
        <v>11</v>
      </c>
      <c r="D36">
        <f>'[1]SJCPIL 16-006-08'!$Y$30</f>
        <v>600</v>
      </c>
      <c r="AB36">
        <f t="shared" ref="AB36" si="30">AA36</f>
        <v>0</v>
      </c>
    </row>
    <row r="37" spans="1:28">
      <c r="D37" s="86"/>
    </row>
    <row r="38" spans="1:28">
      <c r="C38" s="15" t="s">
        <v>13</v>
      </c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8" ht="150" customHeight="1">
      <c r="C39" s="27" t="s">
        <v>14</v>
      </c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2"/>
      <c r="X39" s="2"/>
      <c r="Y39" s="2"/>
      <c r="Z39" s="2"/>
    </row>
    <row r="40" spans="1:28">
      <c r="I40" s="28"/>
    </row>
    <row r="41" spans="1:28">
      <c r="I41" s="19"/>
    </row>
    <row r="42" spans="1:28">
      <c r="I42" s="19"/>
    </row>
    <row r="43" spans="1:28">
      <c r="I43" s="19"/>
    </row>
    <row r="45" spans="1:28" ht="19.5">
      <c r="H45" s="29"/>
    </row>
  </sheetData>
  <sheetProtection algorithmName="SHA-512" hashValue="gLJwTjvYPXwEmocQiU0UZ/hfjg5J6IYLUcp0VrPXLRgblUubKZNjsEP9BaTp8nakHLxQQUJUSStoFM2uZxxDfw==" saltValue="vAkNGZCPRLaFPCT5VNosTQ==" spinCount="100000" sheet="1" objects="1" scenarios="1" selectLockedCells="1"/>
  <mergeCells count="35">
    <mergeCell ref="G21:G30"/>
    <mergeCell ref="H21:H30"/>
    <mergeCell ref="Z21:Z30"/>
    <mergeCell ref="Q21:Q30"/>
    <mergeCell ref="R21:R30"/>
    <mergeCell ref="U21:U30"/>
    <mergeCell ref="V21:V30"/>
    <mergeCell ref="W21:W30"/>
    <mergeCell ref="X21:X30"/>
    <mergeCell ref="A20:C20"/>
    <mergeCell ref="A31:C31"/>
    <mergeCell ref="A21:A30"/>
    <mergeCell ref="A32:C32"/>
    <mergeCell ref="Y21:Y30"/>
    <mergeCell ref="J21:J30"/>
    <mergeCell ref="K21:K30"/>
    <mergeCell ref="L21:L30"/>
    <mergeCell ref="M21:M30"/>
    <mergeCell ref="P21:P30"/>
    <mergeCell ref="O21:O30"/>
    <mergeCell ref="N21:N30"/>
    <mergeCell ref="I21:I30"/>
    <mergeCell ref="D21:D30"/>
    <mergeCell ref="E21:E30"/>
    <mergeCell ref="F21:F30"/>
    <mergeCell ref="A4:A16"/>
    <mergeCell ref="AA3:AA4"/>
    <mergeCell ref="A17:C17"/>
    <mergeCell ref="A18:C18"/>
    <mergeCell ref="A19:C19"/>
    <mergeCell ref="W1:Y1"/>
    <mergeCell ref="Z1:AA1"/>
    <mergeCell ref="B5:C5"/>
    <mergeCell ref="B6:B16"/>
    <mergeCell ref="B4:C4"/>
  </mergeCells>
  <printOptions horizontalCentered="1" verticalCentered="1" gridLines="1" gridLinesSet="0"/>
  <pageMargins left="0.19685039370078741" right="0.19685039370078741" top="0.51181102362204722" bottom="0.39370078740157483" header="7.874015748031496E-2" footer="0.19685039370078741"/>
  <pageSetup paperSize="9" scale="54" orientation="landscape" r:id="rId1"/>
  <headerFooter alignWithMargins="0">
    <oddFooter>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Check Box 3">
              <controlPr defaultSize="0" autoFill="0" autoLine="0" autoPict="0">
                <anchor moveWithCells="1">
                  <from>
                    <xdr:col>18</xdr:col>
                    <xdr:colOff>123825</xdr:colOff>
                    <xdr:row>0</xdr:row>
                    <xdr:rowOff>66675</xdr:rowOff>
                  </from>
                  <to>
                    <xdr:col>19</xdr:col>
                    <xdr:colOff>552450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heck Box 5">
              <controlPr defaultSize="0" autoFill="0" autoLine="0" autoPict="0">
                <anchor moveWithCells="1">
                  <from>
                    <xdr:col>18</xdr:col>
                    <xdr:colOff>123825</xdr:colOff>
                    <xdr:row>0</xdr:row>
                    <xdr:rowOff>304800</xdr:rowOff>
                  </from>
                  <to>
                    <xdr:col>19</xdr:col>
                    <xdr:colOff>552450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0">
    <pageSetUpPr fitToPage="1"/>
  </sheetPr>
  <dimension ref="A1:AB45"/>
  <sheetViews>
    <sheetView showZeros="0" zoomScale="84" zoomScaleNormal="84" workbookViewId="0">
      <selection activeCell="C10" sqref="C10"/>
    </sheetView>
  </sheetViews>
  <sheetFormatPr defaultColWidth="11.42578125" defaultRowHeight="12.75"/>
  <cols>
    <col min="1" max="1" width="4.42578125" customWidth="1"/>
    <col min="2" max="2" width="4" bestFit="1" customWidth="1"/>
    <col min="3" max="3" width="27.85546875" customWidth="1"/>
    <col min="4" max="26" width="9.140625" customWidth="1"/>
    <col min="27" max="27" width="15.7109375" customWidth="1"/>
    <col min="28" max="28" width="1" customWidth="1"/>
  </cols>
  <sheetData>
    <row r="1" spans="1:27" ht="39.75" customHeight="1" thickBot="1">
      <c r="A1" s="60" t="s">
        <v>40</v>
      </c>
      <c r="B1" s="10"/>
      <c r="C1" s="10"/>
      <c r="D1" s="10"/>
      <c r="E1" s="9"/>
      <c r="F1" s="9"/>
      <c r="G1" s="9" t="s">
        <v>0</v>
      </c>
      <c r="H1" s="9"/>
      <c r="I1" s="9"/>
      <c r="J1" s="9"/>
      <c r="K1" s="9"/>
      <c r="L1" s="9"/>
      <c r="M1" s="9"/>
      <c r="N1" s="9"/>
      <c r="O1" s="9"/>
      <c r="P1" s="32" t="str">
        <f>'SJCPIL-R 14-008-06 - Máq. 1'!P1</f>
        <v>TURNO:</v>
      </c>
      <c r="Q1" s="33"/>
      <c r="R1" s="32"/>
      <c r="S1" s="32"/>
      <c r="T1" s="32"/>
      <c r="W1" s="116" t="str">
        <f>'SJCPIL-R 14-008-06 - Máq. 1'!W1:Y1</f>
        <v>Mês / Ano</v>
      </c>
      <c r="X1" s="117"/>
      <c r="Y1" s="118"/>
      <c r="Z1" s="119" t="str">
        <f ca="1">'SJCPIL-R 14-008-06 - Máq. 1'!Z1:AA1</f>
        <v>03 / 2022</v>
      </c>
      <c r="AA1" s="91"/>
    </row>
    <row r="2" spans="1:27" ht="13.5" thickBot="1">
      <c r="D2" s="85">
        <v>1</v>
      </c>
      <c r="E2" s="85">
        <v>2</v>
      </c>
      <c r="F2" s="85">
        <v>3</v>
      </c>
      <c r="G2" s="85">
        <v>4</v>
      </c>
      <c r="H2" s="85">
        <v>5</v>
      </c>
      <c r="I2" s="85">
        <v>6</v>
      </c>
      <c r="J2" s="85">
        <v>7</v>
      </c>
      <c r="K2" s="85">
        <v>8</v>
      </c>
      <c r="L2" s="85">
        <v>9</v>
      </c>
      <c r="M2" s="85">
        <v>10</v>
      </c>
      <c r="N2" s="85">
        <v>11</v>
      </c>
      <c r="O2" s="85">
        <v>12</v>
      </c>
      <c r="P2" s="85">
        <v>13</v>
      </c>
      <c r="Q2" s="85">
        <v>14</v>
      </c>
      <c r="R2" s="85"/>
      <c r="S2" s="85"/>
      <c r="T2" s="85">
        <v>17</v>
      </c>
      <c r="U2" s="85">
        <v>18</v>
      </c>
      <c r="V2" s="85">
        <v>19</v>
      </c>
      <c r="W2" s="85">
        <v>20</v>
      </c>
      <c r="X2" s="85">
        <v>21</v>
      </c>
      <c r="Y2" s="85">
        <v>22</v>
      </c>
      <c r="Z2" s="87">
        <v>23</v>
      </c>
    </row>
    <row r="3" spans="1:27" ht="30" customHeight="1" thickBot="1">
      <c r="A3" s="13" t="s">
        <v>1</v>
      </c>
      <c r="B3" s="13"/>
      <c r="C3" s="14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99" t="s">
        <v>2</v>
      </c>
    </row>
    <row r="4" spans="1:27" ht="30" customHeight="1" thickBot="1">
      <c r="A4" s="97" t="s">
        <v>34</v>
      </c>
      <c r="B4" s="95" t="s">
        <v>27</v>
      </c>
      <c r="C4" s="96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100"/>
    </row>
    <row r="5" spans="1:27" s="16" customFormat="1" ht="30" customHeight="1">
      <c r="A5" s="98"/>
      <c r="B5" s="92" t="s">
        <v>3</v>
      </c>
      <c r="C5" s="93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81">
        <f>SUM(D5:Z5)</f>
        <v>0</v>
      </c>
    </row>
    <row r="6" spans="1:27" s="16" customFormat="1" ht="30" customHeight="1">
      <c r="A6" s="98"/>
      <c r="B6" s="94" t="s">
        <v>4</v>
      </c>
      <c r="C6" s="58" t="str">
        <f>'SJCPIL-R 14-008-06 - Máq. 1'!C6</f>
        <v>Chapa Riscada</v>
      </c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82">
        <f t="shared" ref="AA6:AA18" si="0">SUM(D6:Z6)</f>
        <v>0</v>
      </c>
    </row>
    <row r="7" spans="1:27" s="16" customFormat="1" ht="30" customHeight="1">
      <c r="A7" s="98"/>
      <c r="B7" s="94"/>
      <c r="C7" s="58" t="str">
        <f>'SJCPIL-R 14-008-06 - Máq. 1'!C7</f>
        <v>Chapa Manchada</v>
      </c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82">
        <f t="shared" si="0"/>
        <v>0</v>
      </c>
    </row>
    <row r="8" spans="1:27" s="16" customFormat="1" ht="30" customHeight="1">
      <c r="A8" s="98"/>
      <c r="B8" s="94"/>
      <c r="C8" s="58" t="str">
        <f>'SJCPIL-R 14-008-06 - Máq. 1'!C8</f>
        <v>Tubo Amassado no Corte</v>
      </c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82">
        <f t="shared" si="0"/>
        <v>0</v>
      </c>
    </row>
    <row r="9" spans="1:27" s="16" customFormat="1" ht="30" customHeight="1">
      <c r="A9" s="98"/>
      <c r="B9" s="94"/>
      <c r="C9" s="58" t="str">
        <f>'SJCPIL-R 14-008-06 - Máq. 1'!C9</f>
        <v>Tb. Amassado Fuinga</v>
      </c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82">
        <f t="shared" si="0"/>
        <v>0</v>
      </c>
    </row>
    <row r="10" spans="1:27" s="16" customFormat="1" ht="30" customHeight="1">
      <c r="A10" s="98"/>
      <c r="B10" s="94"/>
      <c r="C10" s="58" t="str">
        <f>'SJCPIL-R 14-008-06 - Máq. 1'!C10</f>
        <v>Chapa Aberta</v>
      </c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82">
        <f t="shared" si="0"/>
        <v>0</v>
      </c>
    </row>
    <row r="11" spans="1:27" s="16" customFormat="1" ht="30" customHeight="1">
      <c r="A11" s="98"/>
      <c r="B11" s="94"/>
      <c r="C11" s="58" t="str">
        <f>'SJCPIL-R 14-008-06 - Máq. 1'!C11</f>
        <v xml:space="preserve">Tb. Amassado Flanger </v>
      </c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82">
        <f t="shared" si="0"/>
        <v>0</v>
      </c>
    </row>
    <row r="12" spans="1:27" s="16" customFormat="1" ht="30" customHeight="1">
      <c r="A12" s="98"/>
      <c r="B12" s="94"/>
      <c r="C12" s="58" t="str">
        <f>'SJCPIL-R 14-008-06 - Máq. 1'!C12</f>
        <v>Lingueta aberta</v>
      </c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82">
        <f t="shared" si="0"/>
        <v>0</v>
      </c>
    </row>
    <row r="13" spans="1:27" s="16" customFormat="1" ht="30" customHeight="1">
      <c r="A13" s="98"/>
      <c r="B13" s="94"/>
      <c r="C13" s="58" t="str">
        <f>'SJCPIL-R 14-008-06 - Máq. 1'!C13</f>
        <v>Pank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82">
        <f t="shared" si="0"/>
        <v>0</v>
      </c>
    </row>
    <row r="14" spans="1:27" s="16" customFormat="1" ht="30" customHeight="1">
      <c r="A14" s="98"/>
      <c r="B14" s="94"/>
      <c r="C14" s="58" t="str">
        <f>'SJCPIL-R 14-008-06 - Máq. 1'!C14</f>
        <v>Pé de Elefante</v>
      </c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82">
        <f t="shared" si="0"/>
        <v>0</v>
      </c>
    </row>
    <row r="15" spans="1:27" s="16" customFormat="1" ht="30" customHeight="1">
      <c r="A15" s="98"/>
      <c r="B15" s="94"/>
      <c r="C15" s="58" t="str">
        <f>'SJCPIL-R 14-008-06 - Máq. 1'!C15</f>
        <v>Outros</v>
      </c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82">
        <f t="shared" si="0"/>
        <v>0</v>
      </c>
    </row>
    <row r="16" spans="1:27" s="16" customFormat="1" ht="30" customHeight="1" thickBot="1">
      <c r="A16" s="98"/>
      <c r="B16" s="94"/>
      <c r="C16" s="59" t="s">
        <v>26</v>
      </c>
      <c r="D16" s="73">
        <f>SUM(D6:D15)</f>
        <v>0</v>
      </c>
      <c r="E16" s="73">
        <f>SUM(E6:E15)</f>
        <v>0</v>
      </c>
      <c r="F16" s="73">
        <f t="shared" ref="F16" si="1">SUM(F6:F15)</f>
        <v>0</v>
      </c>
      <c r="G16" s="73">
        <f t="shared" ref="G16" si="2">SUM(G6:G15)</f>
        <v>0</v>
      </c>
      <c r="H16" s="73">
        <f t="shared" ref="H16:Z16" si="3">SUM(H6:H15)</f>
        <v>0</v>
      </c>
      <c r="I16" s="73">
        <f t="shared" si="3"/>
        <v>0</v>
      </c>
      <c r="J16" s="73">
        <f t="shared" si="3"/>
        <v>0</v>
      </c>
      <c r="K16" s="73">
        <f t="shared" si="3"/>
        <v>0</v>
      </c>
      <c r="L16" s="73">
        <f t="shared" si="3"/>
        <v>0</v>
      </c>
      <c r="M16" s="73">
        <f t="shared" si="3"/>
        <v>0</v>
      </c>
      <c r="N16" s="73">
        <f t="shared" si="3"/>
        <v>0</v>
      </c>
      <c r="O16" s="73">
        <f t="shared" si="3"/>
        <v>0</v>
      </c>
      <c r="P16" s="73">
        <f t="shared" si="3"/>
        <v>0</v>
      </c>
      <c r="Q16" s="73">
        <f t="shared" si="3"/>
        <v>0</v>
      </c>
      <c r="R16" s="73">
        <f t="shared" si="3"/>
        <v>0</v>
      </c>
      <c r="S16" s="73">
        <f t="shared" si="3"/>
        <v>0</v>
      </c>
      <c r="T16" s="73">
        <f t="shared" si="3"/>
        <v>0</v>
      </c>
      <c r="U16" s="73">
        <f t="shared" si="3"/>
        <v>0</v>
      </c>
      <c r="V16" s="73">
        <f t="shared" si="3"/>
        <v>0</v>
      </c>
      <c r="W16" s="73">
        <f t="shared" si="3"/>
        <v>0</v>
      </c>
      <c r="X16" s="73">
        <f t="shared" si="3"/>
        <v>0</v>
      </c>
      <c r="Y16" s="73">
        <f t="shared" si="3"/>
        <v>0</v>
      </c>
      <c r="Z16" s="73">
        <f t="shared" si="3"/>
        <v>0</v>
      </c>
      <c r="AA16" s="83">
        <f t="shared" ref="AA16" si="4">SUM(D16:Z16)</f>
        <v>0</v>
      </c>
    </row>
    <row r="17" spans="1:27" s="16" customFormat="1" ht="30" customHeight="1">
      <c r="A17" s="120" t="s">
        <v>6</v>
      </c>
      <c r="B17" s="121"/>
      <c r="C17" s="122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1">
        <f t="shared" si="0"/>
        <v>0</v>
      </c>
    </row>
    <row r="18" spans="1:27" s="16" customFormat="1" ht="30" customHeight="1" thickBot="1">
      <c r="A18" s="123" t="s">
        <v>7</v>
      </c>
      <c r="B18" s="124"/>
      <c r="C18" s="124"/>
      <c r="D18" s="67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84">
        <f t="shared" si="0"/>
        <v>0</v>
      </c>
    </row>
    <row r="19" spans="1:27" s="16" customFormat="1" ht="30" customHeight="1">
      <c r="A19" s="125" t="s">
        <v>2</v>
      </c>
      <c r="B19" s="126"/>
      <c r="C19" s="126"/>
      <c r="D19" s="74">
        <f t="shared" ref="D19" si="5">SUM(D16:D18)</f>
        <v>0</v>
      </c>
      <c r="E19" s="74">
        <f t="shared" ref="E19" si="6">SUM(E16:E18)</f>
        <v>0</v>
      </c>
      <c r="F19" s="74">
        <f t="shared" ref="F19" si="7">SUM(F16:F18)</f>
        <v>0</v>
      </c>
      <c r="G19" s="74">
        <f t="shared" ref="G19" si="8">SUM(G16:G18)</f>
        <v>0</v>
      </c>
      <c r="H19" s="74">
        <f t="shared" ref="H19" si="9">SUM(H16:H18)</f>
        <v>0</v>
      </c>
      <c r="I19" s="74">
        <f t="shared" ref="I19" si="10">SUM(I16:I18)</f>
        <v>0</v>
      </c>
      <c r="J19" s="74">
        <f t="shared" ref="J19" si="11">SUM(J16:J18)</f>
        <v>0</v>
      </c>
      <c r="K19" s="74">
        <f t="shared" ref="K19" si="12">SUM(K16:K18)</f>
        <v>0</v>
      </c>
      <c r="L19" s="74">
        <f t="shared" ref="L19" si="13">SUM(L16:L18)</f>
        <v>0</v>
      </c>
      <c r="M19" s="74">
        <f t="shared" ref="M19" si="14">SUM(M16:M18)</f>
        <v>0</v>
      </c>
      <c r="N19" s="74">
        <f t="shared" ref="N19" si="15">SUM(N16:N18)</f>
        <v>0</v>
      </c>
      <c r="O19" s="74">
        <f t="shared" ref="O19" si="16">SUM(O16:O18)</f>
        <v>0</v>
      </c>
      <c r="P19" s="74">
        <f t="shared" ref="P19" si="17">SUM(P16:P18)</f>
        <v>0</v>
      </c>
      <c r="Q19" s="74">
        <f t="shared" ref="Q19" si="18">SUM(Q16:Q18)</f>
        <v>0</v>
      </c>
      <c r="R19" s="74">
        <f t="shared" ref="R19" si="19">SUM(R16:R18)</f>
        <v>0</v>
      </c>
      <c r="S19" s="74">
        <f t="shared" ref="S19" si="20">SUM(S16:S18)</f>
        <v>0</v>
      </c>
      <c r="T19" s="74">
        <f t="shared" ref="T19" si="21">SUM(T16:T18)</f>
        <v>0</v>
      </c>
      <c r="U19" s="74">
        <f t="shared" ref="U19" si="22">SUM(U16:U18)</f>
        <v>0</v>
      </c>
      <c r="V19" s="74">
        <f t="shared" ref="V19" si="23">SUM(V16:V18)</f>
        <v>0</v>
      </c>
      <c r="W19" s="74">
        <f t="shared" ref="W19" si="24">SUM(W16:W18)</f>
        <v>0</v>
      </c>
      <c r="X19" s="74">
        <f t="shared" ref="X19" si="25">SUM(X16:X18)</f>
        <v>0</v>
      </c>
      <c r="Y19" s="74">
        <f t="shared" ref="Y19" si="26">SUM(Y16:Y18)</f>
        <v>0</v>
      </c>
      <c r="Z19" s="74">
        <f t="shared" ref="Z19" si="27">SUM(Z16:Z18)</f>
        <v>0</v>
      </c>
      <c r="AA19" s="81">
        <f t="shared" ref="AA19" si="28">SUM(AA16:AA18)</f>
        <v>0</v>
      </c>
    </row>
    <row r="20" spans="1:27" s="16" customFormat="1" ht="30" customHeight="1" thickBot="1">
      <c r="A20" s="127" t="s">
        <v>5</v>
      </c>
      <c r="B20" s="128"/>
      <c r="C20" s="128"/>
      <c r="D20" s="75" t="str">
        <f t="shared" ref="D20:Z20" si="29">IF(ISERR(D19/D5),"",D19/D5*1000000)</f>
        <v/>
      </c>
      <c r="E20" s="76" t="str">
        <f t="shared" si="29"/>
        <v/>
      </c>
      <c r="F20" s="76" t="str">
        <f t="shared" si="29"/>
        <v/>
      </c>
      <c r="G20" s="76" t="str">
        <f t="shared" si="29"/>
        <v/>
      </c>
      <c r="H20" s="76" t="str">
        <f t="shared" si="29"/>
        <v/>
      </c>
      <c r="I20" s="76" t="str">
        <f t="shared" si="29"/>
        <v/>
      </c>
      <c r="J20" s="76" t="str">
        <f t="shared" si="29"/>
        <v/>
      </c>
      <c r="K20" s="76" t="str">
        <f t="shared" si="29"/>
        <v/>
      </c>
      <c r="L20" s="76" t="str">
        <f t="shared" si="29"/>
        <v/>
      </c>
      <c r="M20" s="76" t="str">
        <f t="shared" si="29"/>
        <v/>
      </c>
      <c r="N20" s="76" t="str">
        <f t="shared" si="29"/>
        <v/>
      </c>
      <c r="O20" s="76" t="str">
        <f t="shared" si="29"/>
        <v/>
      </c>
      <c r="P20" s="76" t="str">
        <f t="shared" si="29"/>
        <v/>
      </c>
      <c r="Q20" s="76" t="str">
        <f t="shared" si="29"/>
        <v/>
      </c>
      <c r="R20" s="76" t="str">
        <f t="shared" si="29"/>
        <v/>
      </c>
      <c r="S20" s="76" t="str">
        <f t="shared" si="29"/>
        <v/>
      </c>
      <c r="T20" s="76" t="str">
        <f t="shared" si="29"/>
        <v/>
      </c>
      <c r="U20" s="76" t="str">
        <f t="shared" si="29"/>
        <v/>
      </c>
      <c r="V20" s="76" t="str">
        <f t="shared" si="29"/>
        <v/>
      </c>
      <c r="W20" s="76" t="str">
        <f t="shared" si="29"/>
        <v/>
      </c>
      <c r="X20" s="76" t="str">
        <f t="shared" si="29"/>
        <v/>
      </c>
      <c r="Y20" s="76" t="str">
        <f t="shared" si="29"/>
        <v/>
      </c>
      <c r="Z20" s="76" t="str">
        <f t="shared" si="29"/>
        <v/>
      </c>
      <c r="AA20" s="84" t="str">
        <f t="shared" ref="AA20" si="30">IF(ISERR(AA19/AA5),"",AA19/AA5*1000000)</f>
        <v/>
      </c>
    </row>
    <row r="21" spans="1:27" ht="30" customHeight="1">
      <c r="A21" s="110"/>
      <c r="B21" s="19"/>
      <c r="C21" s="20"/>
      <c r="D21" s="113">
        <f>D39</f>
        <v>0</v>
      </c>
      <c r="E21" s="113">
        <f t="shared" ref="E21:Z21" si="31">E39</f>
        <v>0</v>
      </c>
      <c r="F21" s="113">
        <f t="shared" si="31"/>
        <v>0</v>
      </c>
      <c r="G21" s="113">
        <f t="shared" si="31"/>
        <v>0</v>
      </c>
      <c r="H21" s="113">
        <f t="shared" si="31"/>
        <v>0</v>
      </c>
      <c r="I21" s="113">
        <f t="shared" si="31"/>
        <v>0</v>
      </c>
      <c r="J21" s="113">
        <f t="shared" si="31"/>
        <v>0</v>
      </c>
      <c r="K21" s="113">
        <f t="shared" si="31"/>
        <v>0</v>
      </c>
      <c r="L21" s="113">
        <f t="shared" si="31"/>
        <v>0</v>
      </c>
      <c r="M21" s="113">
        <f t="shared" si="31"/>
        <v>0</v>
      </c>
      <c r="N21" s="113">
        <f t="shared" si="31"/>
        <v>0</v>
      </c>
      <c r="O21" s="113">
        <f t="shared" si="31"/>
        <v>0</v>
      </c>
      <c r="P21" s="113">
        <f t="shared" si="31"/>
        <v>0</v>
      </c>
      <c r="Q21" s="113">
        <f t="shared" si="31"/>
        <v>0</v>
      </c>
      <c r="R21" s="113">
        <f t="shared" si="31"/>
        <v>0</v>
      </c>
      <c r="S21" s="47"/>
      <c r="T21" s="47"/>
      <c r="U21" s="113">
        <f t="shared" si="31"/>
        <v>0</v>
      </c>
      <c r="V21" s="113">
        <f t="shared" si="31"/>
        <v>0</v>
      </c>
      <c r="W21" s="113">
        <f t="shared" si="31"/>
        <v>0</v>
      </c>
      <c r="X21" s="113">
        <f t="shared" si="31"/>
        <v>0</v>
      </c>
      <c r="Y21" s="113">
        <f t="shared" si="31"/>
        <v>0</v>
      </c>
      <c r="Z21" s="113">
        <f t="shared" si="31"/>
        <v>0</v>
      </c>
      <c r="AA21" s="6"/>
    </row>
    <row r="22" spans="1:27" ht="30" customHeight="1">
      <c r="A22" s="110"/>
      <c r="B22" s="19"/>
      <c r="C22" s="11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48"/>
      <c r="T22" s="48"/>
      <c r="U22" s="114"/>
      <c r="V22" s="114"/>
      <c r="W22" s="114"/>
      <c r="X22" s="114"/>
      <c r="Y22" s="114"/>
      <c r="Z22" s="114"/>
      <c r="AA22" s="7"/>
    </row>
    <row r="23" spans="1:27" ht="30" customHeight="1">
      <c r="A23" s="110"/>
      <c r="B23" s="19"/>
      <c r="C23" s="20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48"/>
      <c r="T23" s="48"/>
      <c r="U23" s="114"/>
      <c r="V23" s="114"/>
      <c r="W23" s="114"/>
      <c r="X23" s="114"/>
      <c r="Y23" s="114"/>
      <c r="Z23" s="114"/>
      <c r="AA23" s="7"/>
    </row>
    <row r="24" spans="1:27" ht="30" customHeight="1">
      <c r="A24" s="110"/>
      <c r="B24" s="19"/>
      <c r="C24" s="21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48"/>
      <c r="T24" s="48"/>
      <c r="U24" s="114"/>
      <c r="V24" s="114"/>
      <c r="W24" s="114"/>
      <c r="X24" s="114"/>
      <c r="Y24" s="114"/>
      <c r="Z24" s="114"/>
      <c r="AA24" s="7"/>
    </row>
    <row r="25" spans="1:27" ht="30" customHeight="1">
      <c r="A25" s="110"/>
      <c r="B25" s="19"/>
      <c r="C25" s="21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48"/>
      <c r="T25" s="48"/>
      <c r="U25" s="114"/>
      <c r="V25" s="114"/>
      <c r="W25" s="114"/>
      <c r="X25" s="114"/>
      <c r="Y25" s="114"/>
      <c r="Z25" s="114"/>
      <c r="AA25" s="7"/>
    </row>
    <row r="26" spans="1:27" ht="30" customHeight="1">
      <c r="A26" s="110"/>
      <c r="B26" s="19"/>
      <c r="C26" s="21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48"/>
      <c r="T26" s="48"/>
      <c r="U26" s="114"/>
      <c r="V26" s="114"/>
      <c r="W26" s="114"/>
      <c r="X26" s="114"/>
      <c r="Y26" s="114"/>
      <c r="Z26" s="114"/>
      <c r="AA26" s="7"/>
    </row>
    <row r="27" spans="1:27" ht="30" customHeight="1">
      <c r="A27" s="110"/>
      <c r="B27" s="19"/>
      <c r="C27" s="21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8"/>
      <c r="T27" s="48"/>
      <c r="U27" s="114"/>
      <c r="V27" s="114"/>
      <c r="W27" s="114"/>
      <c r="X27" s="114"/>
      <c r="Y27" s="114"/>
      <c r="Z27" s="114"/>
      <c r="AA27" s="7"/>
    </row>
    <row r="28" spans="1:27" ht="30" customHeight="1">
      <c r="A28" s="110"/>
      <c r="B28" s="19"/>
      <c r="C28" s="21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48"/>
      <c r="T28" s="48"/>
      <c r="U28" s="114"/>
      <c r="V28" s="114"/>
      <c r="W28" s="114"/>
      <c r="X28" s="114"/>
      <c r="Y28" s="114"/>
      <c r="Z28" s="114"/>
      <c r="AA28" s="7"/>
    </row>
    <row r="29" spans="1:27" ht="30" customHeight="1">
      <c r="A29" s="110"/>
      <c r="B29" s="19"/>
      <c r="C29" s="21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48"/>
      <c r="T29" s="48"/>
      <c r="U29" s="114"/>
      <c r="V29" s="114"/>
      <c r="W29" s="114"/>
      <c r="X29" s="114"/>
      <c r="Y29" s="114"/>
      <c r="Z29" s="114"/>
      <c r="AA29" s="7"/>
    </row>
    <row r="30" spans="1:27" ht="30" customHeight="1" thickBot="1">
      <c r="A30" s="110"/>
      <c r="B30" s="19"/>
      <c r="C30" s="21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5"/>
      <c r="P30" s="115"/>
      <c r="Q30" s="114"/>
      <c r="R30" s="114"/>
      <c r="S30" s="48"/>
      <c r="T30" s="48"/>
      <c r="U30" s="114"/>
      <c r="V30" s="114"/>
      <c r="W30" s="114"/>
      <c r="X30" s="114"/>
      <c r="Y30" s="114"/>
      <c r="Z30" s="114"/>
      <c r="AA30" s="7"/>
    </row>
    <row r="31" spans="1:27" ht="30" customHeight="1">
      <c r="A31" s="108" t="str">
        <f>'SJCPIL-R 14-008-06 - Máq. 1'!A31:C31</f>
        <v>Visto Supervisor</v>
      </c>
      <c r="B31" s="109"/>
      <c r="C31" s="109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3"/>
    </row>
    <row r="32" spans="1:27" ht="30" customHeight="1" thickBot="1">
      <c r="A32" s="111" t="s">
        <v>37</v>
      </c>
      <c r="B32" s="112"/>
      <c r="C32" s="112"/>
      <c r="D32" s="54"/>
      <c r="E32" s="54"/>
      <c r="F32" s="54"/>
      <c r="G32" s="54"/>
      <c r="H32" s="54"/>
      <c r="I32" s="54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54"/>
      <c r="U32" s="54"/>
      <c r="V32" s="54"/>
      <c r="W32" s="54"/>
      <c r="X32" s="54"/>
      <c r="Y32" s="54"/>
      <c r="Z32" s="54"/>
      <c r="AA32" s="55"/>
    </row>
    <row r="33" spans="1:28" ht="30" customHeight="1">
      <c r="A33" s="51" t="s">
        <v>8</v>
      </c>
      <c r="J33" s="22" t="s">
        <v>9</v>
      </c>
      <c r="K33" s="23"/>
      <c r="L33" s="23"/>
      <c r="M33" s="23"/>
      <c r="N33" s="23"/>
      <c r="O33" s="23"/>
      <c r="P33" s="23"/>
      <c r="Q33" s="23"/>
      <c r="R33" s="23"/>
      <c r="S33" s="6"/>
      <c r="T33" s="61" t="s">
        <v>12</v>
      </c>
      <c r="AA33" s="7"/>
    </row>
    <row r="34" spans="1:28" ht="13.5" thickBot="1">
      <c r="A34" s="24" t="s">
        <v>10</v>
      </c>
      <c r="B34" s="25"/>
      <c r="C34" s="25"/>
      <c r="D34" s="25"/>
      <c r="E34" s="25"/>
      <c r="F34" s="25"/>
      <c r="G34" s="25"/>
      <c r="H34" s="25"/>
      <c r="I34" s="25"/>
      <c r="J34" s="24" t="s">
        <v>10</v>
      </c>
      <c r="K34" s="25"/>
      <c r="L34" s="25"/>
      <c r="M34" s="25"/>
      <c r="N34" s="25"/>
      <c r="O34" s="25"/>
      <c r="P34" s="25"/>
      <c r="Q34" s="25"/>
      <c r="R34" s="25"/>
      <c r="S34" s="26"/>
      <c r="T34" s="62" t="s">
        <v>10</v>
      </c>
      <c r="U34" s="25"/>
      <c r="V34" s="25"/>
      <c r="W34" s="25"/>
      <c r="X34" s="25"/>
      <c r="Y34" s="25"/>
      <c r="Z34" s="25"/>
      <c r="AA34" s="26"/>
    </row>
    <row r="36" spans="1:28">
      <c r="A36" t="s">
        <v>11</v>
      </c>
      <c r="D36">
        <f>TARGET_BLD_UM_1</f>
        <v>600</v>
      </c>
      <c r="AB36">
        <f t="shared" ref="AB36" si="32">AA36</f>
        <v>0</v>
      </c>
    </row>
    <row r="38" spans="1:28">
      <c r="C38" s="15" t="s">
        <v>13</v>
      </c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8" ht="150" customHeight="1">
      <c r="C39" s="27" t="s">
        <v>14</v>
      </c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2"/>
      <c r="X39" s="2"/>
      <c r="Y39" s="2"/>
      <c r="Z39" s="2"/>
    </row>
    <row r="40" spans="1:28">
      <c r="I40" s="28"/>
    </row>
    <row r="41" spans="1:28">
      <c r="I41" s="19"/>
    </row>
    <row r="42" spans="1:28">
      <c r="I42" s="19"/>
    </row>
    <row r="43" spans="1:28">
      <c r="I43" s="19"/>
    </row>
    <row r="45" spans="1:28" ht="19.5">
      <c r="H45" s="29"/>
    </row>
  </sheetData>
  <sheetProtection algorithmName="SHA-512" hashValue="o2BNrX3FlR/jWLqFtp2fGJ8XgjYKo8upoxozINDRzTNB3MThzMgohVPMBqjoQI/HvZPLts6FY3xjRe82L3rrlA==" saltValue="Qusqmd32xomb8yoQO3D7mA==" spinCount="100000" sheet="1" objects="1" scenarios="1"/>
  <mergeCells count="35">
    <mergeCell ref="A31:C31"/>
    <mergeCell ref="A32:C32"/>
    <mergeCell ref="A17:C17"/>
    <mergeCell ref="J21:J30"/>
    <mergeCell ref="A18:C18"/>
    <mergeCell ref="A19:C19"/>
    <mergeCell ref="A20:C20"/>
    <mergeCell ref="A21:A30"/>
    <mergeCell ref="D21:D30"/>
    <mergeCell ref="E21:E30"/>
    <mergeCell ref="F21:F30"/>
    <mergeCell ref="G21:G30"/>
    <mergeCell ref="H21:H30"/>
    <mergeCell ref="I21:I30"/>
    <mergeCell ref="A4:A16"/>
    <mergeCell ref="B4:C4"/>
    <mergeCell ref="B5:C5"/>
    <mergeCell ref="B6:B16"/>
    <mergeCell ref="AA3:AA4"/>
    <mergeCell ref="W1:Y1"/>
    <mergeCell ref="Z1:AA1"/>
    <mergeCell ref="K21:K30"/>
    <mergeCell ref="L21:L30"/>
    <mergeCell ref="M21:M30"/>
    <mergeCell ref="N21:N30"/>
    <mergeCell ref="W21:W30"/>
    <mergeCell ref="P21:P30"/>
    <mergeCell ref="O21:O30"/>
    <mergeCell ref="X21:X30"/>
    <mergeCell ref="Y21:Y30"/>
    <mergeCell ref="Z21:Z30"/>
    <mergeCell ref="Q21:Q30"/>
    <mergeCell ref="R21:R30"/>
    <mergeCell ref="U21:U30"/>
    <mergeCell ref="V21:V30"/>
  </mergeCells>
  <printOptions horizontalCentered="1" verticalCentered="1" gridLines="1" gridLinesSet="0"/>
  <pageMargins left="0.19685039370078741" right="0.19685039370078741" top="0.51181102362204722" bottom="0.39370078740157483" header="7.874015748031496E-2" footer="0.19685039370078741"/>
  <pageSetup paperSize="9" scale="54" orientation="landscape" r:id="rId1"/>
  <headerFooter alignWithMargins="0">
    <oddFooter>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Check Box 3">
              <controlPr defaultSize="0" autoFill="0" autoLine="0" autoPict="0">
                <anchor moveWithCells="1">
                  <from>
                    <xdr:col>18</xdr:col>
                    <xdr:colOff>123825</xdr:colOff>
                    <xdr:row>0</xdr:row>
                    <xdr:rowOff>66675</xdr:rowOff>
                  </from>
                  <to>
                    <xdr:col>19</xdr:col>
                    <xdr:colOff>552450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Check Box 4">
              <controlPr defaultSize="0" autoFill="0" autoLine="0" autoPict="0">
                <anchor moveWithCells="1">
                  <from>
                    <xdr:col>18</xdr:col>
                    <xdr:colOff>123825</xdr:colOff>
                    <xdr:row>0</xdr:row>
                    <xdr:rowOff>304800</xdr:rowOff>
                  </from>
                  <to>
                    <xdr:col>19</xdr:col>
                    <xdr:colOff>552450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1">
    <pageSetUpPr fitToPage="1"/>
  </sheetPr>
  <dimension ref="A1:AB45"/>
  <sheetViews>
    <sheetView showZeros="0" zoomScale="89" zoomScaleNormal="89" workbookViewId="0">
      <selection activeCell="C10" sqref="C10"/>
    </sheetView>
  </sheetViews>
  <sheetFormatPr defaultColWidth="11.42578125" defaultRowHeight="12.75"/>
  <cols>
    <col min="1" max="1" width="4.42578125" customWidth="1"/>
    <col min="2" max="2" width="4" bestFit="1" customWidth="1"/>
    <col min="3" max="3" width="27.85546875" customWidth="1"/>
    <col min="4" max="26" width="9.140625" customWidth="1"/>
    <col min="27" max="27" width="15.7109375" customWidth="1"/>
    <col min="28" max="28" width="1" customWidth="1"/>
  </cols>
  <sheetData>
    <row r="1" spans="1:27" ht="39.75" customHeight="1" thickBot="1">
      <c r="A1" s="60" t="s">
        <v>40</v>
      </c>
      <c r="B1" s="10"/>
      <c r="C1" s="10"/>
      <c r="D1" s="10"/>
      <c r="E1" s="9"/>
      <c r="F1" s="9"/>
      <c r="G1" s="9" t="s">
        <v>0</v>
      </c>
      <c r="H1" s="9"/>
      <c r="I1" s="9"/>
      <c r="J1" s="9"/>
      <c r="K1" s="9"/>
      <c r="L1" s="9"/>
      <c r="M1" s="9"/>
      <c r="N1" s="9"/>
      <c r="O1" s="9"/>
      <c r="P1" s="32" t="str">
        <f>'SJCPIL-R 14-008-06 - Máq. 1'!P1</f>
        <v>TURNO:</v>
      </c>
      <c r="Q1" s="33"/>
      <c r="R1" s="32"/>
      <c r="S1" s="32"/>
      <c r="T1" s="32"/>
      <c r="W1" s="116" t="str">
        <f>'SJCPIL-R 14-008-06 - Máq. 1'!W1:Y1</f>
        <v>Mês / Ano</v>
      </c>
      <c r="X1" s="117"/>
      <c r="Y1" s="118"/>
      <c r="Z1" s="119" t="str">
        <f ca="1">'SJCPIL-R 14-008-06 - Máq. 1'!Z1:AA1</f>
        <v>03 / 2022</v>
      </c>
      <c r="AA1" s="91"/>
    </row>
    <row r="2" spans="1:27" ht="18.75" thickBot="1"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10"/>
      <c r="Q2" s="12"/>
      <c r="R2" s="85"/>
      <c r="S2" s="85"/>
      <c r="T2" s="11"/>
      <c r="U2" s="10"/>
      <c r="V2" s="12"/>
      <c r="W2" s="9"/>
    </row>
    <row r="3" spans="1:27" ht="30" customHeight="1" thickBot="1">
      <c r="A3" s="13" t="s">
        <v>1</v>
      </c>
      <c r="B3" s="13"/>
      <c r="C3" s="14"/>
      <c r="D3" s="71"/>
      <c r="E3" s="71"/>
      <c r="F3" s="64"/>
      <c r="G3" s="71"/>
      <c r="H3" s="71"/>
      <c r="I3" s="64"/>
      <c r="J3" s="71"/>
      <c r="K3" s="71"/>
      <c r="L3" s="71"/>
      <c r="M3" s="71"/>
      <c r="N3" s="64"/>
      <c r="O3" s="64"/>
      <c r="P3" s="64"/>
      <c r="Q3" s="71"/>
      <c r="R3" s="71"/>
      <c r="S3" s="71"/>
      <c r="T3" s="71"/>
      <c r="U3" s="71"/>
      <c r="V3" s="71"/>
      <c r="W3" s="71"/>
      <c r="X3" s="71"/>
      <c r="Y3" s="71"/>
      <c r="Z3" s="71"/>
      <c r="AA3" s="99" t="s">
        <v>2</v>
      </c>
    </row>
    <row r="4" spans="1:27" ht="30" customHeight="1" thickBot="1">
      <c r="A4" s="97" t="s">
        <v>35</v>
      </c>
      <c r="B4" s="95" t="s">
        <v>27</v>
      </c>
      <c r="C4" s="96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100"/>
    </row>
    <row r="5" spans="1:27" s="16" customFormat="1" ht="30" customHeight="1">
      <c r="A5" s="98"/>
      <c r="B5" s="92" t="s">
        <v>3</v>
      </c>
      <c r="C5" s="93"/>
      <c r="D5" s="69"/>
      <c r="E5" s="69"/>
      <c r="F5" s="69"/>
      <c r="G5" s="69"/>
      <c r="H5" s="69"/>
      <c r="I5" s="70"/>
      <c r="J5" s="70"/>
      <c r="K5" s="70"/>
      <c r="L5" s="70"/>
      <c r="M5" s="70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81">
        <f>SUM(D5:Z5)</f>
        <v>0</v>
      </c>
    </row>
    <row r="6" spans="1:27" s="16" customFormat="1" ht="30" customHeight="1">
      <c r="A6" s="98"/>
      <c r="B6" s="94" t="s">
        <v>4</v>
      </c>
      <c r="C6" s="58" t="str">
        <f>'SJCPIL-R 14-008-06 - Máq. 1'!C6</f>
        <v>Chapa Riscada</v>
      </c>
      <c r="D6" s="66"/>
      <c r="E6" s="72"/>
      <c r="F6" s="72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82">
        <f t="shared" ref="AA6:AA18" si="0">SUM(D6:Z6)</f>
        <v>0</v>
      </c>
    </row>
    <row r="7" spans="1:27" s="16" customFormat="1" ht="30" customHeight="1">
      <c r="A7" s="98"/>
      <c r="B7" s="94"/>
      <c r="C7" s="58" t="str">
        <f>'SJCPIL-R 14-008-06 - Máq. 1'!C7</f>
        <v>Chapa Manchada</v>
      </c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82">
        <f t="shared" si="0"/>
        <v>0</v>
      </c>
    </row>
    <row r="8" spans="1:27" s="16" customFormat="1" ht="30" customHeight="1">
      <c r="A8" s="98"/>
      <c r="B8" s="94"/>
      <c r="C8" s="58" t="str">
        <f>'SJCPIL-R 14-008-06 - Máq. 1'!C8</f>
        <v>Tubo Amassado no Corte</v>
      </c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82">
        <f t="shared" si="0"/>
        <v>0</v>
      </c>
    </row>
    <row r="9" spans="1:27" s="16" customFormat="1" ht="30" customHeight="1">
      <c r="A9" s="98"/>
      <c r="B9" s="94"/>
      <c r="C9" s="58" t="str">
        <f>'SJCPIL-R 14-008-06 - Máq. 1'!C9</f>
        <v>Tb. Amassado Fuinga</v>
      </c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82">
        <f t="shared" si="0"/>
        <v>0</v>
      </c>
    </row>
    <row r="10" spans="1:27" s="16" customFormat="1" ht="30" customHeight="1">
      <c r="A10" s="98"/>
      <c r="B10" s="94"/>
      <c r="C10" s="58" t="str">
        <f>'SJCPIL-R 14-008-06 - Máq. 1'!C10</f>
        <v>Chapa Aberta</v>
      </c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82">
        <f t="shared" si="0"/>
        <v>0</v>
      </c>
    </row>
    <row r="11" spans="1:27" s="16" customFormat="1" ht="30" customHeight="1">
      <c r="A11" s="98"/>
      <c r="B11" s="94"/>
      <c r="C11" s="58" t="str">
        <f>'SJCPIL-R 14-008-06 - Máq. 1'!C11</f>
        <v xml:space="preserve">Tb. Amassado Flanger </v>
      </c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82">
        <f t="shared" si="0"/>
        <v>0</v>
      </c>
    </row>
    <row r="12" spans="1:27" s="16" customFormat="1" ht="30" customHeight="1">
      <c r="A12" s="98"/>
      <c r="B12" s="94"/>
      <c r="C12" s="58" t="str">
        <f>'SJCPIL-R 14-008-06 - Máq. 1'!C12</f>
        <v>Lingueta aberta</v>
      </c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82">
        <f t="shared" si="0"/>
        <v>0</v>
      </c>
    </row>
    <row r="13" spans="1:27" s="16" customFormat="1" ht="30" customHeight="1">
      <c r="A13" s="98"/>
      <c r="B13" s="94"/>
      <c r="C13" s="58" t="str">
        <f>'SJCPIL-R 14-008-06 - Máq. 1'!C13</f>
        <v>Pank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82">
        <f t="shared" si="0"/>
        <v>0</v>
      </c>
    </row>
    <row r="14" spans="1:27" s="16" customFormat="1" ht="30" customHeight="1">
      <c r="A14" s="98"/>
      <c r="B14" s="94"/>
      <c r="C14" s="58" t="str">
        <f>'SJCPIL-R 14-008-06 - Máq. 1'!C14</f>
        <v>Pé de Elefante</v>
      </c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82">
        <f t="shared" si="0"/>
        <v>0</v>
      </c>
    </row>
    <row r="15" spans="1:27" s="16" customFormat="1" ht="30" customHeight="1">
      <c r="A15" s="98"/>
      <c r="B15" s="94"/>
      <c r="C15" s="58" t="str">
        <f>'SJCPIL-R 14-008-06 - Máq. 1'!C15</f>
        <v>Outros</v>
      </c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82">
        <f t="shared" si="0"/>
        <v>0</v>
      </c>
    </row>
    <row r="16" spans="1:27" s="16" customFormat="1" ht="30" customHeight="1" thickBot="1">
      <c r="A16" s="98"/>
      <c r="B16" s="94"/>
      <c r="C16" s="59" t="s">
        <v>26</v>
      </c>
      <c r="D16" s="73">
        <f>SUM(D6:D15)</f>
        <v>0</v>
      </c>
      <c r="E16" s="73">
        <f>SUM(E6:E15)</f>
        <v>0</v>
      </c>
      <c r="F16" s="73">
        <f t="shared" ref="F16" si="1">SUM(F6:F15)</f>
        <v>0</v>
      </c>
      <c r="G16" s="73">
        <f t="shared" ref="G16" si="2">SUM(G6:G15)</f>
        <v>0</v>
      </c>
      <c r="H16" s="73">
        <f t="shared" ref="H16:Z16" si="3">SUM(H6:H15)</f>
        <v>0</v>
      </c>
      <c r="I16" s="73">
        <f t="shared" ref="I16:O16" si="4">SUM(I6:I15)</f>
        <v>0</v>
      </c>
      <c r="J16" s="73">
        <f t="shared" si="4"/>
        <v>0</v>
      </c>
      <c r="K16" s="73">
        <f t="shared" si="4"/>
        <v>0</v>
      </c>
      <c r="L16" s="73">
        <f t="shared" si="4"/>
        <v>0</v>
      </c>
      <c r="M16" s="73">
        <f t="shared" si="4"/>
        <v>0</v>
      </c>
      <c r="N16" s="73">
        <f t="shared" si="4"/>
        <v>0</v>
      </c>
      <c r="O16" s="73">
        <f t="shared" si="4"/>
        <v>0</v>
      </c>
      <c r="P16" s="73">
        <f t="shared" si="3"/>
        <v>0</v>
      </c>
      <c r="Q16" s="73">
        <f t="shared" si="3"/>
        <v>0</v>
      </c>
      <c r="R16" s="73">
        <f t="shared" si="3"/>
        <v>0</v>
      </c>
      <c r="S16" s="73">
        <f t="shared" si="3"/>
        <v>0</v>
      </c>
      <c r="T16" s="73">
        <f t="shared" si="3"/>
        <v>0</v>
      </c>
      <c r="U16" s="73">
        <f t="shared" si="3"/>
        <v>0</v>
      </c>
      <c r="V16" s="73">
        <f t="shared" si="3"/>
        <v>0</v>
      </c>
      <c r="W16" s="73">
        <f t="shared" si="3"/>
        <v>0</v>
      </c>
      <c r="X16" s="73">
        <f t="shared" si="3"/>
        <v>0</v>
      </c>
      <c r="Y16" s="73">
        <f t="shared" si="3"/>
        <v>0</v>
      </c>
      <c r="Z16" s="73">
        <f t="shared" si="3"/>
        <v>0</v>
      </c>
      <c r="AA16" s="83">
        <f t="shared" ref="AA16" si="5">SUM(D16:Z16)</f>
        <v>0</v>
      </c>
    </row>
    <row r="17" spans="1:27" s="16" customFormat="1" ht="30" customHeight="1">
      <c r="A17" s="120" t="s">
        <v>6</v>
      </c>
      <c r="B17" s="121"/>
      <c r="C17" s="122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1">
        <f t="shared" si="0"/>
        <v>0</v>
      </c>
    </row>
    <row r="18" spans="1:27" s="16" customFormat="1" ht="30" customHeight="1" thickBot="1">
      <c r="A18" s="123" t="s">
        <v>7</v>
      </c>
      <c r="B18" s="124"/>
      <c r="C18" s="124"/>
      <c r="D18" s="67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84">
        <f t="shared" si="0"/>
        <v>0</v>
      </c>
    </row>
    <row r="19" spans="1:27" s="16" customFormat="1" ht="30" customHeight="1">
      <c r="A19" s="125" t="s">
        <v>2</v>
      </c>
      <c r="B19" s="126"/>
      <c r="C19" s="126"/>
      <c r="D19" s="74">
        <f t="shared" ref="D19" si="6">SUM(D16:D18)</f>
        <v>0</v>
      </c>
      <c r="E19" s="74">
        <f t="shared" ref="E19" si="7">SUM(E16:E18)</f>
        <v>0</v>
      </c>
      <c r="F19" s="74">
        <f t="shared" ref="F19" si="8">SUM(F16:F18)</f>
        <v>0</v>
      </c>
      <c r="G19" s="74">
        <f t="shared" ref="G19" si="9">SUM(G16:G18)</f>
        <v>0</v>
      </c>
      <c r="H19" s="74">
        <f t="shared" ref="H19" si="10">SUM(H16:H18)</f>
        <v>0</v>
      </c>
      <c r="I19" s="74">
        <f t="shared" ref="I19" si="11">SUM(I16:I18)</f>
        <v>0</v>
      </c>
      <c r="J19" s="74">
        <f t="shared" ref="J19" si="12">SUM(J16:J18)</f>
        <v>0</v>
      </c>
      <c r="K19" s="74">
        <f t="shared" ref="K19" si="13">SUM(K16:K18)</f>
        <v>0</v>
      </c>
      <c r="L19" s="74">
        <f t="shared" ref="L19" si="14">SUM(L16:L18)</f>
        <v>0</v>
      </c>
      <c r="M19" s="74">
        <f t="shared" ref="M19" si="15">SUM(M16:M18)</f>
        <v>0</v>
      </c>
      <c r="N19" s="74">
        <f t="shared" ref="N19" si="16">SUM(N16:N18)</f>
        <v>0</v>
      </c>
      <c r="O19" s="74">
        <f t="shared" ref="O19" si="17">SUM(O16:O18)</f>
        <v>0</v>
      </c>
      <c r="P19" s="74">
        <f t="shared" ref="P19" si="18">SUM(P16:P18)</f>
        <v>0</v>
      </c>
      <c r="Q19" s="74">
        <f t="shared" ref="Q19" si="19">SUM(Q16:Q18)</f>
        <v>0</v>
      </c>
      <c r="R19" s="74">
        <f t="shared" ref="R19" si="20">SUM(R16:R18)</f>
        <v>0</v>
      </c>
      <c r="S19" s="74">
        <f t="shared" ref="S19" si="21">SUM(S16:S18)</f>
        <v>0</v>
      </c>
      <c r="T19" s="74">
        <f t="shared" ref="T19" si="22">SUM(T16:T18)</f>
        <v>0</v>
      </c>
      <c r="U19" s="74">
        <f t="shared" ref="U19" si="23">SUM(U16:U18)</f>
        <v>0</v>
      </c>
      <c r="V19" s="74">
        <f t="shared" ref="V19" si="24">SUM(V16:V18)</f>
        <v>0</v>
      </c>
      <c r="W19" s="74">
        <f t="shared" ref="W19" si="25">SUM(W16:W18)</f>
        <v>0</v>
      </c>
      <c r="X19" s="74">
        <f t="shared" ref="X19" si="26">SUM(X16:X18)</f>
        <v>0</v>
      </c>
      <c r="Y19" s="74">
        <f t="shared" ref="Y19" si="27">SUM(Y16:Y18)</f>
        <v>0</v>
      </c>
      <c r="Z19" s="74">
        <f t="shared" ref="Z19" si="28">SUM(Z16:Z18)</f>
        <v>0</v>
      </c>
      <c r="AA19" s="81">
        <f t="shared" ref="AA19" si="29">SUM(AA16:AA18)</f>
        <v>0</v>
      </c>
    </row>
    <row r="20" spans="1:27" s="16" customFormat="1" ht="30" customHeight="1" thickBot="1">
      <c r="A20" s="127" t="s">
        <v>5</v>
      </c>
      <c r="B20" s="128"/>
      <c r="C20" s="128"/>
      <c r="D20" s="75" t="str">
        <f t="shared" ref="D20:Z20" si="30">IF(ISERR(D19/D5),"",D19/D5*1000000)</f>
        <v/>
      </c>
      <c r="E20" s="76" t="str">
        <f t="shared" si="30"/>
        <v/>
      </c>
      <c r="F20" s="76" t="str">
        <f t="shared" si="30"/>
        <v/>
      </c>
      <c r="G20" s="76" t="str">
        <f t="shared" si="30"/>
        <v/>
      </c>
      <c r="H20" s="76" t="str">
        <f t="shared" si="30"/>
        <v/>
      </c>
      <c r="I20" s="76" t="str">
        <f t="shared" si="30"/>
        <v/>
      </c>
      <c r="J20" s="76" t="str">
        <f t="shared" si="30"/>
        <v/>
      </c>
      <c r="K20" s="76" t="str">
        <f t="shared" si="30"/>
        <v/>
      </c>
      <c r="L20" s="76" t="str">
        <f t="shared" si="30"/>
        <v/>
      </c>
      <c r="M20" s="76" t="str">
        <f t="shared" si="30"/>
        <v/>
      </c>
      <c r="N20" s="76" t="str">
        <f t="shared" si="30"/>
        <v/>
      </c>
      <c r="O20" s="76" t="str">
        <f t="shared" si="30"/>
        <v/>
      </c>
      <c r="P20" s="76" t="str">
        <f t="shared" si="30"/>
        <v/>
      </c>
      <c r="Q20" s="76" t="str">
        <f t="shared" si="30"/>
        <v/>
      </c>
      <c r="R20" s="76" t="str">
        <f t="shared" si="30"/>
        <v/>
      </c>
      <c r="S20" s="76" t="str">
        <f t="shared" si="30"/>
        <v/>
      </c>
      <c r="T20" s="76" t="str">
        <f t="shared" si="30"/>
        <v/>
      </c>
      <c r="U20" s="76" t="str">
        <f t="shared" si="30"/>
        <v/>
      </c>
      <c r="V20" s="76" t="str">
        <f t="shared" si="30"/>
        <v/>
      </c>
      <c r="W20" s="76" t="str">
        <f t="shared" si="30"/>
        <v/>
      </c>
      <c r="X20" s="76" t="str">
        <f t="shared" si="30"/>
        <v/>
      </c>
      <c r="Y20" s="76" t="str">
        <f t="shared" si="30"/>
        <v/>
      </c>
      <c r="Z20" s="76" t="str">
        <f t="shared" si="30"/>
        <v/>
      </c>
      <c r="AA20" s="84" t="str">
        <f t="shared" ref="AA20" si="31">IF(ISERR(AA19/AA5),"",AA19/AA5*1000000)</f>
        <v/>
      </c>
    </row>
    <row r="21" spans="1:27" ht="30" customHeight="1">
      <c r="A21" s="110"/>
      <c r="B21" s="19"/>
      <c r="C21" s="20"/>
      <c r="D21" s="113">
        <f>D39</f>
        <v>0</v>
      </c>
      <c r="E21" s="113">
        <f t="shared" ref="E21:Z21" si="32">E39</f>
        <v>0</v>
      </c>
      <c r="F21" s="113">
        <f t="shared" si="32"/>
        <v>0</v>
      </c>
      <c r="G21" s="113">
        <f t="shared" si="32"/>
        <v>0</v>
      </c>
      <c r="H21" s="113">
        <f t="shared" si="32"/>
        <v>0</v>
      </c>
      <c r="I21" s="113">
        <f t="shared" si="32"/>
        <v>0</v>
      </c>
      <c r="J21" s="113">
        <f t="shared" si="32"/>
        <v>0</v>
      </c>
      <c r="K21" s="113">
        <f t="shared" si="32"/>
        <v>0</v>
      </c>
      <c r="L21" s="113">
        <f t="shared" si="32"/>
        <v>0</v>
      </c>
      <c r="M21" s="113">
        <f t="shared" si="32"/>
        <v>0</v>
      </c>
      <c r="N21" s="113">
        <f t="shared" si="32"/>
        <v>0</v>
      </c>
      <c r="O21" s="113">
        <f t="shared" si="32"/>
        <v>0</v>
      </c>
      <c r="P21" s="113">
        <f t="shared" si="32"/>
        <v>0</v>
      </c>
      <c r="Q21" s="113">
        <f t="shared" si="32"/>
        <v>0</v>
      </c>
      <c r="R21" s="113">
        <f t="shared" si="32"/>
        <v>0</v>
      </c>
      <c r="S21" s="47"/>
      <c r="T21" s="47"/>
      <c r="U21" s="113">
        <f t="shared" si="32"/>
        <v>0</v>
      </c>
      <c r="V21" s="113">
        <f t="shared" si="32"/>
        <v>0</v>
      </c>
      <c r="W21" s="113">
        <f t="shared" si="32"/>
        <v>0</v>
      </c>
      <c r="X21" s="113">
        <f t="shared" si="32"/>
        <v>0</v>
      </c>
      <c r="Y21" s="113">
        <f t="shared" si="32"/>
        <v>0</v>
      </c>
      <c r="Z21" s="113">
        <f t="shared" si="32"/>
        <v>0</v>
      </c>
      <c r="AA21" s="6"/>
    </row>
    <row r="22" spans="1:27" ht="30" customHeight="1">
      <c r="A22" s="110"/>
      <c r="B22" s="19"/>
      <c r="C22" s="11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48"/>
      <c r="T22" s="48"/>
      <c r="U22" s="114"/>
      <c r="V22" s="114"/>
      <c r="W22" s="114"/>
      <c r="X22" s="114"/>
      <c r="Y22" s="114"/>
      <c r="Z22" s="114"/>
      <c r="AA22" s="7"/>
    </row>
    <row r="23" spans="1:27" ht="30" customHeight="1">
      <c r="A23" s="110"/>
      <c r="B23" s="19"/>
      <c r="C23" s="20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48"/>
      <c r="T23" s="48"/>
      <c r="U23" s="114"/>
      <c r="V23" s="114"/>
      <c r="W23" s="114"/>
      <c r="X23" s="114"/>
      <c r="Y23" s="114"/>
      <c r="Z23" s="114"/>
      <c r="AA23" s="7"/>
    </row>
    <row r="24" spans="1:27" ht="30" customHeight="1">
      <c r="A24" s="110"/>
      <c r="B24" s="19"/>
      <c r="C24" s="21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48"/>
      <c r="T24" s="48"/>
      <c r="U24" s="114"/>
      <c r="V24" s="114"/>
      <c r="W24" s="114"/>
      <c r="X24" s="114"/>
      <c r="Y24" s="114"/>
      <c r="Z24" s="114"/>
      <c r="AA24" s="7"/>
    </row>
    <row r="25" spans="1:27" ht="30" customHeight="1">
      <c r="A25" s="110"/>
      <c r="B25" s="19"/>
      <c r="C25" s="21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48"/>
      <c r="T25" s="48"/>
      <c r="U25" s="114"/>
      <c r="V25" s="114"/>
      <c r="W25" s="114"/>
      <c r="X25" s="114"/>
      <c r="Y25" s="114"/>
      <c r="Z25" s="114"/>
      <c r="AA25" s="7"/>
    </row>
    <row r="26" spans="1:27" ht="30" customHeight="1">
      <c r="A26" s="110"/>
      <c r="B26" s="19"/>
      <c r="C26" s="21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48"/>
      <c r="T26" s="48"/>
      <c r="U26" s="114"/>
      <c r="V26" s="114"/>
      <c r="W26" s="114"/>
      <c r="X26" s="114"/>
      <c r="Y26" s="114"/>
      <c r="Z26" s="114"/>
      <c r="AA26" s="7"/>
    </row>
    <row r="27" spans="1:27" ht="30" customHeight="1">
      <c r="A27" s="110"/>
      <c r="B27" s="19"/>
      <c r="C27" s="21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8"/>
      <c r="T27" s="48"/>
      <c r="U27" s="114"/>
      <c r="V27" s="114"/>
      <c r="W27" s="114"/>
      <c r="X27" s="114"/>
      <c r="Y27" s="114"/>
      <c r="Z27" s="114"/>
      <c r="AA27" s="7"/>
    </row>
    <row r="28" spans="1:27" ht="30" customHeight="1">
      <c r="A28" s="110"/>
      <c r="B28" s="19"/>
      <c r="C28" s="21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48"/>
      <c r="T28" s="48"/>
      <c r="U28" s="114"/>
      <c r="V28" s="114"/>
      <c r="W28" s="114"/>
      <c r="X28" s="114"/>
      <c r="Y28" s="114"/>
      <c r="Z28" s="114"/>
      <c r="AA28" s="7"/>
    </row>
    <row r="29" spans="1:27" ht="30" customHeight="1">
      <c r="A29" s="110"/>
      <c r="B29" s="19"/>
      <c r="C29" s="21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48"/>
      <c r="T29" s="48"/>
      <c r="U29" s="114"/>
      <c r="V29" s="114"/>
      <c r="W29" s="114"/>
      <c r="X29" s="114"/>
      <c r="Y29" s="114"/>
      <c r="Z29" s="114"/>
      <c r="AA29" s="7"/>
    </row>
    <row r="30" spans="1:27" ht="30" customHeight="1" thickBot="1">
      <c r="A30" s="110"/>
      <c r="B30" s="19"/>
      <c r="C30" s="21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5"/>
      <c r="P30" s="115"/>
      <c r="Q30" s="114"/>
      <c r="R30" s="114"/>
      <c r="S30" s="48"/>
      <c r="T30" s="48"/>
      <c r="U30" s="114"/>
      <c r="V30" s="114"/>
      <c r="W30" s="114"/>
      <c r="X30" s="114"/>
      <c r="Y30" s="114"/>
      <c r="Z30" s="114"/>
      <c r="AA30" s="7"/>
    </row>
    <row r="31" spans="1:27" ht="30" customHeight="1">
      <c r="A31" s="108" t="str">
        <f>'SJCPIL-R 14-008-06 - Máq. 1'!A31:C31</f>
        <v>Visto Supervisor</v>
      </c>
      <c r="B31" s="109"/>
      <c r="C31" s="109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3"/>
    </row>
    <row r="32" spans="1:27" ht="30" customHeight="1" thickBot="1">
      <c r="A32" s="111" t="s">
        <v>37</v>
      </c>
      <c r="B32" s="112"/>
      <c r="C32" s="112"/>
      <c r="D32" s="54"/>
      <c r="E32" s="54"/>
      <c r="F32" s="54"/>
      <c r="G32" s="54"/>
      <c r="H32" s="54"/>
      <c r="I32" s="54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54"/>
      <c r="U32" s="54"/>
      <c r="V32" s="54"/>
      <c r="W32" s="54"/>
      <c r="X32" s="54"/>
      <c r="Y32" s="54"/>
      <c r="Z32" s="54"/>
      <c r="AA32" s="55"/>
    </row>
    <row r="33" spans="1:28" ht="30" customHeight="1">
      <c r="A33" s="51" t="s">
        <v>8</v>
      </c>
      <c r="J33" s="22" t="s">
        <v>9</v>
      </c>
      <c r="K33" s="23"/>
      <c r="L33" s="23"/>
      <c r="M33" s="23"/>
      <c r="N33" s="23"/>
      <c r="O33" s="23"/>
      <c r="P33" s="23"/>
      <c r="Q33" s="23"/>
      <c r="R33" s="23"/>
      <c r="S33" s="6"/>
      <c r="T33" s="61" t="s">
        <v>12</v>
      </c>
      <c r="AA33" s="7"/>
    </row>
    <row r="34" spans="1:28" ht="13.5" thickBot="1">
      <c r="A34" s="24" t="s">
        <v>10</v>
      </c>
      <c r="B34" s="25"/>
      <c r="C34" s="25"/>
      <c r="D34" s="25"/>
      <c r="E34" s="25"/>
      <c r="F34" s="25"/>
      <c r="G34" s="25"/>
      <c r="H34" s="25"/>
      <c r="I34" s="25"/>
      <c r="J34" s="24" t="s">
        <v>10</v>
      </c>
      <c r="K34" s="25"/>
      <c r="L34" s="25"/>
      <c r="M34" s="25"/>
      <c r="N34" s="25"/>
      <c r="O34" s="25"/>
      <c r="P34" s="25"/>
      <c r="Q34" s="25"/>
      <c r="R34" s="25"/>
      <c r="S34" s="26"/>
      <c r="T34" s="62" t="s">
        <v>10</v>
      </c>
      <c r="U34" s="25"/>
      <c r="V34" s="25"/>
      <c r="W34" s="25"/>
      <c r="X34" s="25"/>
      <c r="Y34" s="25"/>
      <c r="Z34" s="25"/>
      <c r="AA34" s="26"/>
    </row>
    <row r="36" spans="1:28">
      <c r="A36" t="s">
        <v>11</v>
      </c>
      <c r="D36">
        <f>TARGET_BLD_UM_1</f>
        <v>600</v>
      </c>
      <c r="AB36">
        <f t="shared" ref="AB36" si="33">AA36</f>
        <v>0</v>
      </c>
    </row>
    <row r="38" spans="1:28">
      <c r="C38" s="15" t="s">
        <v>13</v>
      </c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8" ht="150" customHeight="1">
      <c r="C39" s="27" t="s">
        <v>14</v>
      </c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2"/>
      <c r="X39" s="2"/>
      <c r="Y39" s="2"/>
      <c r="Z39" s="2"/>
    </row>
    <row r="40" spans="1:28">
      <c r="I40" s="28"/>
    </row>
    <row r="41" spans="1:28">
      <c r="I41" s="19"/>
    </row>
    <row r="42" spans="1:28">
      <c r="I42" s="19"/>
    </row>
    <row r="43" spans="1:28">
      <c r="I43" s="19"/>
    </row>
    <row r="45" spans="1:28" ht="19.5">
      <c r="H45" s="29"/>
    </row>
  </sheetData>
  <sheetProtection algorithmName="SHA-512" hashValue="6iysOyqiRF4Er2Hwxf/bHK16RJg3BnpHTAS7C9I6XgH1H1FwOaTU2YoRphG9UnygjUnsWj0cJGNJu3BD+9MwbQ==" saltValue="U7CeArZhz8kM+T4I914IMA==" spinCount="100000" sheet="1" objects="1" scenarios="1"/>
  <mergeCells count="35">
    <mergeCell ref="A31:C31"/>
    <mergeCell ref="A32:C32"/>
    <mergeCell ref="A17:C17"/>
    <mergeCell ref="J21:J30"/>
    <mergeCell ref="A18:C18"/>
    <mergeCell ref="A19:C19"/>
    <mergeCell ref="A20:C20"/>
    <mergeCell ref="A21:A30"/>
    <mergeCell ref="D21:D30"/>
    <mergeCell ref="E21:E30"/>
    <mergeCell ref="F21:F30"/>
    <mergeCell ref="G21:G30"/>
    <mergeCell ref="H21:H30"/>
    <mergeCell ref="I21:I30"/>
    <mergeCell ref="A4:A16"/>
    <mergeCell ref="B4:C4"/>
    <mergeCell ref="B5:C5"/>
    <mergeCell ref="B6:B16"/>
    <mergeCell ref="AA3:AA4"/>
    <mergeCell ref="W1:Y1"/>
    <mergeCell ref="Z1:AA1"/>
    <mergeCell ref="K21:K30"/>
    <mergeCell ref="L21:L30"/>
    <mergeCell ref="M21:M30"/>
    <mergeCell ref="N21:N30"/>
    <mergeCell ref="W21:W30"/>
    <mergeCell ref="P21:P30"/>
    <mergeCell ref="O21:O30"/>
    <mergeCell ref="X21:X30"/>
    <mergeCell ref="Y21:Y30"/>
    <mergeCell ref="Z21:Z30"/>
    <mergeCell ref="Q21:Q30"/>
    <mergeCell ref="R21:R30"/>
    <mergeCell ref="U21:U30"/>
    <mergeCell ref="V21:V30"/>
  </mergeCells>
  <printOptions horizontalCentered="1" verticalCentered="1" gridLines="1" gridLinesSet="0"/>
  <pageMargins left="0.19685039370078741" right="0.19685039370078741" top="0.51181102362204722" bottom="0.39370078740157483" header="7.874015748031496E-2" footer="0.19685039370078741"/>
  <pageSetup paperSize="9" scale="53" orientation="landscape" r:id="rId1"/>
  <headerFooter alignWithMargins="0">
    <oddFooter>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Check Box 3">
              <controlPr defaultSize="0" autoFill="0" autoLine="0" autoPict="0">
                <anchor moveWithCells="1">
                  <from>
                    <xdr:col>18</xdr:col>
                    <xdr:colOff>123825</xdr:colOff>
                    <xdr:row>0</xdr:row>
                    <xdr:rowOff>66675</xdr:rowOff>
                  </from>
                  <to>
                    <xdr:col>19</xdr:col>
                    <xdr:colOff>552450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Check Box 4">
              <controlPr defaultSize="0" autoFill="0" autoLine="0" autoPict="0">
                <anchor moveWithCells="1">
                  <from>
                    <xdr:col>18</xdr:col>
                    <xdr:colOff>123825</xdr:colOff>
                    <xdr:row>0</xdr:row>
                    <xdr:rowOff>304800</xdr:rowOff>
                  </from>
                  <to>
                    <xdr:col>19</xdr:col>
                    <xdr:colOff>552450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2">
    <pageSetUpPr fitToPage="1"/>
  </sheetPr>
  <dimension ref="A1:AY43"/>
  <sheetViews>
    <sheetView showZeros="0" zoomScale="98" zoomScaleNormal="98" workbookViewId="0">
      <selection activeCell="O8" sqref="O8"/>
    </sheetView>
  </sheetViews>
  <sheetFormatPr defaultColWidth="11.42578125" defaultRowHeight="12.75"/>
  <cols>
    <col min="1" max="1" width="4.28515625" customWidth="1"/>
    <col min="2" max="2" width="2.5703125" customWidth="1"/>
    <col min="3" max="3" width="18.5703125" bestFit="1" customWidth="1"/>
    <col min="4" max="35" width="6.7109375" customWidth="1"/>
    <col min="36" max="36" width="8.7109375" customWidth="1"/>
    <col min="37" max="37" width="3.7109375" customWidth="1"/>
    <col min="39" max="39" width="22.140625" bestFit="1" customWidth="1"/>
    <col min="47" max="47" width="22.140625" bestFit="1" customWidth="1"/>
  </cols>
  <sheetData>
    <row r="1" spans="1:51" ht="39.75" customHeight="1" thickBot="1">
      <c r="D1" s="9" t="s">
        <v>0</v>
      </c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50" t="s">
        <v>36</v>
      </c>
      <c r="V1" s="9"/>
      <c r="W1" s="9"/>
      <c r="X1" s="32" t="s">
        <v>33</v>
      </c>
      <c r="Y1" s="33"/>
      <c r="Z1" s="32"/>
      <c r="AF1" s="134" t="str">
        <f>'SJCPIL-R 14-008-06 - Máq. 1'!W1</f>
        <v>Mês / Ano</v>
      </c>
      <c r="AG1" s="119"/>
      <c r="AH1" s="119"/>
      <c r="AI1" s="119"/>
      <c r="AJ1" s="91"/>
      <c r="AL1" s="77"/>
      <c r="AM1" s="77"/>
      <c r="AN1" s="77"/>
      <c r="AO1" s="77"/>
    </row>
    <row r="2" spans="1:51" ht="18.75" thickBot="1"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10"/>
      <c r="Y2" s="12"/>
      <c r="Z2" s="12"/>
      <c r="AA2" s="10"/>
      <c r="AB2" s="12"/>
      <c r="AC2" s="11"/>
      <c r="AD2" s="11"/>
      <c r="AE2" s="11"/>
      <c r="AF2" s="9"/>
      <c r="AQ2" s="135"/>
      <c r="AR2" s="135"/>
      <c r="AS2" s="135"/>
      <c r="AT2" s="135"/>
      <c r="AU2" s="135"/>
      <c r="AV2" s="135"/>
    </row>
    <row r="3" spans="1:51" ht="20.100000000000001" customHeight="1" thickBot="1">
      <c r="A3" s="13" t="s">
        <v>1</v>
      </c>
      <c r="B3" s="13"/>
      <c r="C3" s="14"/>
      <c r="D3" s="46">
        <v>1</v>
      </c>
      <c r="E3" s="46">
        <v>2</v>
      </c>
      <c r="F3" s="46">
        <v>3</v>
      </c>
      <c r="G3" s="46">
        <v>4</v>
      </c>
      <c r="H3" s="46">
        <v>5</v>
      </c>
      <c r="I3" s="46">
        <v>6</v>
      </c>
      <c r="J3" s="46">
        <v>7</v>
      </c>
      <c r="K3" s="46">
        <v>8</v>
      </c>
      <c r="L3" s="46">
        <v>9</v>
      </c>
      <c r="M3" s="46">
        <v>10</v>
      </c>
      <c r="N3" s="46">
        <v>11</v>
      </c>
      <c r="O3" s="46">
        <v>12</v>
      </c>
      <c r="P3" s="46">
        <v>13</v>
      </c>
      <c r="Q3" s="46">
        <v>14</v>
      </c>
      <c r="R3" s="46">
        <v>15</v>
      </c>
      <c r="S3" s="46">
        <v>16</v>
      </c>
      <c r="T3" s="46">
        <v>17</v>
      </c>
      <c r="U3" s="46">
        <v>18</v>
      </c>
      <c r="V3" s="46">
        <v>19</v>
      </c>
      <c r="W3" s="46">
        <v>20</v>
      </c>
      <c r="X3" s="46">
        <v>21</v>
      </c>
      <c r="Y3" s="46">
        <v>22</v>
      </c>
      <c r="Z3" s="46">
        <v>23</v>
      </c>
      <c r="AA3" s="46">
        <v>24</v>
      </c>
      <c r="AB3" s="46">
        <v>25</v>
      </c>
      <c r="AC3" s="46">
        <v>26</v>
      </c>
      <c r="AD3" s="46">
        <v>27</v>
      </c>
      <c r="AE3" s="46">
        <v>28</v>
      </c>
      <c r="AF3" s="46">
        <v>29</v>
      </c>
      <c r="AG3" s="46">
        <v>30</v>
      </c>
      <c r="AH3" s="46">
        <v>31</v>
      </c>
      <c r="AI3" s="46">
        <v>32</v>
      </c>
      <c r="AJ3" s="136" t="s">
        <v>2</v>
      </c>
      <c r="AM3" s="15" t="s">
        <v>42</v>
      </c>
      <c r="AN3" s="15" t="s">
        <v>44</v>
      </c>
      <c r="AO3" s="15" t="s">
        <v>45</v>
      </c>
      <c r="AP3" s="15" t="s">
        <v>46</v>
      </c>
      <c r="AQ3" s="15" t="s">
        <v>28</v>
      </c>
      <c r="AR3" s="15" t="s">
        <v>49</v>
      </c>
      <c r="AS3" s="15" t="s">
        <v>47</v>
      </c>
      <c r="AT3" s="15" t="s">
        <v>48</v>
      </c>
      <c r="AU3" s="15" t="s">
        <v>50</v>
      </c>
      <c r="AV3" s="15" t="s">
        <v>5</v>
      </c>
      <c r="AW3" s="15" t="s">
        <v>51</v>
      </c>
      <c r="AX3" s="15" t="s">
        <v>52</v>
      </c>
      <c r="AY3" s="15" t="s">
        <v>53</v>
      </c>
    </row>
    <row r="4" spans="1:51" ht="20.100000000000001" customHeight="1" thickBot="1">
      <c r="A4" s="129" t="s">
        <v>24</v>
      </c>
      <c r="B4" s="131" t="s">
        <v>27</v>
      </c>
      <c r="C4" s="132"/>
      <c r="D4" s="44"/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137"/>
      <c r="AL4" t="s">
        <v>41</v>
      </c>
      <c r="AM4" s="17" t="s">
        <v>43</v>
      </c>
      <c r="AN4" s="15">
        <f>PROD_TOTAL_M1D</f>
        <v>0</v>
      </c>
      <c r="AO4" s="15">
        <f>PROD_TOTAL_M2D</f>
        <v>0</v>
      </c>
      <c r="AP4" s="15">
        <f>PROD_TOTAL_M3D</f>
        <v>0</v>
      </c>
      <c r="AQ4" s="15">
        <f>SUM(AN4:AP4)</f>
        <v>0</v>
      </c>
      <c r="AR4" s="15"/>
      <c r="AS4" s="15"/>
      <c r="AT4" s="15"/>
      <c r="AU4" s="15"/>
      <c r="AV4" s="15"/>
      <c r="AW4" s="15"/>
      <c r="AX4" s="15"/>
      <c r="AY4" s="15"/>
    </row>
    <row r="5" spans="1:51" s="16" customFormat="1" ht="20.100000000000001" customHeight="1">
      <c r="A5" s="130"/>
      <c r="B5" s="120" t="s">
        <v>3</v>
      </c>
      <c r="C5" s="122"/>
      <c r="D5" s="1">
        <f t="array" ref="D5">SUM(IF('SJCPIL-R 14-008-06 - Máq. 3'!$D$3:$Z$3='RESUMO DIÁRIO'!D$3,'SJCPIL-R 14-008-06 - Máq. 3'!$D5:$Z5))+SUM(IF('SJCPIL-R 14-008-06 - Máq. 1'!$D$3:$Z$3='RESUMO DIÁRIO'!D$3,'SJCPIL-R 14-008-06 - Máq. 1'!$D5:$Z5))+SUM(IF('SJCPIL-R 14-008-06 - Máq. 2'!$D$3:$Z$3='RESUMO DIÁRIO'!D$3,'SJCPIL-R 14-008-06 - Máq. 2'!$D5:$Z5))</f>
        <v>0</v>
      </c>
      <c r="E5" s="1">
        <f t="array" ref="E5">SUM(IF('SJCPIL-R 14-008-06 - Máq. 3'!$D$3:$Z$3='RESUMO DIÁRIO'!E$3,'SJCPIL-R 14-008-06 - Máq. 3'!$D5:$Z5))+SUM(IF('SJCPIL-R 14-008-06 - Máq. 1'!$D$3:$Z$3='RESUMO DIÁRIO'!E$3,'SJCPIL-R 14-008-06 - Máq. 1'!$D5:$Z5))+SUM(IF('SJCPIL-R 14-008-06 - Máq. 2'!$D$3:$Z$3='RESUMO DIÁRIO'!E$3,'SJCPIL-R 14-008-06 - Máq. 2'!$D5:$Z5))</f>
        <v>0</v>
      </c>
      <c r="F5" s="1">
        <f t="array" ref="F5">SUM(IF('SJCPIL-R 14-008-06 - Máq. 3'!$D$3:$Z$3='RESUMO DIÁRIO'!F$3,'SJCPIL-R 14-008-06 - Máq. 3'!$D5:$Z5))+SUM(IF('SJCPIL-R 14-008-06 - Máq. 1'!$D$3:$Z$3='RESUMO DIÁRIO'!F$3,'SJCPIL-R 14-008-06 - Máq. 1'!$D5:$Z5))+SUM(IF('SJCPIL-R 14-008-06 - Máq. 2'!$D$3:$Z$3='RESUMO DIÁRIO'!F$3,'SJCPIL-R 14-008-06 - Máq. 2'!$D5:$Z5))</f>
        <v>0</v>
      </c>
      <c r="G5" s="1">
        <f t="array" ref="G5">SUM(IF('SJCPIL-R 14-008-06 - Máq. 3'!$D$3:$Z$3='RESUMO DIÁRIO'!G$3,'SJCPIL-R 14-008-06 - Máq. 3'!$D5:$Z5))+SUM(IF('SJCPIL-R 14-008-06 - Máq. 1'!$D$3:$Z$3='RESUMO DIÁRIO'!G$3,'SJCPIL-R 14-008-06 - Máq. 1'!$D5:$Z5))+SUM(IF('SJCPIL-R 14-008-06 - Máq. 2'!$D$3:$Z$3='RESUMO DIÁRIO'!G$3,'SJCPIL-R 14-008-06 - Máq. 2'!$D5:$Z5))</f>
        <v>0</v>
      </c>
      <c r="H5" s="1">
        <f t="array" ref="H5">SUM(IF('SJCPIL-R 14-008-06 - Máq. 3'!$D$3:$Z$3='RESUMO DIÁRIO'!H$3,'SJCPIL-R 14-008-06 - Máq. 3'!$D5:$Z5))+SUM(IF('SJCPIL-R 14-008-06 - Máq. 1'!$D$3:$Z$3='RESUMO DIÁRIO'!H$3,'SJCPIL-R 14-008-06 - Máq. 1'!$D5:$Z5))+SUM(IF('SJCPIL-R 14-008-06 - Máq. 2'!$D$3:$Z$3='RESUMO DIÁRIO'!H$3,'SJCPIL-R 14-008-06 - Máq. 2'!$D5:$Z5))</f>
        <v>0</v>
      </c>
      <c r="I5" s="1">
        <f t="array" ref="I5">SUM(IF('SJCPIL-R 14-008-06 - Máq. 3'!$D$3:$Z$3='RESUMO DIÁRIO'!I$3,'SJCPIL-R 14-008-06 - Máq. 3'!$D5:$Z5))+SUM(IF('SJCPIL-R 14-008-06 - Máq. 1'!$D$3:$Z$3='RESUMO DIÁRIO'!I$3,'SJCPIL-R 14-008-06 - Máq. 1'!$D5:$Z5))+SUM(IF('SJCPIL-R 14-008-06 - Máq. 2'!$D$3:$Z$3='RESUMO DIÁRIO'!I$3,'SJCPIL-R 14-008-06 - Máq. 2'!$D5:$Z5))</f>
        <v>0</v>
      </c>
      <c r="J5" s="1">
        <f t="array" ref="J5">SUM(IF('SJCPIL-R 14-008-06 - Máq. 3'!$D$3:$Z$3='RESUMO DIÁRIO'!J$3,'SJCPIL-R 14-008-06 - Máq. 3'!$D5:$Z5))+SUM(IF('SJCPIL-R 14-008-06 - Máq. 1'!$D$3:$Z$3='RESUMO DIÁRIO'!J$3,'SJCPIL-R 14-008-06 - Máq. 1'!$D5:$Z5))+SUM(IF('SJCPIL-R 14-008-06 - Máq. 2'!$D$3:$Z$3='RESUMO DIÁRIO'!J$3,'SJCPIL-R 14-008-06 - Máq. 2'!$D5:$Z5))</f>
        <v>0</v>
      </c>
      <c r="K5" s="1">
        <f t="array" ref="K5">SUM(IF('SJCPIL-R 14-008-06 - Máq. 3'!$D$3:$Z$3='RESUMO DIÁRIO'!K$3,'SJCPIL-R 14-008-06 - Máq. 3'!$D5:$Z5))+SUM(IF('SJCPIL-R 14-008-06 - Máq. 1'!$D$3:$Z$3='RESUMO DIÁRIO'!K$3,'SJCPIL-R 14-008-06 - Máq. 1'!$D5:$Z5))+SUM(IF('SJCPIL-R 14-008-06 - Máq. 2'!$D$3:$Z$3='RESUMO DIÁRIO'!K$3,'SJCPIL-R 14-008-06 - Máq. 2'!$D5:$Z5))</f>
        <v>0</v>
      </c>
      <c r="L5" s="1">
        <f t="array" ref="L5">SUM(IF('SJCPIL-R 14-008-06 - Máq. 3'!$D$3:$Z$3='RESUMO DIÁRIO'!L$3,'SJCPIL-R 14-008-06 - Máq. 3'!$D5:$Z5))+SUM(IF('SJCPIL-R 14-008-06 - Máq. 1'!$D$3:$Z$3='RESUMO DIÁRIO'!L$3,'SJCPIL-R 14-008-06 - Máq. 1'!$D5:$Z5))+SUM(IF('SJCPIL-R 14-008-06 - Máq. 2'!$D$3:$Z$3='RESUMO DIÁRIO'!L$3,'SJCPIL-R 14-008-06 - Máq. 2'!$D5:$Z5))</f>
        <v>0</v>
      </c>
      <c r="M5" s="1">
        <f t="array" ref="M5">SUM(IF('SJCPIL-R 14-008-06 - Máq. 3'!$D$3:$Z$3='RESUMO DIÁRIO'!M$3,'SJCPIL-R 14-008-06 - Máq. 3'!$D5:$Z5))+SUM(IF('SJCPIL-R 14-008-06 - Máq. 1'!$D$3:$Z$3='RESUMO DIÁRIO'!M$3,'SJCPIL-R 14-008-06 - Máq. 1'!$D5:$Z5))+SUM(IF('SJCPIL-R 14-008-06 - Máq. 2'!$D$3:$Z$3='RESUMO DIÁRIO'!M$3,'SJCPIL-R 14-008-06 - Máq. 2'!$D5:$Z5))</f>
        <v>0</v>
      </c>
      <c r="N5" s="1">
        <f t="array" ref="N5">SUM(IF('SJCPIL-R 14-008-06 - Máq. 3'!$D$3:$Z$3='RESUMO DIÁRIO'!N$3,'SJCPIL-R 14-008-06 - Máq. 3'!$D5:$Z5))+SUM(IF('SJCPIL-R 14-008-06 - Máq. 1'!$D$3:$Z$3='RESUMO DIÁRIO'!N$3,'SJCPIL-R 14-008-06 - Máq. 1'!$D5:$Z5))+SUM(IF('SJCPIL-R 14-008-06 - Máq. 2'!$D$3:$Z$3='RESUMO DIÁRIO'!N$3,'SJCPIL-R 14-008-06 - Máq. 2'!$D5:$Z5))</f>
        <v>0</v>
      </c>
      <c r="O5" s="1">
        <f t="array" ref="O5">SUM(IF('SJCPIL-R 14-008-06 - Máq. 3'!$D$3:$Z$3='RESUMO DIÁRIO'!O$3,'SJCPIL-R 14-008-06 - Máq. 3'!$D5:$Z5))+SUM(IF('SJCPIL-R 14-008-06 - Máq. 1'!$D$3:$Z$3='RESUMO DIÁRIO'!O$3,'SJCPIL-R 14-008-06 - Máq. 1'!$D5:$Z5))+SUM(IF('SJCPIL-R 14-008-06 - Máq. 2'!$D$3:$Z$3='RESUMO DIÁRIO'!O$3,'SJCPIL-R 14-008-06 - Máq. 2'!$D5:$Z5))</f>
        <v>0</v>
      </c>
      <c r="P5" s="1">
        <f t="array" ref="P5">SUM(IF('SJCPIL-R 14-008-06 - Máq. 3'!$D$3:$Z$3='RESUMO DIÁRIO'!P$3,'SJCPIL-R 14-008-06 - Máq. 3'!$D5:$Z5))+SUM(IF('SJCPIL-R 14-008-06 - Máq. 1'!$D$3:$Z$3='RESUMO DIÁRIO'!P$3,'SJCPIL-R 14-008-06 - Máq. 1'!$D5:$Z5))+SUM(IF('SJCPIL-R 14-008-06 - Máq. 2'!$D$3:$Z$3='RESUMO DIÁRIO'!P$3,'SJCPIL-R 14-008-06 - Máq. 2'!$D5:$Z5))</f>
        <v>0</v>
      </c>
      <c r="Q5" s="1">
        <f t="array" ref="Q5">SUM(IF('SJCPIL-R 14-008-06 - Máq. 3'!$D$3:$Z$3='RESUMO DIÁRIO'!Q$3,'SJCPIL-R 14-008-06 - Máq. 3'!$D5:$Z5))+SUM(IF('SJCPIL-R 14-008-06 - Máq. 1'!$D$3:$Z$3='RESUMO DIÁRIO'!Q$3,'SJCPIL-R 14-008-06 - Máq. 1'!$D5:$Z5))+SUM(IF('SJCPIL-R 14-008-06 - Máq. 2'!$D$3:$Z$3='RESUMO DIÁRIO'!Q$3,'SJCPIL-R 14-008-06 - Máq. 2'!$D5:$Z5))</f>
        <v>0</v>
      </c>
      <c r="R5" s="1">
        <f t="array" ref="R5">SUM(IF('SJCPIL-R 14-008-06 - Máq. 3'!$D$3:$Z$3='RESUMO DIÁRIO'!R$3,'SJCPIL-R 14-008-06 - Máq. 3'!$D5:$Z5))+SUM(IF('SJCPIL-R 14-008-06 - Máq. 1'!$D$3:$Z$3='RESUMO DIÁRIO'!R$3,'SJCPIL-R 14-008-06 - Máq. 1'!$D5:$Z5))+SUM(IF('SJCPIL-R 14-008-06 - Máq. 2'!$D$3:$Z$3='RESUMO DIÁRIO'!R$3,'SJCPIL-R 14-008-06 - Máq. 2'!$D5:$Z5))</f>
        <v>0</v>
      </c>
      <c r="S5" s="1">
        <f t="array" ref="S5">SUM(IF('SJCPIL-R 14-008-06 - Máq. 3'!$D$3:$Z$3='RESUMO DIÁRIO'!S$3,'SJCPIL-R 14-008-06 - Máq. 3'!$D5:$Z5))+SUM(IF('SJCPIL-R 14-008-06 - Máq. 1'!$D$3:$Z$3='RESUMO DIÁRIO'!S$3,'SJCPIL-R 14-008-06 - Máq. 1'!$D5:$Z5))+SUM(IF('SJCPIL-R 14-008-06 - Máq. 2'!$D$3:$Z$3='RESUMO DIÁRIO'!S$3,'SJCPIL-R 14-008-06 - Máq. 2'!$D5:$Z5))</f>
        <v>0</v>
      </c>
      <c r="T5" s="1">
        <f t="array" ref="T5">SUM(IF('SJCPIL-R 14-008-06 - Máq. 3'!$D$3:$Z$3='RESUMO DIÁRIO'!T$3,'SJCPIL-R 14-008-06 - Máq. 3'!$D5:$Z5))+SUM(IF('SJCPIL-R 14-008-06 - Máq. 1'!$D$3:$Z$3='RESUMO DIÁRIO'!T$3,'SJCPIL-R 14-008-06 - Máq. 1'!$D5:$Z5))+SUM(IF('SJCPIL-R 14-008-06 - Máq. 2'!$D$3:$Z$3='RESUMO DIÁRIO'!T$3,'SJCPIL-R 14-008-06 - Máq. 2'!$D5:$Z5))</f>
        <v>0</v>
      </c>
      <c r="U5" s="1">
        <f t="array" ref="U5">SUM(IF('SJCPIL-R 14-008-06 - Máq. 3'!$D$3:$Z$3='RESUMO DIÁRIO'!U$3,'SJCPIL-R 14-008-06 - Máq. 3'!$D5:$Z5))+SUM(IF('SJCPIL-R 14-008-06 - Máq. 1'!$D$3:$Z$3='RESUMO DIÁRIO'!U$3,'SJCPIL-R 14-008-06 - Máq. 1'!$D5:$Z5))+SUM(IF('SJCPIL-R 14-008-06 - Máq. 2'!$D$3:$Z$3='RESUMO DIÁRIO'!U$3,'SJCPIL-R 14-008-06 - Máq. 2'!$D5:$Z5))</f>
        <v>0</v>
      </c>
      <c r="V5" s="1">
        <f t="array" ref="V5">SUM(IF('SJCPIL-R 14-008-06 - Máq. 3'!$D$3:$Z$3='RESUMO DIÁRIO'!V$3,'SJCPIL-R 14-008-06 - Máq. 3'!$D5:$Z5))+SUM(IF('SJCPIL-R 14-008-06 - Máq. 1'!$D$3:$Z$3='RESUMO DIÁRIO'!V$3,'SJCPIL-R 14-008-06 - Máq. 1'!$D5:$Z5))+SUM(IF('SJCPIL-R 14-008-06 - Máq. 2'!$D$3:$Z$3='RESUMO DIÁRIO'!V$3,'SJCPIL-R 14-008-06 - Máq. 2'!$D5:$Z5))</f>
        <v>0</v>
      </c>
      <c r="W5" s="1">
        <f t="array" ref="W5">SUM(IF('SJCPIL-R 14-008-06 - Máq. 3'!$D$3:$Z$3='RESUMO DIÁRIO'!W$3,'SJCPIL-R 14-008-06 - Máq. 3'!$D5:$Z5))+SUM(IF('SJCPIL-R 14-008-06 - Máq. 1'!$D$3:$Z$3='RESUMO DIÁRIO'!W$3,'SJCPIL-R 14-008-06 - Máq. 1'!$D5:$Z5))+SUM(IF('SJCPIL-R 14-008-06 - Máq. 2'!$D$3:$Z$3='RESUMO DIÁRIO'!W$3,'SJCPIL-R 14-008-06 - Máq. 2'!$D5:$Z5))</f>
        <v>0</v>
      </c>
      <c r="X5" s="1">
        <f t="array" ref="X5">SUM(IF('SJCPIL-R 14-008-06 - Máq. 3'!$D$3:$Z$3='RESUMO DIÁRIO'!X$3,'SJCPIL-R 14-008-06 - Máq. 3'!$D5:$Z5))+SUM(IF('SJCPIL-R 14-008-06 - Máq. 1'!$D$3:$Z$3='RESUMO DIÁRIO'!X$3,'SJCPIL-R 14-008-06 - Máq. 1'!$D5:$Z5))+SUM(IF('SJCPIL-R 14-008-06 - Máq. 2'!$D$3:$Z$3='RESUMO DIÁRIO'!X$3,'SJCPIL-R 14-008-06 - Máq. 2'!$D5:$Z5))</f>
        <v>0</v>
      </c>
      <c r="Y5" s="1">
        <f t="array" ref="Y5">SUM(IF('SJCPIL-R 14-008-06 - Máq. 3'!$D$3:$Z$3='RESUMO DIÁRIO'!Y$3,'SJCPIL-R 14-008-06 - Máq. 3'!$D5:$Z5))+SUM(IF('SJCPIL-R 14-008-06 - Máq. 1'!$D$3:$Z$3='RESUMO DIÁRIO'!Y$3,'SJCPIL-R 14-008-06 - Máq. 1'!$D5:$Z5))+SUM(IF('SJCPIL-R 14-008-06 - Máq. 2'!$D$3:$Z$3='RESUMO DIÁRIO'!Y$3,'SJCPIL-R 14-008-06 - Máq. 2'!$D5:$Z5))</f>
        <v>0</v>
      </c>
      <c r="Z5" s="1">
        <f t="array" ref="Z5">SUM(IF('SJCPIL-R 14-008-06 - Máq. 3'!$D$3:$Z$3='RESUMO DIÁRIO'!Z$3,'SJCPIL-R 14-008-06 - Máq. 3'!$D5:$Z5))+SUM(IF('SJCPIL-R 14-008-06 - Máq. 1'!$D$3:$Z$3='RESUMO DIÁRIO'!Z$3,'SJCPIL-R 14-008-06 - Máq. 1'!$D5:$Z5))+SUM(IF('SJCPIL-R 14-008-06 - Máq. 2'!$D$3:$Z$3='RESUMO DIÁRIO'!Z$3,'SJCPIL-R 14-008-06 - Máq. 2'!$D5:$Z5))</f>
        <v>0</v>
      </c>
      <c r="AA5" s="1">
        <f t="array" ref="AA5">SUM(IF('SJCPIL-R 14-008-06 - Máq. 3'!$D$3:$Z$3='RESUMO DIÁRIO'!AA$3,'SJCPIL-R 14-008-06 - Máq. 3'!$D5:$Z5))+SUM(IF('SJCPIL-R 14-008-06 - Máq. 1'!$D$3:$Z$3='RESUMO DIÁRIO'!AA$3,'SJCPIL-R 14-008-06 - Máq. 1'!$D5:$Z5))+SUM(IF('SJCPIL-R 14-008-06 - Máq. 2'!$D$3:$Z$3='RESUMO DIÁRIO'!AA$3,'SJCPIL-R 14-008-06 - Máq. 2'!$D5:$Z5))</f>
        <v>0</v>
      </c>
      <c r="AB5" s="1">
        <f t="array" ref="AB5">SUM(IF('SJCPIL-R 14-008-06 - Máq. 3'!$D$3:$Z$3='RESUMO DIÁRIO'!AB$3,'SJCPIL-R 14-008-06 - Máq. 3'!$D5:$Z5))+SUM(IF('SJCPIL-R 14-008-06 - Máq. 1'!$D$3:$Z$3='RESUMO DIÁRIO'!AB$3,'SJCPIL-R 14-008-06 - Máq. 1'!$D5:$Z5))+SUM(IF('SJCPIL-R 14-008-06 - Máq. 2'!$D$3:$Z$3='RESUMO DIÁRIO'!AB$3,'SJCPIL-R 14-008-06 - Máq. 2'!$D5:$Z5))</f>
        <v>0</v>
      </c>
      <c r="AC5" s="1">
        <f t="array" ref="AC5">SUM(IF('SJCPIL-R 14-008-06 - Máq. 3'!$D$3:$Z$3='RESUMO DIÁRIO'!AC$3,'SJCPIL-R 14-008-06 - Máq. 3'!$D5:$Z5))+SUM(IF('SJCPIL-R 14-008-06 - Máq. 1'!$D$3:$Z$3='RESUMO DIÁRIO'!AC$3,'SJCPIL-R 14-008-06 - Máq. 1'!$D5:$Z5))+SUM(IF('SJCPIL-R 14-008-06 - Máq. 2'!$D$3:$Z$3='RESUMO DIÁRIO'!AC$3,'SJCPIL-R 14-008-06 - Máq. 2'!$D5:$Z5))</f>
        <v>0</v>
      </c>
      <c r="AD5" s="1">
        <f t="array" ref="AD5">SUM(IF('SJCPIL-R 14-008-06 - Máq. 3'!$D$3:$Z$3='RESUMO DIÁRIO'!AD$3,'SJCPIL-R 14-008-06 - Máq. 3'!$D5:$Z5))+SUM(IF('SJCPIL-R 14-008-06 - Máq. 1'!$D$3:$Z$3='RESUMO DIÁRIO'!AD$3,'SJCPIL-R 14-008-06 - Máq. 1'!$D5:$Z5))+SUM(IF('SJCPIL-R 14-008-06 - Máq. 2'!$D$3:$Z$3='RESUMO DIÁRIO'!AD$3,'SJCPIL-R 14-008-06 - Máq. 2'!$D5:$Z5))</f>
        <v>0</v>
      </c>
      <c r="AE5" s="1">
        <f t="array" ref="AE5">SUM(IF('SJCPIL-R 14-008-06 - Máq. 3'!$D$3:$Z$3='RESUMO DIÁRIO'!AE$3,'SJCPIL-R 14-008-06 - Máq. 3'!$D5:$Z5))+SUM(IF('SJCPIL-R 14-008-06 - Máq. 1'!$D$3:$Z$3='RESUMO DIÁRIO'!AE$3,'SJCPIL-R 14-008-06 - Máq. 1'!$D5:$Z5))+SUM(IF('SJCPIL-R 14-008-06 - Máq. 2'!$D$3:$Z$3='RESUMO DIÁRIO'!AE$3,'SJCPIL-R 14-008-06 - Máq. 2'!$D5:$Z5))</f>
        <v>0</v>
      </c>
      <c r="AF5" s="1">
        <f t="array" ref="AF5">SUM(IF('SJCPIL-R 14-008-06 - Máq. 3'!$D$3:$Z$3='RESUMO DIÁRIO'!AF$3,'SJCPIL-R 14-008-06 - Máq. 3'!$D5:$Z5))+SUM(IF('SJCPIL-R 14-008-06 - Máq. 1'!$D$3:$Z$3='RESUMO DIÁRIO'!AF$3,'SJCPIL-R 14-008-06 - Máq. 1'!$D5:$Z5))+SUM(IF('SJCPIL-R 14-008-06 - Máq. 2'!$D$3:$Z$3='RESUMO DIÁRIO'!AF$3,'SJCPIL-R 14-008-06 - Máq. 2'!$D5:$Z5))</f>
        <v>0</v>
      </c>
      <c r="AG5" s="1"/>
      <c r="AH5" s="1">
        <f t="array" ref="AH5">SUM(IF('SJCPIL-R 14-008-06 - Máq. 3'!$D$3:$Z$3='RESUMO DIÁRIO'!AH$3,'SJCPIL-R 14-008-06 - Máq. 3'!$D5:$Z5))+SUM(IF('SJCPIL-R 14-008-06 - Máq. 1'!$D$3:$Z$3='RESUMO DIÁRIO'!AH$3,'SJCPIL-R 14-008-06 - Máq. 1'!$D5:$Z5))+SUM(IF('SJCPIL-R 14-008-06 - Máq. 2'!$D$3:$Z$3='RESUMO DIÁRIO'!AH$3,'SJCPIL-R 14-008-06 - Máq. 2'!$D5:$Z5))</f>
        <v>0</v>
      </c>
      <c r="AI5" s="1">
        <f t="array" ref="AI5">SUM(IF('SJCPIL-R 14-008-06 - Máq. 3'!$D$3:$Z$3='RESUMO DIÁRIO'!AI$3,'SJCPIL-R 14-008-06 - Máq. 3'!$D5:$Z5))+SUM(IF('SJCPIL-R 14-008-06 - Máq. 1'!$D$3:$Z$3='RESUMO DIÁRIO'!AI$3,'SJCPIL-R 14-008-06 - Máq. 1'!$D5:$Z5))+SUM(IF('SJCPIL-R 14-008-06 - Máq. 2'!$D$3:$Z$3='RESUMO DIÁRIO'!AI$3,'SJCPIL-R 14-008-06 - Máq. 2'!$D5:$Z5))</f>
        <v>0</v>
      </c>
      <c r="AJ5" s="4">
        <f>SUM(D5:AI5)</f>
        <v>0</v>
      </c>
      <c r="AL5" s="79">
        <v>1</v>
      </c>
      <c r="AM5" s="38" t="s">
        <v>22</v>
      </c>
      <c r="AN5" s="80">
        <f>'SJCPIL-R 14-008-06 - Máq. 1'!$AA6</f>
        <v>0</v>
      </c>
      <c r="AO5" s="80">
        <f>'SJCPIL-R 14-008-06 - Máq. 2'!$AA6</f>
        <v>0</v>
      </c>
      <c r="AP5" s="80">
        <f>'SJCPIL-R 14-008-06 - Máq. 3'!$AA6</f>
        <v>0</v>
      </c>
      <c r="AQ5" s="15">
        <f t="shared" ref="AQ5:AQ16" si="0">SUM(AN5:AP5)</f>
        <v>0</v>
      </c>
      <c r="AR5" s="15">
        <f>AQ5*20+AL5</f>
        <v>1</v>
      </c>
      <c r="AS5" s="15">
        <f>LARGE($AR$5:$AR$16,AL5)</f>
        <v>12</v>
      </c>
      <c r="AT5" s="15">
        <f>MATCH(AS5,$AR$5:$AR$16,0)</f>
        <v>12</v>
      </c>
      <c r="AU5" s="15" t="str">
        <f>INDEX($AM$5:$AM$16,AT5,1)</f>
        <v>MONTAGEM / OUTROS</v>
      </c>
      <c r="AV5" s="17" t="e">
        <f>INDEX($AQ$5:$AQ$16,AT5,1)/$AQ$4*1000000</f>
        <v>#DIV/0!</v>
      </c>
      <c r="AW5" s="17" t="e">
        <f>AV5</f>
        <v>#DIV/0!</v>
      </c>
      <c r="AX5" s="17" t="e">
        <f>AW5/$AQ$18*100</f>
        <v>#DIV/0!</v>
      </c>
      <c r="AY5" s="38" t="e">
        <f>IF((AV17&gt;'SJCPIL-R 14-008-06 - Máq. 1'!D36)*(AX5&lt;80),AV5,0)</f>
        <v>#DIV/0!</v>
      </c>
    </row>
    <row r="6" spans="1:51" s="16" customFormat="1" ht="20.100000000000001" customHeight="1">
      <c r="A6" s="130"/>
      <c r="B6" s="133" t="s">
        <v>4</v>
      </c>
      <c r="C6" s="18" t="s">
        <v>22</v>
      </c>
      <c r="D6" s="30">
        <f t="array" ref="D6">SUM(IF('SJCPIL-R 14-008-06 - Máq. 3'!$D$3:$Z$3='RESUMO DIÁRIO'!D$3,'SJCPIL-R 14-008-06 - Máq. 3'!$D6:$Z6))+SUM(IF('SJCPIL-R 14-008-06 - Máq. 1'!$D$3:$Z$3='RESUMO DIÁRIO'!D$3,'SJCPIL-R 14-008-06 - Máq. 1'!$D6:$Z6))+SUM(IF('SJCPIL-R 14-008-06 - Máq. 2'!$D$3:$Z$3='RESUMO DIÁRIO'!D$3,'SJCPIL-R 14-008-06 - Máq. 2'!$D6:$Z6))</f>
        <v>0</v>
      </c>
      <c r="E6" s="30">
        <f t="array" ref="E6">SUM(IF('SJCPIL-R 14-008-06 - Máq. 3'!$D$3:$Z$3='RESUMO DIÁRIO'!E$3,'SJCPIL-R 14-008-06 - Máq. 3'!$D6:$Z6))+SUM(IF('SJCPIL-R 14-008-06 - Máq. 1'!$D$3:$Z$3='RESUMO DIÁRIO'!E$3,'SJCPIL-R 14-008-06 - Máq. 1'!$D6:$Z6))+SUM(IF('SJCPIL-R 14-008-06 - Máq. 2'!$D$3:$Z$3='RESUMO DIÁRIO'!E$3,'SJCPIL-R 14-008-06 - Máq. 2'!$D6:$Z6))</f>
        <v>0</v>
      </c>
      <c r="F6" s="30">
        <f t="array" ref="F6">SUM(IF('SJCPIL-R 14-008-06 - Máq. 3'!$D$3:$Z$3='RESUMO DIÁRIO'!F$3,'SJCPIL-R 14-008-06 - Máq. 3'!$D6:$Z6))+SUM(IF('SJCPIL-R 14-008-06 - Máq. 1'!$D$3:$Z$3='RESUMO DIÁRIO'!F$3,'SJCPIL-R 14-008-06 - Máq. 1'!$D6:$Z6))+SUM(IF('SJCPIL-R 14-008-06 - Máq. 2'!$D$3:$Z$3='RESUMO DIÁRIO'!F$3,'SJCPIL-R 14-008-06 - Máq. 2'!$D6:$Z6))</f>
        <v>0</v>
      </c>
      <c r="G6" s="30">
        <f t="array" ref="G6">SUM(IF('SJCPIL-R 14-008-06 - Máq. 3'!$D$3:$Z$3='RESUMO DIÁRIO'!G$3,'SJCPIL-R 14-008-06 - Máq. 3'!$D6:$Z6))+SUM(IF('SJCPIL-R 14-008-06 - Máq. 1'!$D$3:$Z$3='RESUMO DIÁRIO'!G$3,'SJCPIL-R 14-008-06 - Máq. 1'!$D6:$Z6))+SUM(IF('SJCPIL-R 14-008-06 - Máq. 2'!$D$3:$Z$3='RESUMO DIÁRIO'!G$3,'SJCPIL-R 14-008-06 - Máq. 2'!$D6:$Z6))</f>
        <v>0</v>
      </c>
      <c r="H6" s="30">
        <f t="array" ref="H6">SUM(IF('SJCPIL-R 14-008-06 - Máq. 3'!$D$3:$Z$3='RESUMO DIÁRIO'!H$3,'SJCPIL-R 14-008-06 - Máq. 3'!$D6:$Z6))+SUM(IF('SJCPIL-R 14-008-06 - Máq. 1'!$D$3:$Z$3='RESUMO DIÁRIO'!H$3,'SJCPIL-R 14-008-06 - Máq. 1'!$D6:$Z6))+SUM(IF('SJCPIL-R 14-008-06 - Máq. 2'!$D$3:$Z$3='RESUMO DIÁRIO'!H$3,'SJCPIL-R 14-008-06 - Máq. 2'!$D6:$Z6))</f>
        <v>0</v>
      </c>
      <c r="I6" s="30">
        <f t="array" ref="I6">SUM(IF('SJCPIL-R 14-008-06 - Máq. 3'!$D$3:$Z$3='RESUMO DIÁRIO'!I$3,'SJCPIL-R 14-008-06 - Máq. 3'!$D6:$Z6))+SUM(IF('SJCPIL-R 14-008-06 - Máq. 1'!$D$3:$Z$3='RESUMO DIÁRIO'!I$3,'SJCPIL-R 14-008-06 - Máq. 1'!$D6:$Z6))+SUM(IF('SJCPIL-R 14-008-06 - Máq. 2'!$D$3:$Z$3='RESUMO DIÁRIO'!I$3,'SJCPIL-R 14-008-06 - Máq. 2'!$D6:$Z6))</f>
        <v>0</v>
      </c>
      <c r="J6" s="30">
        <f t="array" ref="J6">SUM(IF('SJCPIL-R 14-008-06 - Máq. 3'!$D$3:$Z$3='RESUMO DIÁRIO'!J$3,'SJCPIL-R 14-008-06 - Máq. 3'!$D6:$Z6))+SUM(IF('SJCPIL-R 14-008-06 - Máq. 1'!$D$3:$Z$3='RESUMO DIÁRIO'!J$3,'SJCPIL-R 14-008-06 - Máq. 1'!$D6:$Z6))+SUM(IF('SJCPIL-R 14-008-06 - Máq. 2'!$D$3:$Z$3='RESUMO DIÁRIO'!J$3,'SJCPIL-R 14-008-06 - Máq. 2'!$D6:$Z6))</f>
        <v>0</v>
      </c>
      <c r="K6" s="30">
        <f t="array" ref="K6">SUM(IF('SJCPIL-R 14-008-06 - Máq. 3'!$D$3:$Z$3='RESUMO DIÁRIO'!K$3,'SJCPIL-R 14-008-06 - Máq. 3'!$D6:$Z6))+SUM(IF('SJCPIL-R 14-008-06 - Máq. 1'!$D$3:$Z$3='RESUMO DIÁRIO'!K$3,'SJCPIL-R 14-008-06 - Máq. 1'!$D6:$Z6))+SUM(IF('SJCPIL-R 14-008-06 - Máq. 2'!$D$3:$Z$3='RESUMO DIÁRIO'!K$3,'SJCPIL-R 14-008-06 - Máq. 2'!$D6:$Z6))</f>
        <v>0</v>
      </c>
      <c r="L6" s="30">
        <f t="array" ref="L6">SUM(IF('SJCPIL-R 14-008-06 - Máq. 3'!$D$3:$Z$3='RESUMO DIÁRIO'!L$3,'SJCPIL-R 14-008-06 - Máq. 3'!$D6:$Z6))+SUM(IF('SJCPIL-R 14-008-06 - Máq. 1'!$D$3:$Z$3='RESUMO DIÁRIO'!L$3,'SJCPIL-R 14-008-06 - Máq. 1'!$D6:$Z6))+SUM(IF('SJCPIL-R 14-008-06 - Máq. 2'!$D$3:$Z$3='RESUMO DIÁRIO'!L$3,'SJCPIL-R 14-008-06 - Máq. 2'!$D6:$Z6))</f>
        <v>0</v>
      </c>
      <c r="M6" s="30">
        <f t="array" ref="M6">SUM(IF('SJCPIL-R 14-008-06 - Máq. 3'!$D$3:$Z$3='RESUMO DIÁRIO'!M$3,'SJCPIL-R 14-008-06 - Máq. 3'!$D6:$Z6))+SUM(IF('SJCPIL-R 14-008-06 - Máq. 1'!$D$3:$Z$3='RESUMO DIÁRIO'!M$3,'SJCPIL-R 14-008-06 - Máq. 1'!$D6:$Z6))+SUM(IF('SJCPIL-R 14-008-06 - Máq. 2'!$D$3:$Z$3='RESUMO DIÁRIO'!M$3,'SJCPIL-R 14-008-06 - Máq. 2'!$D6:$Z6))</f>
        <v>0</v>
      </c>
      <c r="N6" s="30">
        <f t="array" ref="N6">SUM(IF('SJCPIL-R 14-008-06 - Máq. 3'!$D$3:$Z$3='RESUMO DIÁRIO'!N$3,'SJCPIL-R 14-008-06 - Máq. 3'!$D6:$Z6))+SUM(IF('SJCPIL-R 14-008-06 - Máq. 1'!$D$3:$Z$3='RESUMO DIÁRIO'!N$3,'SJCPIL-R 14-008-06 - Máq. 1'!$D6:$Z6))+SUM(IF('SJCPIL-R 14-008-06 - Máq. 2'!$D$3:$Z$3='RESUMO DIÁRIO'!N$3,'SJCPIL-R 14-008-06 - Máq. 2'!$D6:$Z6))</f>
        <v>0</v>
      </c>
      <c r="O6" s="30">
        <f t="array" ref="O6">SUM(IF('SJCPIL-R 14-008-06 - Máq. 3'!$D$3:$Z$3='RESUMO DIÁRIO'!O$3,'SJCPIL-R 14-008-06 - Máq. 3'!$D6:$Z6))+SUM(IF('SJCPIL-R 14-008-06 - Máq. 1'!$D$3:$Z$3='RESUMO DIÁRIO'!O$3,'SJCPIL-R 14-008-06 - Máq. 1'!$D6:$Z6))+SUM(IF('SJCPIL-R 14-008-06 - Máq. 2'!$D$3:$Z$3='RESUMO DIÁRIO'!O$3,'SJCPIL-R 14-008-06 - Máq. 2'!$D6:$Z6))</f>
        <v>0</v>
      </c>
      <c r="P6" s="30">
        <f t="array" ref="P6">SUM(IF('SJCPIL-R 14-008-06 - Máq. 3'!$D$3:$Z$3='RESUMO DIÁRIO'!P$3,'SJCPIL-R 14-008-06 - Máq. 3'!$D6:$Z6))+SUM(IF('SJCPIL-R 14-008-06 - Máq. 1'!$D$3:$Z$3='RESUMO DIÁRIO'!P$3,'SJCPIL-R 14-008-06 - Máq. 1'!$D6:$Z6))+SUM(IF('SJCPIL-R 14-008-06 - Máq. 2'!$D$3:$Z$3='RESUMO DIÁRIO'!P$3,'SJCPIL-R 14-008-06 - Máq. 2'!$D6:$Z6))</f>
        <v>0</v>
      </c>
      <c r="Q6" s="30">
        <f t="array" ref="Q6">SUM(IF('SJCPIL-R 14-008-06 - Máq. 3'!$D$3:$Z$3='RESUMO DIÁRIO'!Q$3,'SJCPIL-R 14-008-06 - Máq. 3'!$D6:$Z6))+SUM(IF('SJCPIL-R 14-008-06 - Máq. 1'!$D$3:$Z$3='RESUMO DIÁRIO'!Q$3,'SJCPIL-R 14-008-06 - Máq. 1'!$D6:$Z6))+SUM(IF('SJCPIL-R 14-008-06 - Máq. 2'!$D$3:$Z$3='RESUMO DIÁRIO'!Q$3,'SJCPIL-R 14-008-06 - Máq. 2'!$D6:$Z6))</f>
        <v>0</v>
      </c>
      <c r="R6" s="30">
        <f t="array" ref="R6">SUM(IF('SJCPIL-R 14-008-06 - Máq. 3'!$D$3:$Z$3='RESUMO DIÁRIO'!R$3,'SJCPIL-R 14-008-06 - Máq. 3'!$D6:$Z6))+SUM(IF('SJCPIL-R 14-008-06 - Máq. 1'!$D$3:$Z$3='RESUMO DIÁRIO'!R$3,'SJCPIL-R 14-008-06 - Máq. 1'!$D6:$Z6))+SUM(IF('SJCPIL-R 14-008-06 - Máq. 2'!$D$3:$Z$3='RESUMO DIÁRIO'!R$3,'SJCPIL-R 14-008-06 - Máq. 2'!$D6:$Z6))</f>
        <v>0</v>
      </c>
      <c r="S6" s="30">
        <f t="array" ref="S6">SUM(IF('SJCPIL-R 14-008-06 - Máq. 3'!$D$3:$Z$3='RESUMO DIÁRIO'!S$3,'SJCPIL-R 14-008-06 - Máq. 3'!$D6:$Z6))+SUM(IF('SJCPIL-R 14-008-06 - Máq. 1'!$D$3:$Z$3='RESUMO DIÁRIO'!S$3,'SJCPIL-R 14-008-06 - Máq. 1'!$D6:$Z6))+SUM(IF('SJCPIL-R 14-008-06 - Máq. 2'!$D$3:$Z$3='RESUMO DIÁRIO'!S$3,'SJCPIL-R 14-008-06 - Máq. 2'!$D6:$Z6))</f>
        <v>0</v>
      </c>
      <c r="T6" s="30">
        <f t="array" ref="T6">SUM(IF('SJCPIL-R 14-008-06 - Máq. 3'!$D$3:$Z$3='RESUMO DIÁRIO'!T$3,'SJCPIL-R 14-008-06 - Máq. 3'!$D6:$Z6))+SUM(IF('SJCPIL-R 14-008-06 - Máq. 1'!$D$3:$Z$3='RESUMO DIÁRIO'!T$3,'SJCPIL-R 14-008-06 - Máq. 1'!$D6:$Z6))+SUM(IF('SJCPIL-R 14-008-06 - Máq. 2'!$D$3:$Z$3='RESUMO DIÁRIO'!T$3,'SJCPIL-R 14-008-06 - Máq. 2'!$D6:$Z6))</f>
        <v>0</v>
      </c>
      <c r="U6" s="30">
        <f t="array" ref="U6">SUM(IF('SJCPIL-R 14-008-06 - Máq. 3'!$D$3:$Z$3='RESUMO DIÁRIO'!U$3,'SJCPIL-R 14-008-06 - Máq. 3'!$D6:$Z6))+SUM(IF('SJCPIL-R 14-008-06 - Máq. 1'!$D$3:$Z$3='RESUMO DIÁRIO'!U$3,'SJCPIL-R 14-008-06 - Máq. 1'!$D6:$Z6))+SUM(IF('SJCPIL-R 14-008-06 - Máq. 2'!$D$3:$Z$3='RESUMO DIÁRIO'!U$3,'SJCPIL-R 14-008-06 - Máq. 2'!$D6:$Z6))</f>
        <v>0</v>
      </c>
      <c r="V6" s="30">
        <f t="array" ref="V6">SUM(IF('SJCPIL-R 14-008-06 - Máq. 3'!$D$3:$Z$3='RESUMO DIÁRIO'!V$3,'SJCPIL-R 14-008-06 - Máq. 3'!$D6:$Z6))+SUM(IF('SJCPIL-R 14-008-06 - Máq. 1'!$D$3:$Z$3='RESUMO DIÁRIO'!V$3,'SJCPIL-R 14-008-06 - Máq. 1'!$D6:$Z6))+SUM(IF('SJCPIL-R 14-008-06 - Máq. 2'!$D$3:$Z$3='RESUMO DIÁRIO'!V$3,'SJCPIL-R 14-008-06 - Máq. 2'!$D6:$Z6))</f>
        <v>0</v>
      </c>
      <c r="W6" s="30">
        <f t="array" ref="W6">SUM(IF('SJCPIL-R 14-008-06 - Máq. 3'!$D$3:$Z$3='RESUMO DIÁRIO'!W$3,'SJCPIL-R 14-008-06 - Máq. 3'!$D6:$Z6))+SUM(IF('SJCPIL-R 14-008-06 - Máq. 1'!$D$3:$Z$3='RESUMO DIÁRIO'!W$3,'SJCPIL-R 14-008-06 - Máq. 1'!$D6:$Z6))+SUM(IF('SJCPIL-R 14-008-06 - Máq. 2'!$D$3:$Z$3='RESUMO DIÁRIO'!W$3,'SJCPIL-R 14-008-06 - Máq. 2'!$D6:$Z6))</f>
        <v>0</v>
      </c>
      <c r="X6" s="30">
        <f t="array" ref="X6">SUM(IF('SJCPIL-R 14-008-06 - Máq. 3'!$D$3:$Z$3='RESUMO DIÁRIO'!X$3,'SJCPIL-R 14-008-06 - Máq. 3'!$D6:$Z6))+SUM(IF('SJCPIL-R 14-008-06 - Máq. 1'!$D$3:$Z$3='RESUMO DIÁRIO'!X$3,'SJCPIL-R 14-008-06 - Máq. 1'!$D6:$Z6))+SUM(IF('SJCPIL-R 14-008-06 - Máq. 2'!$D$3:$Z$3='RESUMO DIÁRIO'!X$3,'SJCPIL-R 14-008-06 - Máq. 2'!$D6:$Z6))</f>
        <v>0</v>
      </c>
      <c r="Y6" s="30">
        <f t="array" ref="Y6">SUM(IF('SJCPIL-R 14-008-06 - Máq. 3'!$D$3:$Z$3='RESUMO DIÁRIO'!Y$3,'SJCPIL-R 14-008-06 - Máq. 3'!$D6:$Z6))+SUM(IF('SJCPIL-R 14-008-06 - Máq. 1'!$D$3:$Z$3='RESUMO DIÁRIO'!Y$3,'SJCPIL-R 14-008-06 - Máq. 1'!$D6:$Z6))+SUM(IF('SJCPIL-R 14-008-06 - Máq. 2'!$D$3:$Z$3='RESUMO DIÁRIO'!Y$3,'SJCPIL-R 14-008-06 - Máq. 2'!$D6:$Z6))</f>
        <v>0</v>
      </c>
      <c r="Z6" s="30">
        <f t="array" ref="Z6">SUM(IF('SJCPIL-R 14-008-06 - Máq. 3'!$D$3:$Z$3='RESUMO DIÁRIO'!Z$3,'SJCPIL-R 14-008-06 - Máq. 3'!$D6:$Z6))+SUM(IF('SJCPIL-R 14-008-06 - Máq. 1'!$D$3:$Z$3='RESUMO DIÁRIO'!Z$3,'SJCPIL-R 14-008-06 - Máq. 1'!$D6:$Z6))+SUM(IF('SJCPIL-R 14-008-06 - Máq. 2'!$D$3:$Z$3='RESUMO DIÁRIO'!Z$3,'SJCPIL-R 14-008-06 - Máq. 2'!$D6:$Z6))</f>
        <v>0</v>
      </c>
      <c r="AA6" s="30">
        <f t="array" ref="AA6">SUM(IF('SJCPIL-R 14-008-06 - Máq. 3'!$D$3:$Z$3='RESUMO DIÁRIO'!AA$3,'SJCPIL-R 14-008-06 - Máq. 3'!$D6:$Z6))+SUM(IF('SJCPIL-R 14-008-06 - Máq. 1'!$D$3:$Z$3='RESUMO DIÁRIO'!AA$3,'SJCPIL-R 14-008-06 - Máq. 1'!$D6:$Z6))+SUM(IF('SJCPIL-R 14-008-06 - Máq. 2'!$D$3:$Z$3='RESUMO DIÁRIO'!AA$3,'SJCPIL-R 14-008-06 - Máq. 2'!$D6:$Z6))</f>
        <v>0</v>
      </c>
      <c r="AB6" s="30">
        <f t="array" ref="AB6">SUM(IF('SJCPIL-R 14-008-06 - Máq. 3'!$D$3:$Z$3='RESUMO DIÁRIO'!AB$3,'SJCPIL-R 14-008-06 - Máq. 3'!$D6:$Z6))+SUM(IF('SJCPIL-R 14-008-06 - Máq. 1'!$D$3:$Z$3='RESUMO DIÁRIO'!AB$3,'SJCPIL-R 14-008-06 - Máq. 1'!$D6:$Z6))+SUM(IF('SJCPIL-R 14-008-06 - Máq. 2'!$D$3:$Z$3='RESUMO DIÁRIO'!AB$3,'SJCPIL-R 14-008-06 - Máq. 2'!$D6:$Z6))</f>
        <v>0</v>
      </c>
      <c r="AC6" s="30">
        <f t="array" ref="AC6">SUM(IF('SJCPIL-R 14-008-06 - Máq. 3'!$D$3:$Z$3='RESUMO DIÁRIO'!AC$3,'SJCPIL-R 14-008-06 - Máq. 3'!$D6:$Z6))+SUM(IF('SJCPIL-R 14-008-06 - Máq. 1'!$D$3:$Z$3='RESUMO DIÁRIO'!AC$3,'SJCPIL-R 14-008-06 - Máq. 1'!$D6:$Z6))+SUM(IF('SJCPIL-R 14-008-06 - Máq. 2'!$D$3:$Z$3='RESUMO DIÁRIO'!AC$3,'SJCPIL-R 14-008-06 - Máq. 2'!$D6:$Z6))</f>
        <v>0</v>
      </c>
      <c r="AD6" s="30">
        <f t="array" ref="AD6">SUM(IF('SJCPIL-R 14-008-06 - Máq. 3'!$D$3:$Z$3='RESUMO DIÁRIO'!AD$3,'SJCPIL-R 14-008-06 - Máq. 3'!$D6:$Z6))+SUM(IF('SJCPIL-R 14-008-06 - Máq. 1'!$D$3:$Z$3='RESUMO DIÁRIO'!AD$3,'SJCPIL-R 14-008-06 - Máq. 1'!$D6:$Z6))+SUM(IF('SJCPIL-R 14-008-06 - Máq. 2'!$D$3:$Z$3='RESUMO DIÁRIO'!AD$3,'SJCPIL-R 14-008-06 - Máq. 2'!$D6:$Z6))</f>
        <v>0</v>
      </c>
      <c r="AE6" s="30">
        <f t="array" ref="AE6">SUM(IF('SJCPIL-R 14-008-06 - Máq. 3'!$D$3:$Z$3='RESUMO DIÁRIO'!AE$3,'SJCPIL-R 14-008-06 - Máq. 3'!$D6:$Z6))+SUM(IF('SJCPIL-R 14-008-06 - Máq. 1'!$D$3:$Z$3='RESUMO DIÁRIO'!AE$3,'SJCPIL-R 14-008-06 - Máq. 1'!$D6:$Z6))+SUM(IF('SJCPIL-R 14-008-06 - Máq. 2'!$D$3:$Z$3='RESUMO DIÁRIO'!AE$3,'SJCPIL-R 14-008-06 - Máq. 2'!$D6:$Z6))</f>
        <v>0</v>
      </c>
      <c r="AF6" s="30">
        <f t="array" ref="AF6">SUM(IF('SJCPIL-R 14-008-06 - Máq. 3'!$D$3:$Z$3='RESUMO DIÁRIO'!AF$3,'SJCPIL-R 14-008-06 - Máq. 3'!$D6:$Z6))+SUM(IF('SJCPIL-R 14-008-06 - Máq. 1'!$D$3:$Z$3='RESUMO DIÁRIO'!AF$3,'SJCPIL-R 14-008-06 - Máq. 1'!$D6:$Z6))+SUM(IF('SJCPIL-R 14-008-06 - Máq. 2'!$D$3:$Z$3='RESUMO DIÁRIO'!AF$3,'SJCPIL-R 14-008-06 - Máq. 2'!$D6:$Z6))</f>
        <v>0</v>
      </c>
      <c r="AG6" s="30"/>
      <c r="AH6" s="30">
        <f t="array" ref="AH6">SUM(IF('SJCPIL-R 14-008-06 - Máq. 3'!$D$3:$Z$3='RESUMO DIÁRIO'!AH$3,'SJCPIL-R 14-008-06 - Máq. 3'!$D6:$Z6))+SUM(IF('SJCPIL-R 14-008-06 - Máq. 1'!$D$3:$Z$3='RESUMO DIÁRIO'!AH$3,'SJCPIL-R 14-008-06 - Máq. 1'!$D6:$Z6))+SUM(IF('SJCPIL-R 14-008-06 - Máq. 2'!$D$3:$Z$3='RESUMO DIÁRIO'!AH$3,'SJCPIL-R 14-008-06 - Máq. 2'!$D6:$Z6))</f>
        <v>0</v>
      </c>
      <c r="AI6" s="30">
        <f t="array" ref="AI6">SUM(IF('SJCPIL-R 14-008-06 - Máq. 3'!$D$3:$Z$3='RESUMO DIÁRIO'!AI$3,'SJCPIL-R 14-008-06 - Máq. 3'!$D6:$Z6))+SUM(IF('SJCPIL-R 14-008-06 - Máq. 1'!$D$3:$Z$3='RESUMO DIÁRIO'!AI$3,'SJCPIL-R 14-008-06 - Máq. 1'!$D6:$Z6))+SUM(IF('SJCPIL-R 14-008-06 - Máq. 2'!$D$3:$Z$3='RESUMO DIÁRIO'!AI$3,'SJCPIL-R 14-008-06 - Máq. 2'!$D6:$Z6))</f>
        <v>0</v>
      </c>
      <c r="AJ6" s="31">
        <f t="shared" ref="AJ6:AJ19" si="1">SUM(D6:AI6)</f>
        <v>0</v>
      </c>
      <c r="AL6" s="79">
        <v>2</v>
      </c>
      <c r="AM6" s="17" t="s">
        <v>23</v>
      </c>
      <c r="AN6" s="80">
        <f>'SJCPIL-R 14-008-06 - Máq. 1'!$AA7</f>
        <v>0</v>
      </c>
      <c r="AO6" s="80">
        <f>'SJCPIL-R 14-008-06 - Máq. 2'!$AA7</f>
        <v>0</v>
      </c>
      <c r="AP6" s="80">
        <f>'SJCPIL-R 14-008-06 - Máq. 3'!$AA7</f>
        <v>0</v>
      </c>
      <c r="AQ6" s="15">
        <f t="shared" si="0"/>
        <v>0</v>
      </c>
      <c r="AR6" s="15">
        <f t="shared" ref="AR6:AR16" si="2">AQ6*20+AL6</f>
        <v>2</v>
      </c>
      <c r="AS6" s="15">
        <f t="shared" ref="AS6:AS16" si="3">LARGE($AR$5:$AR$16,AL6)</f>
        <v>11</v>
      </c>
      <c r="AT6" s="15">
        <f t="shared" ref="AT6:AT16" si="4">MATCH(AS6,$AR$5:$AR$16,0)</f>
        <v>11</v>
      </c>
      <c r="AU6" s="15" t="str">
        <f t="shared" ref="AU6:AU16" si="5">INDEX($AM$5:$AM$16,AT6,1)</f>
        <v>FLEXER</v>
      </c>
      <c r="AV6" s="17" t="e">
        <f t="shared" ref="AV6:AV16" si="6">INDEX($AQ$5:$AQ$16,AT6,1)/$AQ$4*1000000</f>
        <v>#DIV/0!</v>
      </c>
      <c r="AW6" s="17" t="e">
        <f>AV6+AW5</f>
        <v>#DIV/0!</v>
      </c>
      <c r="AX6" s="17" t="e">
        <f t="shared" ref="AX6:AX16" si="7">AW6/$AQ$18*100</f>
        <v>#DIV/0!</v>
      </c>
      <c r="AY6" s="38"/>
    </row>
    <row r="7" spans="1:51" s="16" customFormat="1" ht="20.100000000000001" customHeight="1">
      <c r="A7" s="130"/>
      <c r="B7" s="133"/>
      <c r="C7" s="18" t="s">
        <v>23</v>
      </c>
      <c r="D7" s="30">
        <f t="array" ref="D7">SUM(IF('SJCPIL-R 14-008-06 - Máq. 3'!$D$3:$Z$3='RESUMO DIÁRIO'!D$3,'SJCPIL-R 14-008-06 - Máq. 3'!$D7:$Z7))+SUM(IF('SJCPIL-R 14-008-06 - Máq. 1'!$D$3:$Z$3='RESUMO DIÁRIO'!D$3,'SJCPIL-R 14-008-06 - Máq. 1'!$D7:$Z7))+SUM(IF('SJCPIL-R 14-008-06 - Máq. 2'!$D$3:$Z$3='RESUMO DIÁRIO'!D$3,'SJCPIL-R 14-008-06 - Máq. 2'!$D7:$Z7))</f>
        <v>0</v>
      </c>
      <c r="E7" s="30">
        <f t="array" ref="E7">SUM(IF('SJCPIL-R 14-008-06 - Máq. 3'!$D$3:$Z$3='RESUMO DIÁRIO'!E$3,'SJCPIL-R 14-008-06 - Máq. 3'!$D7:$Z7))+SUM(IF('SJCPIL-R 14-008-06 - Máq. 1'!$D$3:$Z$3='RESUMO DIÁRIO'!E$3,'SJCPIL-R 14-008-06 - Máq. 1'!$D7:$Z7))+SUM(IF('SJCPIL-R 14-008-06 - Máq. 2'!$D$3:$Z$3='RESUMO DIÁRIO'!E$3,'SJCPIL-R 14-008-06 - Máq. 2'!$D7:$Z7))</f>
        <v>0</v>
      </c>
      <c r="F7" s="30">
        <f t="array" ref="F7">SUM(IF('SJCPIL-R 14-008-06 - Máq. 3'!$D$3:$Z$3='RESUMO DIÁRIO'!F$3,'SJCPIL-R 14-008-06 - Máq. 3'!$D7:$Z7))+SUM(IF('SJCPIL-R 14-008-06 - Máq. 1'!$D$3:$Z$3='RESUMO DIÁRIO'!F$3,'SJCPIL-R 14-008-06 - Máq. 1'!$D7:$Z7))+SUM(IF('SJCPIL-R 14-008-06 - Máq. 2'!$D$3:$Z$3='RESUMO DIÁRIO'!F$3,'SJCPIL-R 14-008-06 - Máq. 2'!$D7:$Z7))</f>
        <v>0</v>
      </c>
      <c r="G7" s="30">
        <f t="array" ref="G7">SUM(IF('SJCPIL-R 14-008-06 - Máq. 3'!$D$3:$Z$3='RESUMO DIÁRIO'!G$3,'SJCPIL-R 14-008-06 - Máq. 3'!$D7:$Z7))+SUM(IF('SJCPIL-R 14-008-06 - Máq. 1'!$D$3:$Z$3='RESUMO DIÁRIO'!G$3,'SJCPIL-R 14-008-06 - Máq. 1'!$D7:$Z7))+SUM(IF('SJCPIL-R 14-008-06 - Máq. 2'!$D$3:$Z$3='RESUMO DIÁRIO'!G$3,'SJCPIL-R 14-008-06 - Máq. 2'!$D7:$Z7))</f>
        <v>0</v>
      </c>
      <c r="H7" s="30">
        <f t="array" ref="H7">SUM(IF('SJCPIL-R 14-008-06 - Máq. 3'!$D$3:$Z$3='RESUMO DIÁRIO'!H$3,'SJCPIL-R 14-008-06 - Máq. 3'!$D7:$Z7))+SUM(IF('SJCPIL-R 14-008-06 - Máq. 1'!$D$3:$Z$3='RESUMO DIÁRIO'!H$3,'SJCPIL-R 14-008-06 - Máq. 1'!$D7:$Z7))+SUM(IF('SJCPIL-R 14-008-06 - Máq. 2'!$D$3:$Z$3='RESUMO DIÁRIO'!H$3,'SJCPIL-R 14-008-06 - Máq. 2'!$D7:$Z7))</f>
        <v>0</v>
      </c>
      <c r="I7" s="30">
        <f t="array" ref="I7">SUM(IF('SJCPIL-R 14-008-06 - Máq. 3'!$D$3:$Z$3='RESUMO DIÁRIO'!I$3,'SJCPIL-R 14-008-06 - Máq. 3'!$D7:$Z7))+SUM(IF('SJCPIL-R 14-008-06 - Máq. 1'!$D$3:$Z$3='RESUMO DIÁRIO'!I$3,'SJCPIL-R 14-008-06 - Máq. 1'!$D7:$Z7))+SUM(IF('SJCPIL-R 14-008-06 - Máq. 2'!$D$3:$Z$3='RESUMO DIÁRIO'!I$3,'SJCPIL-R 14-008-06 - Máq. 2'!$D7:$Z7))</f>
        <v>0</v>
      </c>
      <c r="J7" s="30">
        <f t="array" ref="J7">SUM(IF('SJCPIL-R 14-008-06 - Máq. 3'!$D$3:$Z$3='RESUMO DIÁRIO'!J$3,'SJCPIL-R 14-008-06 - Máq. 3'!$D7:$Z7))+SUM(IF('SJCPIL-R 14-008-06 - Máq. 1'!$D$3:$Z$3='RESUMO DIÁRIO'!J$3,'SJCPIL-R 14-008-06 - Máq. 1'!$D7:$Z7))+SUM(IF('SJCPIL-R 14-008-06 - Máq. 2'!$D$3:$Z$3='RESUMO DIÁRIO'!J$3,'SJCPIL-R 14-008-06 - Máq. 2'!$D7:$Z7))</f>
        <v>0</v>
      </c>
      <c r="K7" s="30">
        <f t="array" ref="K7">SUM(IF('SJCPIL-R 14-008-06 - Máq. 3'!$D$3:$Z$3='RESUMO DIÁRIO'!K$3,'SJCPIL-R 14-008-06 - Máq. 3'!$D7:$Z7))+SUM(IF('SJCPIL-R 14-008-06 - Máq. 1'!$D$3:$Z$3='RESUMO DIÁRIO'!K$3,'SJCPIL-R 14-008-06 - Máq. 1'!$D7:$Z7))+SUM(IF('SJCPIL-R 14-008-06 - Máq. 2'!$D$3:$Z$3='RESUMO DIÁRIO'!K$3,'SJCPIL-R 14-008-06 - Máq. 2'!$D7:$Z7))</f>
        <v>0</v>
      </c>
      <c r="L7" s="30">
        <f t="array" ref="L7">SUM(IF('SJCPIL-R 14-008-06 - Máq. 3'!$D$3:$Z$3='RESUMO DIÁRIO'!L$3,'SJCPIL-R 14-008-06 - Máq. 3'!$D7:$Z7))+SUM(IF('SJCPIL-R 14-008-06 - Máq. 1'!$D$3:$Z$3='RESUMO DIÁRIO'!L$3,'SJCPIL-R 14-008-06 - Máq. 1'!$D7:$Z7))+SUM(IF('SJCPIL-R 14-008-06 - Máq. 2'!$D$3:$Z$3='RESUMO DIÁRIO'!L$3,'SJCPIL-R 14-008-06 - Máq. 2'!$D7:$Z7))</f>
        <v>0</v>
      </c>
      <c r="M7" s="30">
        <f t="array" ref="M7">SUM(IF('SJCPIL-R 14-008-06 - Máq. 3'!$D$3:$Z$3='RESUMO DIÁRIO'!M$3,'SJCPIL-R 14-008-06 - Máq. 3'!$D7:$Z7))+SUM(IF('SJCPIL-R 14-008-06 - Máq. 1'!$D$3:$Z$3='RESUMO DIÁRIO'!M$3,'SJCPIL-R 14-008-06 - Máq. 1'!$D7:$Z7))+SUM(IF('SJCPIL-R 14-008-06 - Máq. 2'!$D$3:$Z$3='RESUMO DIÁRIO'!M$3,'SJCPIL-R 14-008-06 - Máq. 2'!$D7:$Z7))</f>
        <v>0</v>
      </c>
      <c r="N7" s="30">
        <f t="array" ref="N7">SUM(IF('SJCPIL-R 14-008-06 - Máq. 3'!$D$3:$Z$3='RESUMO DIÁRIO'!N$3,'SJCPIL-R 14-008-06 - Máq. 3'!$D7:$Z7))+SUM(IF('SJCPIL-R 14-008-06 - Máq. 1'!$D$3:$Z$3='RESUMO DIÁRIO'!N$3,'SJCPIL-R 14-008-06 - Máq. 1'!$D7:$Z7))+SUM(IF('SJCPIL-R 14-008-06 - Máq. 2'!$D$3:$Z$3='RESUMO DIÁRIO'!N$3,'SJCPIL-R 14-008-06 - Máq. 2'!$D7:$Z7))</f>
        <v>0</v>
      </c>
      <c r="O7" s="30">
        <f t="array" ref="O7">SUM(IF('SJCPIL-R 14-008-06 - Máq. 3'!$D$3:$Z$3='RESUMO DIÁRIO'!O$3,'SJCPIL-R 14-008-06 - Máq. 3'!$D7:$Z7))+SUM(IF('SJCPIL-R 14-008-06 - Máq. 1'!$D$3:$Z$3='RESUMO DIÁRIO'!O$3,'SJCPIL-R 14-008-06 - Máq. 1'!$D7:$Z7))+SUM(IF('SJCPIL-R 14-008-06 - Máq. 2'!$D$3:$Z$3='RESUMO DIÁRIO'!O$3,'SJCPIL-R 14-008-06 - Máq. 2'!$D7:$Z7))</f>
        <v>0</v>
      </c>
      <c r="P7" s="30">
        <f>SUM(IF('SJCPIL-R 14-008-06 - Máq. 3'!$D$3:$Z$3='RESUMO DIÁRIO'!P$3,'SJCPIL-R 14-008-06 - Máq. 3'!$D7:$Z7))+SUM(IF('SJCPIL-R 14-008-06 - Máq. 1'!$D$3:$Z$3='RESUMO DIÁRIO'!P$3,'SJCPIL-R 14-008-06 - Máq. 1'!$D7:$Z7))+SUM(IF('SJCPIL-R 14-008-06 - Máq. 2'!$D$3:$Z$3='RESUMO DIÁRIO'!P$3,'SJCPIL-R 14-008-06 - Máq. 2'!$D7:$Z7))</f>
        <v>0</v>
      </c>
      <c r="Q7" s="30">
        <f t="array" ref="Q7">SUM(IF('SJCPIL-R 14-008-06 - Máq. 3'!$D$3:$Z$3='RESUMO DIÁRIO'!Q$3,'SJCPIL-R 14-008-06 - Máq. 3'!$D7:$Z7))+SUM(IF('SJCPIL-R 14-008-06 - Máq. 1'!$D$3:$Z$3='RESUMO DIÁRIO'!Q$3,'SJCPIL-R 14-008-06 - Máq. 1'!$D7:$Z7))+SUM(IF('SJCPIL-R 14-008-06 - Máq. 2'!$D$3:$Z$3='RESUMO DIÁRIO'!Q$3,'SJCPIL-R 14-008-06 - Máq. 2'!$D7:$Z7))</f>
        <v>0</v>
      </c>
      <c r="R7" s="30">
        <f t="array" ref="R7">SUM(IF('SJCPIL-R 14-008-06 - Máq. 3'!$D$3:$Z$3='RESUMO DIÁRIO'!R$3,'SJCPIL-R 14-008-06 - Máq. 3'!$D7:$Z7))+SUM(IF('SJCPIL-R 14-008-06 - Máq. 1'!$D$3:$Z$3='RESUMO DIÁRIO'!R$3,'SJCPIL-R 14-008-06 - Máq. 1'!$D7:$Z7))+SUM(IF('SJCPIL-R 14-008-06 - Máq. 2'!$D$3:$Z$3='RESUMO DIÁRIO'!R$3,'SJCPIL-R 14-008-06 - Máq. 2'!$D7:$Z7))</f>
        <v>0</v>
      </c>
      <c r="S7" s="30">
        <f t="array" ref="S7">SUM(IF('SJCPIL-R 14-008-06 - Máq. 3'!$D$3:$Z$3='RESUMO DIÁRIO'!S$3,'SJCPIL-R 14-008-06 - Máq. 3'!$D7:$Z7))+SUM(IF('SJCPIL-R 14-008-06 - Máq. 1'!$D$3:$Z$3='RESUMO DIÁRIO'!S$3,'SJCPIL-R 14-008-06 - Máq. 1'!$D7:$Z7))+SUM(IF('SJCPIL-R 14-008-06 - Máq. 2'!$D$3:$Z$3='RESUMO DIÁRIO'!S$3,'SJCPIL-R 14-008-06 - Máq. 2'!$D7:$Z7))</f>
        <v>0</v>
      </c>
      <c r="T7" s="30">
        <f t="array" ref="T7">SUM(IF('SJCPIL-R 14-008-06 - Máq. 3'!$D$3:$Z$3='RESUMO DIÁRIO'!T$3,'SJCPIL-R 14-008-06 - Máq. 3'!$D7:$Z7))+SUM(IF('SJCPIL-R 14-008-06 - Máq. 1'!$D$3:$Z$3='RESUMO DIÁRIO'!T$3,'SJCPIL-R 14-008-06 - Máq. 1'!$D7:$Z7))+SUM(IF('SJCPIL-R 14-008-06 - Máq. 2'!$D$3:$Z$3='RESUMO DIÁRIO'!T$3,'SJCPIL-R 14-008-06 - Máq. 2'!$D7:$Z7))</f>
        <v>0</v>
      </c>
      <c r="U7" s="30">
        <f t="array" ref="U7">SUM(IF('SJCPIL-R 14-008-06 - Máq. 3'!$D$3:$Z$3='RESUMO DIÁRIO'!U$3,'SJCPIL-R 14-008-06 - Máq. 3'!$D7:$Z7))+SUM(IF('SJCPIL-R 14-008-06 - Máq. 1'!$D$3:$Z$3='RESUMO DIÁRIO'!U$3,'SJCPIL-R 14-008-06 - Máq. 1'!$D7:$Z7))+SUM(IF('SJCPIL-R 14-008-06 - Máq. 2'!$D$3:$Z$3='RESUMO DIÁRIO'!U$3,'SJCPIL-R 14-008-06 - Máq. 2'!$D7:$Z7))</f>
        <v>0</v>
      </c>
      <c r="V7" s="30">
        <f t="array" ref="V7">SUM(IF('SJCPIL-R 14-008-06 - Máq. 3'!$D$3:$Z$3='RESUMO DIÁRIO'!V$3,'SJCPIL-R 14-008-06 - Máq. 3'!$D7:$Z7))+SUM(IF('SJCPIL-R 14-008-06 - Máq. 1'!$D$3:$Z$3='RESUMO DIÁRIO'!V$3,'SJCPIL-R 14-008-06 - Máq. 1'!$D7:$Z7))+SUM(IF('SJCPIL-R 14-008-06 - Máq. 2'!$D$3:$Z$3='RESUMO DIÁRIO'!V$3,'SJCPIL-R 14-008-06 - Máq. 2'!$D7:$Z7))</f>
        <v>0</v>
      </c>
      <c r="W7" s="30">
        <f t="array" ref="W7">SUM(IF('SJCPIL-R 14-008-06 - Máq. 3'!$D$3:$Z$3='RESUMO DIÁRIO'!W$3,'SJCPIL-R 14-008-06 - Máq. 3'!$D7:$Z7))+SUM(IF('SJCPIL-R 14-008-06 - Máq. 1'!$D$3:$Z$3='RESUMO DIÁRIO'!W$3,'SJCPIL-R 14-008-06 - Máq. 1'!$D7:$Z7))+SUM(IF('SJCPIL-R 14-008-06 - Máq. 2'!$D$3:$Z$3='RESUMO DIÁRIO'!W$3,'SJCPIL-R 14-008-06 - Máq. 2'!$D7:$Z7))</f>
        <v>0</v>
      </c>
      <c r="X7" s="30">
        <f t="array" ref="X7">SUM(IF('SJCPIL-R 14-008-06 - Máq. 3'!$D$3:$Z$3='RESUMO DIÁRIO'!X$3,'SJCPIL-R 14-008-06 - Máq. 3'!$D7:$Z7))+SUM(IF('SJCPIL-R 14-008-06 - Máq. 1'!$D$3:$Z$3='RESUMO DIÁRIO'!X$3,'SJCPIL-R 14-008-06 - Máq. 1'!$D7:$Z7))+SUM(IF('SJCPIL-R 14-008-06 - Máq. 2'!$D$3:$Z$3='RESUMO DIÁRIO'!X$3,'SJCPIL-R 14-008-06 - Máq. 2'!$D7:$Z7))</f>
        <v>0</v>
      </c>
      <c r="Y7" s="30">
        <f t="array" ref="Y7">SUM(IF('SJCPIL-R 14-008-06 - Máq. 3'!$D$3:$Z$3='RESUMO DIÁRIO'!Y$3,'SJCPIL-R 14-008-06 - Máq. 3'!$D7:$Z7))+SUM(IF('SJCPIL-R 14-008-06 - Máq. 1'!$D$3:$Z$3='RESUMO DIÁRIO'!Y$3,'SJCPIL-R 14-008-06 - Máq. 1'!$D7:$Z7))+SUM(IF('SJCPIL-R 14-008-06 - Máq. 2'!$D$3:$Z$3='RESUMO DIÁRIO'!Y$3,'SJCPIL-R 14-008-06 - Máq. 2'!$D7:$Z7))</f>
        <v>0</v>
      </c>
      <c r="Z7" s="30">
        <f t="array" ref="Z7">SUM(IF('SJCPIL-R 14-008-06 - Máq. 3'!$D$3:$Z$3='RESUMO DIÁRIO'!Z$3,'SJCPIL-R 14-008-06 - Máq. 3'!$D7:$Z7))+SUM(IF('SJCPIL-R 14-008-06 - Máq. 1'!$D$3:$Z$3='RESUMO DIÁRIO'!Z$3,'SJCPIL-R 14-008-06 - Máq. 1'!$D7:$Z7))+SUM(IF('SJCPIL-R 14-008-06 - Máq. 2'!$D$3:$Z$3='RESUMO DIÁRIO'!Z$3,'SJCPIL-R 14-008-06 - Máq. 2'!$D7:$Z7))</f>
        <v>0</v>
      </c>
      <c r="AA7" s="30">
        <f t="array" ref="AA7">SUM(IF('SJCPIL-R 14-008-06 - Máq. 3'!$D$3:$Z$3='RESUMO DIÁRIO'!AA$3,'SJCPIL-R 14-008-06 - Máq. 3'!$D7:$Z7))+SUM(IF('SJCPIL-R 14-008-06 - Máq. 1'!$D$3:$Z$3='RESUMO DIÁRIO'!AA$3,'SJCPIL-R 14-008-06 - Máq. 1'!$D7:$Z7))+SUM(IF('SJCPIL-R 14-008-06 - Máq. 2'!$D$3:$Z$3='RESUMO DIÁRIO'!AA$3,'SJCPIL-R 14-008-06 - Máq. 2'!$D7:$Z7))</f>
        <v>0</v>
      </c>
      <c r="AB7" s="30">
        <f t="array" ref="AB7">SUM(IF('SJCPIL-R 14-008-06 - Máq. 3'!$D$3:$Z$3='RESUMO DIÁRIO'!AB$3,'SJCPIL-R 14-008-06 - Máq. 3'!$D7:$Z7))+SUM(IF('SJCPIL-R 14-008-06 - Máq. 1'!$D$3:$Z$3='RESUMO DIÁRIO'!AB$3,'SJCPIL-R 14-008-06 - Máq. 1'!$D7:$Z7))+SUM(IF('SJCPIL-R 14-008-06 - Máq. 2'!$D$3:$Z$3='RESUMO DIÁRIO'!AB$3,'SJCPIL-R 14-008-06 - Máq. 2'!$D7:$Z7))</f>
        <v>0</v>
      </c>
      <c r="AC7" s="30">
        <f t="array" ref="AC7">SUM(IF('SJCPIL-R 14-008-06 - Máq. 3'!$D$3:$Z$3='RESUMO DIÁRIO'!AC$3,'SJCPIL-R 14-008-06 - Máq. 3'!$D7:$Z7))+SUM(IF('SJCPIL-R 14-008-06 - Máq. 1'!$D$3:$Z$3='RESUMO DIÁRIO'!AC$3,'SJCPIL-R 14-008-06 - Máq. 1'!$D7:$Z7))+SUM(IF('SJCPIL-R 14-008-06 - Máq. 2'!$D$3:$Z$3='RESUMO DIÁRIO'!AC$3,'SJCPIL-R 14-008-06 - Máq. 2'!$D7:$Z7))</f>
        <v>0</v>
      </c>
      <c r="AD7" s="30">
        <f t="array" ref="AD7">SUM(IF('SJCPIL-R 14-008-06 - Máq. 3'!$D$3:$Z$3='RESUMO DIÁRIO'!AD$3,'SJCPIL-R 14-008-06 - Máq. 3'!$D7:$Z7))+SUM(IF('SJCPIL-R 14-008-06 - Máq. 1'!$D$3:$Z$3='RESUMO DIÁRIO'!AD$3,'SJCPIL-R 14-008-06 - Máq. 1'!$D7:$Z7))+SUM(IF('SJCPIL-R 14-008-06 - Máq. 2'!$D$3:$Z$3='RESUMO DIÁRIO'!AD$3,'SJCPIL-R 14-008-06 - Máq. 2'!$D7:$Z7))</f>
        <v>0</v>
      </c>
      <c r="AE7" s="30">
        <f t="array" ref="AE7">SUM(IF('SJCPIL-R 14-008-06 - Máq. 3'!$D$3:$Z$3='RESUMO DIÁRIO'!AE$3,'SJCPIL-R 14-008-06 - Máq. 3'!$D7:$Z7))+SUM(IF('SJCPIL-R 14-008-06 - Máq. 1'!$D$3:$Z$3='RESUMO DIÁRIO'!AE$3,'SJCPIL-R 14-008-06 - Máq. 1'!$D7:$Z7))+SUM(IF('SJCPIL-R 14-008-06 - Máq. 2'!$D$3:$Z$3='RESUMO DIÁRIO'!AE$3,'SJCPIL-R 14-008-06 - Máq. 2'!$D7:$Z7))</f>
        <v>0</v>
      </c>
      <c r="AF7" s="30">
        <f t="array" ref="AF7">SUM(IF('SJCPIL-R 14-008-06 - Máq. 3'!$D$3:$Z$3='RESUMO DIÁRIO'!AF$3,'SJCPIL-R 14-008-06 - Máq. 3'!$D7:$Z7))+SUM(IF('SJCPIL-R 14-008-06 - Máq. 1'!$D$3:$Z$3='RESUMO DIÁRIO'!AF$3,'SJCPIL-R 14-008-06 - Máq. 1'!$D7:$Z7))+SUM(IF('SJCPIL-R 14-008-06 - Máq. 2'!$D$3:$Z$3='RESUMO DIÁRIO'!AF$3,'SJCPIL-R 14-008-06 - Máq. 2'!$D7:$Z7))</f>
        <v>0</v>
      </c>
      <c r="AG7" s="30"/>
      <c r="AH7" s="30">
        <f t="array" ref="AH7">SUM(IF('SJCPIL-R 14-008-06 - Máq. 3'!$D$3:$Z$3='RESUMO DIÁRIO'!AH$3,'SJCPIL-R 14-008-06 - Máq. 3'!$D7:$Z7))+SUM(IF('SJCPIL-R 14-008-06 - Máq. 1'!$D$3:$Z$3='RESUMO DIÁRIO'!AH$3,'SJCPIL-R 14-008-06 - Máq. 1'!$D7:$Z7))+SUM(IF('SJCPIL-R 14-008-06 - Máq. 2'!$D$3:$Z$3='RESUMO DIÁRIO'!AH$3,'SJCPIL-R 14-008-06 - Máq. 2'!$D7:$Z7))</f>
        <v>0</v>
      </c>
      <c r="AI7" s="30">
        <f t="array" ref="AI7">SUM(IF('SJCPIL-R 14-008-06 - Máq. 3'!$D$3:$Z$3='RESUMO DIÁRIO'!AI$3,'SJCPIL-R 14-008-06 - Máq. 3'!$D7:$Z7))+SUM(IF('SJCPIL-R 14-008-06 - Máq. 1'!$D$3:$Z$3='RESUMO DIÁRIO'!AI$3,'SJCPIL-R 14-008-06 - Máq. 1'!$D7:$Z7))+SUM(IF('SJCPIL-R 14-008-06 - Máq. 2'!$D$3:$Z$3='RESUMO DIÁRIO'!AI$3,'SJCPIL-R 14-008-06 - Máq. 2'!$D7:$Z7))</f>
        <v>0</v>
      </c>
      <c r="AJ7" s="31">
        <f t="shared" si="1"/>
        <v>0</v>
      </c>
      <c r="AL7" s="79">
        <v>3</v>
      </c>
      <c r="AM7" s="17" t="s">
        <v>19</v>
      </c>
      <c r="AN7" s="80">
        <f>'SJCPIL-R 14-008-06 - Máq. 1'!$AA8</f>
        <v>0</v>
      </c>
      <c r="AO7" s="80">
        <f>'SJCPIL-R 14-008-06 - Máq. 2'!$AA8</f>
        <v>0</v>
      </c>
      <c r="AP7" s="80">
        <f>'SJCPIL-R 14-008-06 - Máq. 3'!$AA8</f>
        <v>0</v>
      </c>
      <c r="AQ7" s="15">
        <f t="shared" si="0"/>
        <v>0</v>
      </c>
      <c r="AR7" s="15">
        <f t="shared" si="2"/>
        <v>3</v>
      </c>
      <c r="AS7" s="15">
        <f t="shared" si="3"/>
        <v>10</v>
      </c>
      <c r="AT7" s="15">
        <f t="shared" si="4"/>
        <v>10</v>
      </c>
      <c r="AU7" s="15" t="str">
        <f t="shared" si="5"/>
        <v>Outros</v>
      </c>
      <c r="AV7" s="17" t="e">
        <f t="shared" si="6"/>
        <v>#DIV/0!</v>
      </c>
      <c r="AW7" s="17" t="e">
        <f t="shared" ref="AW7:AW16" si="8">AV7+AW6</f>
        <v>#DIV/0!</v>
      </c>
      <c r="AX7" s="17" t="e">
        <f t="shared" si="7"/>
        <v>#DIV/0!</v>
      </c>
      <c r="AY7" s="38"/>
    </row>
    <row r="8" spans="1:51" s="16" customFormat="1" ht="20.100000000000001" customHeight="1">
      <c r="A8" s="130"/>
      <c r="B8" s="133"/>
      <c r="C8" s="18" t="s">
        <v>19</v>
      </c>
      <c r="D8" s="30">
        <f t="array" ref="D8">SUM(IF('SJCPIL-R 14-008-06 - Máq. 3'!$D$3:$Z$3='RESUMO DIÁRIO'!D$3,'SJCPIL-R 14-008-06 - Máq. 3'!$D8:$Z8))+SUM(IF('SJCPIL-R 14-008-06 - Máq. 1'!$D$3:$Z$3='RESUMO DIÁRIO'!D$3,'SJCPIL-R 14-008-06 - Máq. 1'!$D8:$Z8))+SUM(IF('SJCPIL-R 14-008-06 - Máq. 2'!$D$3:$Z$3='RESUMO DIÁRIO'!D$3,'SJCPIL-R 14-008-06 - Máq. 2'!$D8:$Z8))</f>
        <v>0</v>
      </c>
      <c r="E8" s="30">
        <f t="array" ref="E8">SUM(IF('SJCPIL-R 14-008-06 - Máq. 3'!$D$3:$Z$3='RESUMO DIÁRIO'!E$3,'SJCPIL-R 14-008-06 - Máq. 3'!$D8:$Z8))+SUM(IF('SJCPIL-R 14-008-06 - Máq. 1'!$D$3:$Z$3='RESUMO DIÁRIO'!E$3,'SJCPIL-R 14-008-06 - Máq. 1'!$D8:$Z8))+SUM(IF('SJCPIL-R 14-008-06 - Máq. 2'!$D$3:$Z$3='RESUMO DIÁRIO'!E$3,'SJCPIL-R 14-008-06 - Máq. 2'!$D8:$Z8))</f>
        <v>0</v>
      </c>
      <c r="F8" s="30">
        <f t="array" ref="F8">SUM(IF('SJCPIL-R 14-008-06 - Máq. 3'!$D$3:$Z$3='RESUMO DIÁRIO'!F$3,'SJCPIL-R 14-008-06 - Máq. 3'!$D8:$Z8))+SUM(IF('SJCPIL-R 14-008-06 - Máq. 1'!$D$3:$Z$3='RESUMO DIÁRIO'!F$3,'SJCPIL-R 14-008-06 - Máq. 1'!$D8:$Z8))+SUM(IF('SJCPIL-R 14-008-06 - Máq. 2'!$D$3:$Z$3='RESUMO DIÁRIO'!F$3,'SJCPIL-R 14-008-06 - Máq. 2'!$D8:$Z8))</f>
        <v>0</v>
      </c>
      <c r="G8" s="30">
        <f t="array" ref="G8">SUM(IF('SJCPIL-R 14-008-06 - Máq. 3'!$D$3:$Z$3='RESUMO DIÁRIO'!G$3,'SJCPIL-R 14-008-06 - Máq. 3'!$D8:$Z8))+SUM(IF('SJCPIL-R 14-008-06 - Máq. 1'!$D$3:$Z$3='RESUMO DIÁRIO'!G$3,'SJCPIL-R 14-008-06 - Máq. 1'!$D8:$Z8))+SUM(IF('SJCPIL-R 14-008-06 - Máq. 2'!$D$3:$Z$3='RESUMO DIÁRIO'!G$3,'SJCPIL-R 14-008-06 - Máq. 2'!$D8:$Z8))</f>
        <v>0</v>
      </c>
      <c r="H8" s="30">
        <f t="array" ref="H8">SUM(IF('SJCPIL-R 14-008-06 - Máq. 3'!$D$3:$Z$3='RESUMO DIÁRIO'!H$3,'SJCPIL-R 14-008-06 - Máq. 3'!$D8:$Z8))+SUM(IF('SJCPIL-R 14-008-06 - Máq. 1'!$D$3:$Z$3='RESUMO DIÁRIO'!H$3,'SJCPIL-R 14-008-06 - Máq. 1'!$D8:$Z8))+SUM(IF('SJCPIL-R 14-008-06 - Máq. 2'!$D$3:$Z$3='RESUMO DIÁRIO'!H$3,'SJCPIL-R 14-008-06 - Máq. 2'!$D8:$Z8))</f>
        <v>0</v>
      </c>
      <c r="I8" s="30">
        <f t="array" ref="I8">SUM(IF('SJCPIL-R 14-008-06 - Máq. 3'!$D$3:$Z$3='RESUMO DIÁRIO'!I$3,'SJCPIL-R 14-008-06 - Máq. 3'!$D8:$Z8))+SUM(IF('SJCPIL-R 14-008-06 - Máq. 1'!$D$3:$Z$3='RESUMO DIÁRIO'!I$3,'SJCPIL-R 14-008-06 - Máq. 1'!$D8:$Z8))+SUM(IF('SJCPIL-R 14-008-06 - Máq. 2'!$D$3:$Z$3='RESUMO DIÁRIO'!I$3,'SJCPIL-R 14-008-06 - Máq. 2'!$D8:$Z8))</f>
        <v>0</v>
      </c>
      <c r="J8" s="30">
        <f t="array" ref="J8">SUM(IF('SJCPIL-R 14-008-06 - Máq. 3'!$D$3:$Z$3='RESUMO DIÁRIO'!J$3,'SJCPIL-R 14-008-06 - Máq. 3'!$D8:$Z8))+SUM(IF('SJCPIL-R 14-008-06 - Máq. 1'!$D$3:$Z$3='RESUMO DIÁRIO'!J$3,'SJCPIL-R 14-008-06 - Máq. 1'!$D8:$Z8))+SUM(IF('SJCPIL-R 14-008-06 - Máq. 2'!$D$3:$Z$3='RESUMO DIÁRIO'!J$3,'SJCPIL-R 14-008-06 - Máq. 2'!$D8:$Z8))</f>
        <v>0</v>
      </c>
      <c r="K8" s="30">
        <f t="array" ref="K8">SUM(IF('SJCPIL-R 14-008-06 - Máq. 3'!$D$3:$Z$3='RESUMO DIÁRIO'!K$3,'SJCPIL-R 14-008-06 - Máq. 3'!$D8:$Z8))+SUM(IF('SJCPIL-R 14-008-06 - Máq. 1'!$D$3:$Z$3='RESUMO DIÁRIO'!K$3,'SJCPIL-R 14-008-06 - Máq. 1'!$D8:$Z8))+SUM(IF('SJCPIL-R 14-008-06 - Máq. 2'!$D$3:$Z$3='RESUMO DIÁRIO'!K$3,'SJCPIL-R 14-008-06 - Máq. 2'!$D8:$Z8))</f>
        <v>0</v>
      </c>
      <c r="L8" s="30">
        <f t="array" ref="L8">SUM(IF('SJCPIL-R 14-008-06 - Máq. 3'!$D$3:$Z$3='RESUMO DIÁRIO'!L$3,'SJCPIL-R 14-008-06 - Máq. 3'!$D8:$Z8))+SUM(IF('SJCPIL-R 14-008-06 - Máq. 1'!$D$3:$Z$3='RESUMO DIÁRIO'!L$3,'SJCPIL-R 14-008-06 - Máq. 1'!$D8:$Z8))+SUM(IF('SJCPIL-R 14-008-06 - Máq. 2'!$D$3:$Z$3='RESUMO DIÁRIO'!L$3,'SJCPIL-R 14-008-06 - Máq. 2'!$D8:$Z8))</f>
        <v>0</v>
      </c>
      <c r="M8" s="30">
        <f t="array" ref="M8">SUM(IF('SJCPIL-R 14-008-06 - Máq. 3'!$D$3:$Z$3='RESUMO DIÁRIO'!M$3,'SJCPIL-R 14-008-06 - Máq. 3'!$D8:$Z8))+SUM(IF('SJCPIL-R 14-008-06 - Máq. 1'!$D$3:$Z$3='RESUMO DIÁRIO'!M$3,'SJCPIL-R 14-008-06 - Máq. 1'!$D8:$Z8))+SUM(IF('SJCPIL-R 14-008-06 - Máq. 2'!$D$3:$Z$3='RESUMO DIÁRIO'!M$3,'SJCPIL-R 14-008-06 - Máq. 2'!$D8:$Z8))</f>
        <v>0</v>
      </c>
      <c r="N8" s="30">
        <f t="array" ref="N8">SUM(IF('SJCPIL-R 14-008-06 - Máq. 3'!$D$3:$Z$3='RESUMO DIÁRIO'!N$3,'SJCPIL-R 14-008-06 - Máq. 3'!$D8:$Z8))+SUM(IF('SJCPIL-R 14-008-06 - Máq. 1'!$D$3:$Z$3='RESUMO DIÁRIO'!N$3,'SJCPIL-R 14-008-06 - Máq. 1'!$D8:$Z8))+SUM(IF('SJCPIL-R 14-008-06 - Máq. 2'!$D$3:$Z$3='RESUMO DIÁRIO'!N$3,'SJCPIL-R 14-008-06 - Máq. 2'!$D8:$Z8))</f>
        <v>0</v>
      </c>
      <c r="O8" s="30">
        <f t="array" ref="O8">SUM(IF('SJCPIL-R 14-008-06 - Máq. 3'!$D$3:$Z$3='RESUMO DIÁRIO'!O$3,'SJCPIL-R 14-008-06 - Máq. 3'!$D8:$Z8))+SUM(IF('SJCPIL-R 14-008-06 - Máq. 1'!$D$3:$Z$3='RESUMO DIÁRIO'!O$3,'SJCPIL-R 14-008-06 - Máq. 1'!$D8:$Z8))+SUM(IF('SJCPIL-R 14-008-06 - Máq. 2'!$D$3:$Z$3='RESUMO DIÁRIO'!O$3,'SJCPIL-R 14-008-06 - Máq. 2'!$D8:$Z8))</f>
        <v>0</v>
      </c>
      <c r="P8" s="30">
        <f t="array" ref="P8">SUM(IF('SJCPIL-R 14-008-06 - Máq. 3'!$D$3:$Z$3='RESUMO DIÁRIO'!P$3,'SJCPIL-R 14-008-06 - Máq. 3'!$D8:$Z8))+SUM(IF('SJCPIL-R 14-008-06 - Máq. 1'!$D$3:$Z$3='RESUMO DIÁRIO'!P$3,'SJCPIL-R 14-008-06 - Máq. 1'!$D8:$Z8))+SUM(IF('SJCPIL-R 14-008-06 - Máq. 2'!$D$3:$Z$3='RESUMO DIÁRIO'!P$3,'SJCPIL-R 14-008-06 - Máq. 2'!$D8:$Z8))</f>
        <v>0</v>
      </c>
      <c r="Q8" s="30">
        <f t="array" ref="Q8">SUM(IF('SJCPIL-R 14-008-06 - Máq. 3'!$D$3:$Z$3='RESUMO DIÁRIO'!Q$3,'SJCPIL-R 14-008-06 - Máq. 3'!$D8:$Z8))+SUM(IF('SJCPIL-R 14-008-06 - Máq. 1'!$D$3:$Z$3='RESUMO DIÁRIO'!Q$3,'SJCPIL-R 14-008-06 - Máq. 1'!$D8:$Z8))+SUM(IF('SJCPIL-R 14-008-06 - Máq. 2'!$D$3:$Z$3='RESUMO DIÁRIO'!Q$3,'SJCPIL-R 14-008-06 - Máq. 2'!$D8:$Z8))</f>
        <v>0</v>
      </c>
      <c r="R8" s="30">
        <f t="array" ref="R8">SUM(IF('SJCPIL-R 14-008-06 - Máq. 3'!$D$3:$Z$3='RESUMO DIÁRIO'!R$3,'SJCPIL-R 14-008-06 - Máq. 3'!$D8:$Z8))+SUM(IF('SJCPIL-R 14-008-06 - Máq. 1'!$D$3:$Z$3='RESUMO DIÁRIO'!R$3,'SJCPIL-R 14-008-06 - Máq. 1'!$D8:$Z8))+SUM(IF('SJCPIL-R 14-008-06 - Máq. 2'!$D$3:$Z$3='RESUMO DIÁRIO'!R$3,'SJCPIL-R 14-008-06 - Máq. 2'!$D8:$Z8))</f>
        <v>0</v>
      </c>
      <c r="S8" s="30">
        <f t="array" ref="S8">SUM(IF('SJCPIL-R 14-008-06 - Máq. 3'!$D$3:$Z$3='RESUMO DIÁRIO'!S$3,'SJCPIL-R 14-008-06 - Máq. 3'!$D8:$Z8))+SUM(IF('SJCPIL-R 14-008-06 - Máq. 1'!$D$3:$Z$3='RESUMO DIÁRIO'!S$3,'SJCPIL-R 14-008-06 - Máq. 1'!$D8:$Z8))+SUM(IF('SJCPIL-R 14-008-06 - Máq. 2'!$D$3:$Z$3='RESUMO DIÁRIO'!S$3,'SJCPIL-R 14-008-06 - Máq. 2'!$D8:$Z8))</f>
        <v>0</v>
      </c>
      <c r="T8" s="30">
        <f t="array" ref="T8">SUM(IF('SJCPIL-R 14-008-06 - Máq. 3'!$D$3:$Z$3='RESUMO DIÁRIO'!T$3,'SJCPIL-R 14-008-06 - Máq. 3'!$D8:$Z8))+SUM(IF('SJCPIL-R 14-008-06 - Máq. 1'!$D$3:$Z$3='RESUMO DIÁRIO'!T$3,'SJCPIL-R 14-008-06 - Máq. 1'!$D8:$Z8))+SUM(IF('SJCPIL-R 14-008-06 - Máq. 2'!$D$3:$Z$3='RESUMO DIÁRIO'!T$3,'SJCPIL-R 14-008-06 - Máq. 2'!$D8:$Z8))</f>
        <v>0</v>
      </c>
      <c r="U8" s="30">
        <f t="array" ref="U8">SUM(IF('SJCPIL-R 14-008-06 - Máq. 3'!$D$3:$Z$3='RESUMO DIÁRIO'!U$3,'SJCPIL-R 14-008-06 - Máq. 3'!$D8:$Z8))+SUM(IF('SJCPIL-R 14-008-06 - Máq. 1'!$D$3:$Z$3='RESUMO DIÁRIO'!U$3,'SJCPIL-R 14-008-06 - Máq. 1'!$D8:$Z8))+SUM(IF('SJCPIL-R 14-008-06 - Máq. 2'!$D$3:$Z$3='RESUMO DIÁRIO'!U$3,'SJCPIL-R 14-008-06 - Máq. 2'!$D8:$Z8))</f>
        <v>0</v>
      </c>
      <c r="V8" s="30">
        <f t="array" ref="V8">SUM(IF('SJCPIL-R 14-008-06 - Máq. 3'!$D$3:$Z$3='RESUMO DIÁRIO'!V$3,'SJCPIL-R 14-008-06 - Máq. 3'!$D8:$Z8))+SUM(IF('SJCPIL-R 14-008-06 - Máq. 1'!$D$3:$Z$3='RESUMO DIÁRIO'!V$3,'SJCPIL-R 14-008-06 - Máq. 1'!$D8:$Z8))+SUM(IF('SJCPIL-R 14-008-06 - Máq. 2'!$D$3:$Z$3='RESUMO DIÁRIO'!V$3,'SJCPIL-R 14-008-06 - Máq. 2'!$D8:$Z8))</f>
        <v>0</v>
      </c>
      <c r="W8" s="30">
        <f t="array" ref="W8">SUM(IF('SJCPIL-R 14-008-06 - Máq. 3'!$D$3:$Z$3='RESUMO DIÁRIO'!W$3,'SJCPIL-R 14-008-06 - Máq. 3'!$D8:$Z8))+SUM(IF('SJCPIL-R 14-008-06 - Máq. 1'!$D$3:$Z$3='RESUMO DIÁRIO'!W$3,'SJCPIL-R 14-008-06 - Máq. 1'!$D8:$Z8))+SUM(IF('SJCPIL-R 14-008-06 - Máq. 2'!$D$3:$Z$3='RESUMO DIÁRIO'!W$3,'SJCPIL-R 14-008-06 - Máq. 2'!$D8:$Z8))</f>
        <v>0</v>
      </c>
      <c r="X8" s="30">
        <f t="array" ref="X8">SUM(IF('SJCPIL-R 14-008-06 - Máq. 3'!$D$3:$Z$3='RESUMO DIÁRIO'!X$3,'SJCPIL-R 14-008-06 - Máq. 3'!$D8:$Z8))+SUM(IF('SJCPIL-R 14-008-06 - Máq. 1'!$D$3:$Z$3='RESUMO DIÁRIO'!X$3,'SJCPIL-R 14-008-06 - Máq. 1'!$D8:$Z8))+SUM(IF('SJCPIL-R 14-008-06 - Máq. 2'!$D$3:$Z$3='RESUMO DIÁRIO'!X$3,'SJCPIL-R 14-008-06 - Máq. 2'!$D8:$Z8))</f>
        <v>0</v>
      </c>
      <c r="Y8" s="30">
        <f t="array" ref="Y8">SUM(IF('SJCPIL-R 14-008-06 - Máq. 3'!$D$3:$Z$3='RESUMO DIÁRIO'!Y$3,'SJCPIL-R 14-008-06 - Máq. 3'!$D8:$Z8))+SUM(IF('SJCPIL-R 14-008-06 - Máq. 1'!$D$3:$Z$3='RESUMO DIÁRIO'!Y$3,'SJCPIL-R 14-008-06 - Máq. 1'!$D8:$Z8))+SUM(IF('SJCPIL-R 14-008-06 - Máq. 2'!$D$3:$Z$3='RESUMO DIÁRIO'!Y$3,'SJCPIL-R 14-008-06 - Máq. 2'!$D8:$Z8))</f>
        <v>0</v>
      </c>
      <c r="Z8" s="30">
        <f t="array" ref="Z8">SUM(IF('SJCPIL-R 14-008-06 - Máq. 3'!$D$3:$Z$3='RESUMO DIÁRIO'!Z$3,'SJCPIL-R 14-008-06 - Máq. 3'!$D8:$Z8))+SUM(IF('SJCPIL-R 14-008-06 - Máq. 1'!$D$3:$Z$3='RESUMO DIÁRIO'!Z$3,'SJCPIL-R 14-008-06 - Máq. 1'!$D8:$Z8))+SUM(IF('SJCPIL-R 14-008-06 - Máq. 2'!$D$3:$Z$3='RESUMO DIÁRIO'!Z$3,'SJCPIL-R 14-008-06 - Máq. 2'!$D8:$Z8))</f>
        <v>0</v>
      </c>
      <c r="AA8" s="30">
        <f t="array" ref="AA8">SUM(IF('SJCPIL-R 14-008-06 - Máq. 3'!$D$3:$Z$3='RESUMO DIÁRIO'!AA$3,'SJCPIL-R 14-008-06 - Máq. 3'!$D8:$Z8))+SUM(IF('SJCPIL-R 14-008-06 - Máq. 1'!$D$3:$Z$3='RESUMO DIÁRIO'!AA$3,'SJCPIL-R 14-008-06 - Máq. 1'!$D8:$Z8))+SUM(IF('SJCPIL-R 14-008-06 - Máq. 2'!$D$3:$Z$3='RESUMO DIÁRIO'!AA$3,'SJCPIL-R 14-008-06 - Máq. 2'!$D8:$Z8))</f>
        <v>0</v>
      </c>
      <c r="AB8" s="30">
        <f t="array" ref="AB8">SUM(IF('SJCPIL-R 14-008-06 - Máq. 3'!$D$3:$Z$3='RESUMO DIÁRIO'!AB$3,'SJCPIL-R 14-008-06 - Máq. 3'!$D8:$Z8))+SUM(IF('SJCPIL-R 14-008-06 - Máq. 1'!$D$3:$Z$3='RESUMO DIÁRIO'!AB$3,'SJCPIL-R 14-008-06 - Máq. 1'!$D8:$Z8))+SUM(IF('SJCPIL-R 14-008-06 - Máq. 2'!$D$3:$Z$3='RESUMO DIÁRIO'!AB$3,'SJCPIL-R 14-008-06 - Máq. 2'!$D8:$Z8))</f>
        <v>0</v>
      </c>
      <c r="AC8" s="30">
        <f t="array" ref="AC8">SUM(IF('SJCPIL-R 14-008-06 - Máq. 3'!$D$3:$Z$3='RESUMO DIÁRIO'!AC$3,'SJCPIL-R 14-008-06 - Máq. 3'!$D8:$Z8))+SUM(IF('SJCPIL-R 14-008-06 - Máq. 1'!$D$3:$Z$3='RESUMO DIÁRIO'!AC$3,'SJCPIL-R 14-008-06 - Máq. 1'!$D8:$Z8))+SUM(IF('SJCPIL-R 14-008-06 - Máq. 2'!$D$3:$Z$3='RESUMO DIÁRIO'!AC$3,'SJCPIL-R 14-008-06 - Máq. 2'!$D8:$Z8))</f>
        <v>0</v>
      </c>
      <c r="AD8" s="30">
        <f t="array" ref="AD8">SUM(IF('SJCPIL-R 14-008-06 - Máq. 3'!$D$3:$Z$3='RESUMO DIÁRIO'!AD$3,'SJCPIL-R 14-008-06 - Máq. 3'!$D8:$Z8))+SUM(IF('SJCPIL-R 14-008-06 - Máq. 1'!$D$3:$Z$3='RESUMO DIÁRIO'!AD$3,'SJCPIL-R 14-008-06 - Máq. 1'!$D8:$Z8))+SUM(IF('SJCPIL-R 14-008-06 - Máq. 2'!$D$3:$Z$3='RESUMO DIÁRIO'!AD$3,'SJCPIL-R 14-008-06 - Máq. 2'!$D8:$Z8))</f>
        <v>0</v>
      </c>
      <c r="AE8" s="30">
        <f t="array" ref="AE8">SUM(IF('SJCPIL-R 14-008-06 - Máq. 3'!$D$3:$Z$3='RESUMO DIÁRIO'!AE$3,'SJCPIL-R 14-008-06 - Máq. 3'!$D8:$Z8))+SUM(IF('SJCPIL-R 14-008-06 - Máq. 1'!$D$3:$Z$3='RESUMO DIÁRIO'!AE$3,'SJCPIL-R 14-008-06 - Máq. 1'!$D8:$Z8))+SUM(IF('SJCPIL-R 14-008-06 - Máq. 2'!$D$3:$Z$3='RESUMO DIÁRIO'!AE$3,'SJCPIL-R 14-008-06 - Máq. 2'!$D8:$Z8))</f>
        <v>0</v>
      </c>
      <c r="AF8" s="30">
        <f t="array" ref="AF8">SUM(IF('SJCPIL-R 14-008-06 - Máq. 3'!$D$3:$Z$3='RESUMO DIÁRIO'!AF$3,'SJCPIL-R 14-008-06 - Máq. 3'!$D8:$Z8))+SUM(IF('SJCPIL-R 14-008-06 - Máq. 1'!$D$3:$Z$3='RESUMO DIÁRIO'!AF$3,'SJCPIL-R 14-008-06 - Máq. 1'!$D8:$Z8))+SUM(IF('SJCPIL-R 14-008-06 - Máq. 2'!$D$3:$Z$3='RESUMO DIÁRIO'!AF$3,'SJCPIL-R 14-008-06 - Máq. 2'!$D8:$Z8))</f>
        <v>0</v>
      </c>
      <c r="AG8" s="30"/>
      <c r="AH8" s="30">
        <f t="array" ref="AH8">SUM(IF('SJCPIL-R 14-008-06 - Máq. 3'!$D$3:$Z$3='RESUMO DIÁRIO'!AH$3,'SJCPIL-R 14-008-06 - Máq. 3'!$D8:$Z8))+SUM(IF('SJCPIL-R 14-008-06 - Máq. 1'!$D$3:$Z$3='RESUMO DIÁRIO'!AH$3,'SJCPIL-R 14-008-06 - Máq. 1'!$D8:$Z8))+SUM(IF('SJCPIL-R 14-008-06 - Máq. 2'!$D$3:$Z$3='RESUMO DIÁRIO'!AH$3,'SJCPIL-R 14-008-06 - Máq. 2'!$D8:$Z8))</f>
        <v>0</v>
      </c>
      <c r="AI8" s="30">
        <f t="array" ref="AI8">SUM(IF('SJCPIL-R 14-008-06 - Máq. 3'!$D$3:$Z$3='RESUMO DIÁRIO'!AI$3,'SJCPIL-R 14-008-06 - Máq. 3'!$D8:$Z8))+SUM(IF('SJCPIL-R 14-008-06 - Máq. 1'!$D$3:$Z$3='RESUMO DIÁRIO'!AI$3,'SJCPIL-R 14-008-06 - Máq. 1'!$D8:$Z8))+SUM(IF('SJCPIL-R 14-008-06 - Máq. 2'!$D$3:$Z$3='RESUMO DIÁRIO'!AI$3,'SJCPIL-R 14-008-06 - Máq. 2'!$D8:$Z8))</f>
        <v>0</v>
      </c>
      <c r="AJ8" s="31">
        <f t="shared" si="1"/>
        <v>0</v>
      </c>
      <c r="AL8" s="79">
        <v>4</v>
      </c>
      <c r="AM8" s="17" t="s">
        <v>15</v>
      </c>
      <c r="AN8" s="80">
        <f>'SJCPIL-R 14-008-06 - Máq. 1'!$AA9</f>
        <v>0</v>
      </c>
      <c r="AO8" s="80">
        <f>'SJCPIL-R 14-008-06 - Máq. 2'!$AA9</f>
        <v>0</v>
      </c>
      <c r="AP8" s="80">
        <f>'SJCPIL-R 14-008-06 - Máq. 3'!$AA9</f>
        <v>0</v>
      </c>
      <c r="AQ8" s="15">
        <f t="shared" si="0"/>
        <v>0</v>
      </c>
      <c r="AR8" s="15">
        <f t="shared" si="2"/>
        <v>4</v>
      </c>
      <c r="AS8" s="15">
        <f t="shared" si="3"/>
        <v>9</v>
      </c>
      <c r="AT8" s="15">
        <f t="shared" si="4"/>
        <v>9</v>
      </c>
      <c r="AU8" s="15" t="str">
        <f t="shared" si="5"/>
        <v>Pé de Elefante</v>
      </c>
      <c r="AV8" s="17" t="e">
        <f t="shared" si="6"/>
        <v>#DIV/0!</v>
      </c>
      <c r="AW8" s="17" t="e">
        <f t="shared" si="8"/>
        <v>#DIV/0!</v>
      </c>
      <c r="AX8" s="17" t="e">
        <f t="shared" si="7"/>
        <v>#DIV/0!</v>
      </c>
      <c r="AY8" s="38"/>
    </row>
    <row r="9" spans="1:51" s="16" customFormat="1" ht="20.100000000000001" customHeight="1">
      <c r="A9" s="130"/>
      <c r="B9" s="133"/>
      <c r="C9" s="18" t="s">
        <v>15</v>
      </c>
      <c r="D9" s="30">
        <f t="array" ref="D9">SUM(IF('SJCPIL-R 14-008-06 - Máq. 3'!$D$3:$Z$3='RESUMO DIÁRIO'!D$3,'SJCPIL-R 14-008-06 - Máq. 3'!$D9:$Z9))+SUM(IF('SJCPIL-R 14-008-06 - Máq. 1'!$D$3:$Z$3='RESUMO DIÁRIO'!D$3,'SJCPIL-R 14-008-06 - Máq. 1'!$D9:$Z9))+SUM(IF('SJCPIL-R 14-008-06 - Máq. 2'!$D$3:$Z$3='RESUMO DIÁRIO'!D$3,'SJCPIL-R 14-008-06 - Máq. 2'!$D9:$Z9))</f>
        <v>0</v>
      </c>
      <c r="E9" s="30">
        <f t="array" ref="E9">SUM(IF('SJCPIL-R 14-008-06 - Máq. 3'!$D$3:$Z$3='RESUMO DIÁRIO'!E$3,'SJCPIL-R 14-008-06 - Máq. 3'!$D9:$Z9))+SUM(IF('SJCPIL-R 14-008-06 - Máq. 1'!$D$3:$Z$3='RESUMO DIÁRIO'!E$3,'SJCPIL-R 14-008-06 - Máq. 1'!$D9:$Z9))+SUM(IF('SJCPIL-R 14-008-06 - Máq. 2'!$D$3:$Z$3='RESUMO DIÁRIO'!E$3,'SJCPIL-R 14-008-06 - Máq. 2'!$D9:$Z9))</f>
        <v>0</v>
      </c>
      <c r="F9" s="30">
        <f t="array" ref="F9">SUM(IF('SJCPIL-R 14-008-06 - Máq. 3'!$D$3:$Z$3='RESUMO DIÁRIO'!F$3,'SJCPIL-R 14-008-06 - Máq. 3'!$D9:$Z9))+SUM(IF('SJCPIL-R 14-008-06 - Máq. 1'!$D$3:$Z$3='RESUMO DIÁRIO'!F$3,'SJCPIL-R 14-008-06 - Máq. 1'!$D9:$Z9))+SUM(IF('SJCPIL-R 14-008-06 - Máq. 2'!$D$3:$Z$3='RESUMO DIÁRIO'!F$3,'SJCPIL-R 14-008-06 - Máq. 2'!$D9:$Z9))</f>
        <v>0</v>
      </c>
      <c r="G9" s="30">
        <f t="array" ref="G9">SUM(IF('SJCPIL-R 14-008-06 - Máq. 3'!$D$3:$Z$3='RESUMO DIÁRIO'!G$3,'SJCPIL-R 14-008-06 - Máq. 3'!$D9:$Z9))+SUM(IF('SJCPIL-R 14-008-06 - Máq. 1'!$D$3:$Z$3='RESUMO DIÁRIO'!G$3,'SJCPIL-R 14-008-06 - Máq. 1'!$D9:$Z9))+SUM(IF('SJCPIL-R 14-008-06 - Máq. 2'!$D$3:$Z$3='RESUMO DIÁRIO'!G$3,'SJCPIL-R 14-008-06 - Máq. 2'!$D9:$Z9))</f>
        <v>0</v>
      </c>
      <c r="H9" s="30">
        <f t="array" ref="H9">SUM(IF('SJCPIL-R 14-008-06 - Máq. 3'!$D$3:$Z$3='RESUMO DIÁRIO'!H$3,'SJCPIL-R 14-008-06 - Máq. 3'!$D9:$Z9))+SUM(IF('SJCPIL-R 14-008-06 - Máq. 1'!$D$3:$Z$3='RESUMO DIÁRIO'!H$3,'SJCPIL-R 14-008-06 - Máq. 1'!$D9:$Z9))+SUM(IF('SJCPIL-R 14-008-06 - Máq. 2'!$D$3:$Z$3='RESUMO DIÁRIO'!H$3,'SJCPIL-R 14-008-06 - Máq. 2'!$D9:$Z9))</f>
        <v>0</v>
      </c>
      <c r="I9" s="30">
        <f t="array" ref="I9">SUM(IF('SJCPIL-R 14-008-06 - Máq. 3'!$D$3:$Z$3='RESUMO DIÁRIO'!I$3,'SJCPIL-R 14-008-06 - Máq. 3'!$D9:$Z9))+SUM(IF('SJCPIL-R 14-008-06 - Máq. 1'!$D$3:$Z$3='RESUMO DIÁRIO'!I$3,'SJCPIL-R 14-008-06 - Máq. 1'!$D9:$Z9))+SUM(IF('SJCPIL-R 14-008-06 - Máq. 2'!$D$3:$Z$3='RESUMO DIÁRIO'!I$3,'SJCPIL-R 14-008-06 - Máq. 2'!$D9:$Z9))</f>
        <v>0</v>
      </c>
      <c r="J9" s="30">
        <f t="array" ref="J9">SUM(IF('SJCPIL-R 14-008-06 - Máq. 3'!$D$3:$Z$3='RESUMO DIÁRIO'!J$3,'SJCPIL-R 14-008-06 - Máq. 3'!$D9:$Z9))+SUM(IF('SJCPIL-R 14-008-06 - Máq. 1'!$D$3:$Z$3='RESUMO DIÁRIO'!J$3,'SJCPIL-R 14-008-06 - Máq. 1'!$D9:$Z9))+SUM(IF('SJCPIL-R 14-008-06 - Máq. 2'!$D$3:$Z$3='RESUMO DIÁRIO'!J$3,'SJCPIL-R 14-008-06 - Máq. 2'!$D9:$Z9))</f>
        <v>0</v>
      </c>
      <c r="K9" s="30">
        <f t="array" ref="K9">SUM(IF('SJCPIL-R 14-008-06 - Máq. 3'!$D$3:$Z$3='RESUMO DIÁRIO'!K$3,'SJCPIL-R 14-008-06 - Máq. 3'!$D9:$Z9))+SUM(IF('SJCPIL-R 14-008-06 - Máq. 1'!$D$3:$Z$3='RESUMO DIÁRIO'!K$3,'SJCPIL-R 14-008-06 - Máq. 1'!$D9:$Z9))+SUM(IF('SJCPIL-R 14-008-06 - Máq. 2'!$D$3:$Z$3='RESUMO DIÁRIO'!K$3,'SJCPIL-R 14-008-06 - Máq. 2'!$D9:$Z9))</f>
        <v>0</v>
      </c>
      <c r="L9" s="30">
        <f t="array" ref="L9">SUM(IF('SJCPIL-R 14-008-06 - Máq. 3'!$D$3:$Z$3='RESUMO DIÁRIO'!L$3,'SJCPIL-R 14-008-06 - Máq. 3'!$D9:$Z9))+SUM(IF('SJCPIL-R 14-008-06 - Máq. 1'!$D$3:$Z$3='RESUMO DIÁRIO'!L$3,'SJCPIL-R 14-008-06 - Máq. 1'!$D9:$Z9))+SUM(IF('SJCPIL-R 14-008-06 - Máq. 2'!$D$3:$Z$3='RESUMO DIÁRIO'!L$3,'SJCPIL-R 14-008-06 - Máq. 2'!$D9:$Z9))</f>
        <v>0</v>
      </c>
      <c r="M9" s="30">
        <f t="array" ref="M9">SUM(IF('SJCPIL-R 14-008-06 - Máq. 3'!$D$3:$Z$3='RESUMO DIÁRIO'!M$3,'SJCPIL-R 14-008-06 - Máq. 3'!$D9:$Z9))+SUM(IF('SJCPIL-R 14-008-06 - Máq. 1'!$D$3:$Z$3='RESUMO DIÁRIO'!M$3,'SJCPIL-R 14-008-06 - Máq. 1'!$D9:$Z9))+SUM(IF('SJCPIL-R 14-008-06 - Máq. 2'!$D$3:$Z$3='RESUMO DIÁRIO'!M$3,'SJCPIL-R 14-008-06 - Máq. 2'!$D9:$Z9))</f>
        <v>0</v>
      </c>
      <c r="N9" s="30">
        <f t="array" ref="N9">SUM(IF('SJCPIL-R 14-008-06 - Máq. 3'!$D$3:$Z$3='RESUMO DIÁRIO'!N$3,'SJCPIL-R 14-008-06 - Máq. 3'!$D9:$Z9))+SUM(IF('SJCPIL-R 14-008-06 - Máq. 1'!$D$3:$Z$3='RESUMO DIÁRIO'!N$3,'SJCPIL-R 14-008-06 - Máq. 1'!$D9:$Z9))+SUM(IF('SJCPIL-R 14-008-06 - Máq. 2'!$D$3:$Z$3='RESUMO DIÁRIO'!N$3,'SJCPIL-R 14-008-06 - Máq. 2'!$D9:$Z9))</f>
        <v>0</v>
      </c>
      <c r="O9" s="30">
        <f t="array" ref="O9">SUM(IF('SJCPIL-R 14-008-06 - Máq. 3'!$D$3:$Z$3='RESUMO DIÁRIO'!O$3,'SJCPIL-R 14-008-06 - Máq. 3'!$D9:$Z9))+SUM(IF('SJCPIL-R 14-008-06 - Máq. 1'!$D$3:$Z$3='RESUMO DIÁRIO'!O$3,'SJCPIL-R 14-008-06 - Máq. 1'!$D9:$Z9))+SUM(IF('SJCPIL-R 14-008-06 - Máq. 2'!$D$3:$Z$3='RESUMO DIÁRIO'!O$3,'SJCPIL-R 14-008-06 - Máq. 2'!$D9:$Z9))</f>
        <v>0</v>
      </c>
      <c r="P9" s="30">
        <f t="array" ref="P9">SUM(IF('SJCPIL-R 14-008-06 - Máq. 3'!$D$3:$Z$3='RESUMO DIÁRIO'!P$3,'SJCPIL-R 14-008-06 - Máq. 3'!$D9:$Z9))+SUM(IF('SJCPIL-R 14-008-06 - Máq. 1'!$D$3:$Z$3='RESUMO DIÁRIO'!P$3,'SJCPIL-R 14-008-06 - Máq. 1'!$D9:$Z9))+SUM(IF('SJCPIL-R 14-008-06 - Máq. 2'!$D$3:$Z$3='RESUMO DIÁRIO'!P$3,'SJCPIL-R 14-008-06 - Máq. 2'!$D9:$Z9))</f>
        <v>0</v>
      </c>
      <c r="Q9" s="30">
        <f t="array" ref="Q9">SUM(IF('SJCPIL-R 14-008-06 - Máq. 3'!$D$3:$Z$3='RESUMO DIÁRIO'!Q$3,'SJCPIL-R 14-008-06 - Máq. 3'!$D9:$Z9))+SUM(IF('SJCPIL-R 14-008-06 - Máq. 1'!$D$3:$Z$3='RESUMO DIÁRIO'!Q$3,'SJCPIL-R 14-008-06 - Máq. 1'!$D9:$Z9))+SUM(IF('SJCPIL-R 14-008-06 - Máq. 2'!$D$3:$Z$3='RESUMO DIÁRIO'!Q$3,'SJCPIL-R 14-008-06 - Máq. 2'!$D9:$Z9))</f>
        <v>0</v>
      </c>
      <c r="R9" s="30">
        <f t="array" ref="R9">SUM(IF('SJCPIL-R 14-008-06 - Máq. 3'!$D$3:$Z$3='RESUMO DIÁRIO'!R$3,'SJCPIL-R 14-008-06 - Máq. 3'!$D9:$Z9))+SUM(IF('SJCPIL-R 14-008-06 - Máq. 1'!$D$3:$Z$3='RESUMO DIÁRIO'!R$3,'SJCPIL-R 14-008-06 - Máq. 1'!$D9:$Z9))+SUM(IF('SJCPIL-R 14-008-06 - Máq. 2'!$D$3:$Z$3='RESUMO DIÁRIO'!R$3,'SJCPIL-R 14-008-06 - Máq. 2'!$D9:$Z9))</f>
        <v>0</v>
      </c>
      <c r="S9" s="30">
        <f t="array" ref="S9">SUM(IF('SJCPIL-R 14-008-06 - Máq. 3'!$D$3:$Z$3='RESUMO DIÁRIO'!S$3,'SJCPIL-R 14-008-06 - Máq. 3'!$D9:$Z9))+SUM(IF('SJCPIL-R 14-008-06 - Máq. 1'!$D$3:$Z$3='RESUMO DIÁRIO'!S$3,'SJCPIL-R 14-008-06 - Máq. 1'!$D9:$Z9))+SUM(IF('SJCPIL-R 14-008-06 - Máq. 2'!$D$3:$Z$3='RESUMO DIÁRIO'!S$3,'SJCPIL-R 14-008-06 - Máq. 2'!$D9:$Z9))</f>
        <v>0</v>
      </c>
      <c r="T9" s="30">
        <f t="array" ref="T9">SUM(IF('SJCPIL-R 14-008-06 - Máq. 3'!$D$3:$Z$3='RESUMO DIÁRIO'!T$3,'SJCPIL-R 14-008-06 - Máq. 3'!$D9:$Z9))+SUM(IF('SJCPIL-R 14-008-06 - Máq. 1'!$D$3:$Z$3='RESUMO DIÁRIO'!T$3,'SJCPIL-R 14-008-06 - Máq. 1'!$D9:$Z9))+SUM(IF('SJCPIL-R 14-008-06 - Máq. 2'!$D$3:$Z$3='RESUMO DIÁRIO'!T$3,'SJCPIL-R 14-008-06 - Máq. 2'!$D9:$Z9))</f>
        <v>0</v>
      </c>
      <c r="U9" s="30">
        <f t="array" ref="U9">SUM(IF('SJCPIL-R 14-008-06 - Máq. 3'!$D$3:$Z$3='RESUMO DIÁRIO'!U$3,'SJCPIL-R 14-008-06 - Máq. 3'!$D9:$Z9))+SUM(IF('SJCPIL-R 14-008-06 - Máq. 1'!$D$3:$Z$3='RESUMO DIÁRIO'!U$3,'SJCPIL-R 14-008-06 - Máq. 1'!$D9:$Z9))+SUM(IF('SJCPIL-R 14-008-06 - Máq. 2'!$D$3:$Z$3='RESUMO DIÁRIO'!U$3,'SJCPIL-R 14-008-06 - Máq. 2'!$D9:$Z9))</f>
        <v>0</v>
      </c>
      <c r="V9" s="30">
        <f t="array" ref="V9">SUM(IF('SJCPIL-R 14-008-06 - Máq. 3'!$D$3:$Z$3='RESUMO DIÁRIO'!V$3,'SJCPIL-R 14-008-06 - Máq. 3'!$D9:$Z9))+SUM(IF('SJCPIL-R 14-008-06 - Máq. 1'!$D$3:$Z$3='RESUMO DIÁRIO'!V$3,'SJCPIL-R 14-008-06 - Máq. 1'!$D9:$Z9))+SUM(IF('SJCPIL-R 14-008-06 - Máq. 2'!$D$3:$Z$3='RESUMO DIÁRIO'!V$3,'SJCPIL-R 14-008-06 - Máq. 2'!$D9:$Z9))</f>
        <v>0</v>
      </c>
      <c r="W9" s="30">
        <f t="array" ref="W9">SUM(IF('SJCPIL-R 14-008-06 - Máq. 3'!$D$3:$Z$3='RESUMO DIÁRIO'!W$3,'SJCPIL-R 14-008-06 - Máq. 3'!$D9:$Z9))+SUM(IF('SJCPIL-R 14-008-06 - Máq. 1'!$D$3:$Z$3='RESUMO DIÁRIO'!W$3,'SJCPIL-R 14-008-06 - Máq. 1'!$D9:$Z9))+SUM(IF('SJCPIL-R 14-008-06 - Máq. 2'!$D$3:$Z$3='RESUMO DIÁRIO'!W$3,'SJCPIL-R 14-008-06 - Máq. 2'!$D9:$Z9))</f>
        <v>0</v>
      </c>
      <c r="X9" s="30">
        <f t="array" ref="X9">SUM(IF('SJCPIL-R 14-008-06 - Máq. 3'!$D$3:$Z$3='RESUMO DIÁRIO'!X$3,'SJCPIL-R 14-008-06 - Máq. 3'!$D9:$Z9))+SUM(IF('SJCPIL-R 14-008-06 - Máq. 1'!$D$3:$Z$3='RESUMO DIÁRIO'!X$3,'SJCPIL-R 14-008-06 - Máq. 1'!$D9:$Z9))+SUM(IF('SJCPIL-R 14-008-06 - Máq. 2'!$D$3:$Z$3='RESUMO DIÁRIO'!X$3,'SJCPIL-R 14-008-06 - Máq. 2'!$D9:$Z9))</f>
        <v>0</v>
      </c>
      <c r="Y9" s="30">
        <f t="array" ref="Y9">SUM(IF('SJCPIL-R 14-008-06 - Máq. 3'!$D$3:$Z$3='RESUMO DIÁRIO'!Y$3,'SJCPIL-R 14-008-06 - Máq. 3'!$D9:$Z9))+SUM(IF('SJCPIL-R 14-008-06 - Máq. 1'!$D$3:$Z$3='RESUMO DIÁRIO'!Y$3,'SJCPIL-R 14-008-06 - Máq. 1'!$D9:$Z9))+SUM(IF('SJCPIL-R 14-008-06 - Máq. 2'!$D$3:$Z$3='RESUMO DIÁRIO'!Y$3,'SJCPIL-R 14-008-06 - Máq. 2'!$D9:$Z9))</f>
        <v>0</v>
      </c>
      <c r="Z9" s="30">
        <f t="array" ref="Z9">SUM(IF('SJCPIL-R 14-008-06 - Máq. 3'!$D$3:$Z$3='RESUMO DIÁRIO'!Z$3,'SJCPIL-R 14-008-06 - Máq. 3'!$D9:$Z9))+SUM(IF('SJCPIL-R 14-008-06 - Máq. 1'!$D$3:$Z$3='RESUMO DIÁRIO'!Z$3,'SJCPIL-R 14-008-06 - Máq. 1'!$D9:$Z9))+SUM(IF('SJCPIL-R 14-008-06 - Máq. 2'!$D$3:$Z$3='RESUMO DIÁRIO'!Z$3,'SJCPIL-R 14-008-06 - Máq. 2'!$D9:$Z9))</f>
        <v>0</v>
      </c>
      <c r="AA9" s="30">
        <f t="array" ref="AA9">SUM(IF('SJCPIL-R 14-008-06 - Máq. 3'!$D$3:$Z$3='RESUMO DIÁRIO'!AA$3,'SJCPIL-R 14-008-06 - Máq. 3'!$D9:$Z9))+SUM(IF('SJCPIL-R 14-008-06 - Máq. 1'!$D$3:$Z$3='RESUMO DIÁRIO'!AA$3,'SJCPIL-R 14-008-06 - Máq. 1'!$D9:$Z9))+SUM(IF('SJCPIL-R 14-008-06 - Máq. 2'!$D$3:$Z$3='RESUMO DIÁRIO'!AA$3,'SJCPIL-R 14-008-06 - Máq. 2'!$D9:$Z9))</f>
        <v>0</v>
      </c>
      <c r="AB9" s="30">
        <f t="array" ref="AB9">SUM(IF('SJCPIL-R 14-008-06 - Máq. 3'!$D$3:$Z$3='RESUMO DIÁRIO'!AB$3,'SJCPIL-R 14-008-06 - Máq. 3'!$D9:$Z9))+SUM(IF('SJCPIL-R 14-008-06 - Máq. 1'!$D$3:$Z$3='RESUMO DIÁRIO'!AB$3,'SJCPIL-R 14-008-06 - Máq. 1'!$D9:$Z9))+SUM(IF('SJCPIL-R 14-008-06 - Máq. 2'!$D$3:$Z$3='RESUMO DIÁRIO'!AB$3,'SJCPIL-R 14-008-06 - Máq. 2'!$D9:$Z9))</f>
        <v>0</v>
      </c>
      <c r="AC9" s="30">
        <f t="array" ref="AC9">SUM(IF('SJCPIL-R 14-008-06 - Máq. 3'!$D$3:$Z$3='RESUMO DIÁRIO'!AC$3,'SJCPIL-R 14-008-06 - Máq. 3'!$D9:$Z9))+SUM(IF('SJCPIL-R 14-008-06 - Máq. 1'!$D$3:$Z$3='RESUMO DIÁRIO'!AC$3,'SJCPIL-R 14-008-06 - Máq. 1'!$D9:$Z9))+SUM(IF('SJCPIL-R 14-008-06 - Máq. 2'!$D$3:$Z$3='RESUMO DIÁRIO'!AC$3,'SJCPIL-R 14-008-06 - Máq. 2'!$D9:$Z9))</f>
        <v>0</v>
      </c>
      <c r="AD9" s="30">
        <f t="array" ref="AD9">SUM(IF('SJCPIL-R 14-008-06 - Máq. 3'!$D$3:$Z$3='RESUMO DIÁRIO'!AD$3,'SJCPIL-R 14-008-06 - Máq. 3'!$D9:$Z9))+SUM(IF('SJCPIL-R 14-008-06 - Máq. 1'!$D$3:$Z$3='RESUMO DIÁRIO'!AD$3,'SJCPIL-R 14-008-06 - Máq. 1'!$D9:$Z9))+SUM(IF('SJCPIL-R 14-008-06 - Máq. 2'!$D$3:$Z$3='RESUMO DIÁRIO'!AD$3,'SJCPIL-R 14-008-06 - Máq. 2'!$D9:$Z9))</f>
        <v>0</v>
      </c>
      <c r="AE9" s="30">
        <f t="array" ref="AE9">SUM(IF('SJCPIL-R 14-008-06 - Máq. 3'!$D$3:$Z$3='RESUMO DIÁRIO'!AE$3,'SJCPIL-R 14-008-06 - Máq. 3'!$D9:$Z9))+SUM(IF('SJCPIL-R 14-008-06 - Máq. 1'!$D$3:$Z$3='RESUMO DIÁRIO'!AE$3,'SJCPIL-R 14-008-06 - Máq. 1'!$D9:$Z9))+SUM(IF('SJCPIL-R 14-008-06 - Máq. 2'!$D$3:$Z$3='RESUMO DIÁRIO'!AE$3,'SJCPIL-R 14-008-06 - Máq. 2'!$D9:$Z9))</f>
        <v>0</v>
      </c>
      <c r="AF9" s="30">
        <f t="array" ref="AF9">SUM(IF('SJCPIL-R 14-008-06 - Máq. 3'!$D$3:$Z$3='RESUMO DIÁRIO'!AF$3,'SJCPIL-R 14-008-06 - Máq. 3'!$D9:$Z9))+SUM(IF('SJCPIL-R 14-008-06 - Máq. 1'!$D$3:$Z$3='RESUMO DIÁRIO'!AF$3,'SJCPIL-R 14-008-06 - Máq. 1'!$D9:$Z9))+SUM(IF('SJCPIL-R 14-008-06 - Máq. 2'!$D$3:$Z$3='RESUMO DIÁRIO'!AF$3,'SJCPIL-R 14-008-06 - Máq. 2'!$D9:$Z9))</f>
        <v>0</v>
      </c>
      <c r="AG9" s="30"/>
      <c r="AH9" s="30">
        <f t="array" ref="AH9">SUM(IF('SJCPIL-R 14-008-06 - Máq. 3'!$D$3:$Z$3='RESUMO DIÁRIO'!AH$3,'SJCPIL-R 14-008-06 - Máq. 3'!$D9:$Z9))+SUM(IF('SJCPIL-R 14-008-06 - Máq. 1'!$D$3:$Z$3='RESUMO DIÁRIO'!AH$3,'SJCPIL-R 14-008-06 - Máq. 1'!$D9:$Z9))+SUM(IF('SJCPIL-R 14-008-06 - Máq. 2'!$D$3:$Z$3='RESUMO DIÁRIO'!AH$3,'SJCPIL-R 14-008-06 - Máq. 2'!$D9:$Z9))</f>
        <v>0</v>
      </c>
      <c r="AI9" s="30">
        <f t="array" ref="AI9">SUM(IF('SJCPIL-R 14-008-06 - Máq. 3'!$D$3:$Z$3='RESUMO DIÁRIO'!AI$3,'SJCPIL-R 14-008-06 - Máq. 3'!$D9:$Z9))+SUM(IF('SJCPIL-R 14-008-06 - Máq. 1'!$D$3:$Z$3='RESUMO DIÁRIO'!AI$3,'SJCPIL-R 14-008-06 - Máq. 1'!$D9:$Z9))+SUM(IF('SJCPIL-R 14-008-06 - Máq. 2'!$D$3:$Z$3='RESUMO DIÁRIO'!AI$3,'SJCPIL-R 14-008-06 - Máq. 2'!$D9:$Z9))</f>
        <v>0</v>
      </c>
      <c r="AJ9" s="31">
        <f t="shared" si="1"/>
        <v>0</v>
      </c>
      <c r="AL9" s="79">
        <v>5</v>
      </c>
      <c r="AM9" s="17" t="s">
        <v>20</v>
      </c>
      <c r="AN9" s="80">
        <f>'SJCPIL-R 14-008-06 - Máq. 1'!$AA10</f>
        <v>0</v>
      </c>
      <c r="AO9" s="80">
        <f>'SJCPIL-R 14-008-06 - Máq. 2'!$AA10</f>
        <v>0</v>
      </c>
      <c r="AP9" s="80">
        <f>'SJCPIL-R 14-008-06 - Máq. 3'!$AA10</f>
        <v>0</v>
      </c>
      <c r="AQ9" s="15">
        <f t="shared" si="0"/>
        <v>0</v>
      </c>
      <c r="AR9" s="15">
        <f t="shared" si="2"/>
        <v>5</v>
      </c>
      <c r="AS9" s="15">
        <f t="shared" si="3"/>
        <v>8</v>
      </c>
      <c r="AT9" s="15">
        <f t="shared" si="4"/>
        <v>8</v>
      </c>
      <c r="AU9" s="15" t="str">
        <f t="shared" si="5"/>
        <v>Pank</v>
      </c>
      <c r="AV9" s="17" t="e">
        <f t="shared" si="6"/>
        <v>#DIV/0!</v>
      </c>
      <c r="AW9" s="17" t="e">
        <f t="shared" si="8"/>
        <v>#DIV/0!</v>
      </c>
      <c r="AX9" s="17" t="e">
        <f t="shared" si="7"/>
        <v>#DIV/0!</v>
      </c>
      <c r="AY9" s="38"/>
    </row>
    <row r="10" spans="1:51" s="16" customFormat="1" ht="20.100000000000001" customHeight="1">
      <c r="A10" s="130"/>
      <c r="B10" s="133"/>
      <c r="C10" s="18" t="s">
        <v>20</v>
      </c>
      <c r="D10" s="30">
        <f t="array" ref="D10">SUM(IF('SJCPIL-R 14-008-06 - Máq. 3'!$D$3:$Z$3='RESUMO DIÁRIO'!D$3,'SJCPIL-R 14-008-06 - Máq. 3'!$D10:$Z10))+SUM(IF('SJCPIL-R 14-008-06 - Máq. 1'!$D$3:$Z$3='RESUMO DIÁRIO'!D$3,'SJCPIL-R 14-008-06 - Máq. 1'!$D10:$Z10))+SUM(IF('SJCPIL-R 14-008-06 - Máq. 2'!$D$3:$Z$3='RESUMO DIÁRIO'!D$3,'SJCPIL-R 14-008-06 - Máq. 2'!$D10:$Z10))</f>
        <v>0</v>
      </c>
      <c r="E10" s="30">
        <f t="array" ref="E10">SUM(IF('SJCPIL-R 14-008-06 - Máq. 3'!$D$3:$Z$3='RESUMO DIÁRIO'!E$3,'SJCPIL-R 14-008-06 - Máq. 3'!$D10:$Z10))+SUM(IF('SJCPIL-R 14-008-06 - Máq. 1'!$D$3:$Z$3='RESUMO DIÁRIO'!E$3,'SJCPIL-R 14-008-06 - Máq. 1'!$D10:$Z10))+SUM(IF('SJCPIL-R 14-008-06 - Máq. 2'!$D$3:$Z$3='RESUMO DIÁRIO'!E$3,'SJCPIL-R 14-008-06 - Máq. 2'!$D10:$Z10))</f>
        <v>0</v>
      </c>
      <c r="F10" s="30">
        <f t="array" ref="F10">SUM(IF('SJCPIL-R 14-008-06 - Máq. 3'!$D$3:$Z$3='RESUMO DIÁRIO'!F$3,'SJCPIL-R 14-008-06 - Máq. 3'!$D10:$Z10))+SUM(IF('SJCPIL-R 14-008-06 - Máq. 1'!$D$3:$Z$3='RESUMO DIÁRIO'!F$3,'SJCPIL-R 14-008-06 - Máq. 1'!$D10:$Z10))+SUM(IF('SJCPIL-R 14-008-06 - Máq. 2'!$D$3:$Z$3='RESUMO DIÁRIO'!F$3,'SJCPIL-R 14-008-06 - Máq. 2'!$D10:$Z10))</f>
        <v>0</v>
      </c>
      <c r="G10" s="30">
        <f t="array" ref="G10">SUM(IF('SJCPIL-R 14-008-06 - Máq. 3'!$D$3:$Z$3='RESUMO DIÁRIO'!G$3,'SJCPIL-R 14-008-06 - Máq. 3'!$D10:$Z10))+SUM(IF('SJCPIL-R 14-008-06 - Máq. 1'!$D$3:$Z$3='RESUMO DIÁRIO'!G$3,'SJCPIL-R 14-008-06 - Máq. 1'!$D10:$Z10))+SUM(IF('SJCPIL-R 14-008-06 - Máq. 2'!$D$3:$Z$3='RESUMO DIÁRIO'!G$3,'SJCPIL-R 14-008-06 - Máq. 2'!$D10:$Z10))</f>
        <v>0</v>
      </c>
      <c r="H10" s="30">
        <f t="array" ref="H10">SUM(IF('SJCPIL-R 14-008-06 - Máq. 3'!$D$3:$Z$3='RESUMO DIÁRIO'!H$3,'SJCPIL-R 14-008-06 - Máq. 3'!$D10:$Z10))+SUM(IF('SJCPIL-R 14-008-06 - Máq. 1'!$D$3:$Z$3='RESUMO DIÁRIO'!H$3,'SJCPIL-R 14-008-06 - Máq. 1'!$D10:$Z10))+SUM(IF('SJCPIL-R 14-008-06 - Máq. 2'!$D$3:$Z$3='RESUMO DIÁRIO'!H$3,'SJCPIL-R 14-008-06 - Máq. 2'!$D10:$Z10))</f>
        <v>0</v>
      </c>
      <c r="I10" s="30">
        <f t="array" ref="I10">SUM(IF('SJCPIL-R 14-008-06 - Máq. 3'!$D$3:$Z$3='RESUMO DIÁRIO'!I$3,'SJCPIL-R 14-008-06 - Máq. 3'!$D10:$Z10))+SUM(IF('SJCPIL-R 14-008-06 - Máq. 1'!$D$3:$Z$3='RESUMO DIÁRIO'!I$3,'SJCPIL-R 14-008-06 - Máq. 1'!$D10:$Z10))+SUM(IF('SJCPIL-R 14-008-06 - Máq. 2'!$D$3:$Z$3='RESUMO DIÁRIO'!I$3,'SJCPIL-R 14-008-06 - Máq. 2'!$D10:$Z10))</f>
        <v>0</v>
      </c>
      <c r="J10" s="30">
        <f t="array" ref="J10">SUM(IF('SJCPIL-R 14-008-06 - Máq. 3'!$D$3:$Z$3='RESUMO DIÁRIO'!J$3,'SJCPIL-R 14-008-06 - Máq. 3'!$D10:$Z10))+SUM(IF('SJCPIL-R 14-008-06 - Máq. 1'!$D$3:$Z$3='RESUMO DIÁRIO'!J$3,'SJCPIL-R 14-008-06 - Máq. 1'!$D10:$Z10))+SUM(IF('SJCPIL-R 14-008-06 - Máq. 2'!$D$3:$Z$3='RESUMO DIÁRIO'!J$3,'SJCPIL-R 14-008-06 - Máq. 2'!$D10:$Z10))</f>
        <v>0</v>
      </c>
      <c r="K10" s="30">
        <f t="array" ref="K10">SUM(IF('SJCPIL-R 14-008-06 - Máq. 3'!$D$3:$Z$3='RESUMO DIÁRIO'!K$3,'SJCPIL-R 14-008-06 - Máq. 3'!$D10:$Z10))+SUM(IF('SJCPIL-R 14-008-06 - Máq. 1'!$D$3:$Z$3='RESUMO DIÁRIO'!K$3,'SJCPIL-R 14-008-06 - Máq. 1'!$D10:$Z10))+SUM(IF('SJCPIL-R 14-008-06 - Máq. 2'!$D$3:$Z$3='RESUMO DIÁRIO'!K$3,'SJCPIL-R 14-008-06 - Máq. 2'!$D10:$Z10))</f>
        <v>0</v>
      </c>
      <c r="L10" s="30">
        <f t="array" ref="L10">SUM(IF('SJCPIL-R 14-008-06 - Máq. 3'!$D$3:$Z$3='RESUMO DIÁRIO'!L$3,'SJCPIL-R 14-008-06 - Máq. 3'!$D10:$Z10))+SUM(IF('SJCPIL-R 14-008-06 - Máq. 1'!$D$3:$Z$3='RESUMO DIÁRIO'!L$3,'SJCPIL-R 14-008-06 - Máq. 1'!$D10:$Z10))+SUM(IF('SJCPIL-R 14-008-06 - Máq. 2'!$D$3:$Z$3='RESUMO DIÁRIO'!L$3,'SJCPIL-R 14-008-06 - Máq. 2'!$D10:$Z10))</f>
        <v>0</v>
      </c>
      <c r="M10" s="30">
        <f t="array" ref="M10">SUM(IF('SJCPIL-R 14-008-06 - Máq. 3'!$D$3:$Z$3='RESUMO DIÁRIO'!M$3,'SJCPIL-R 14-008-06 - Máq. 3'!$D10:$Z10))+SUM(IF('SJCPIL-R 14-008-06 - Máq. 1'!$D$3:$Z$3='RESUMO DIÁRIO'!M$3,'SJCPIL-R 14-008-06 - Máq. 1'!$D10:$Z10))+SUM(IF('SJCPIL-R 14-008-06 - Máq. 2'!$D$3:$Z$3='RESUMO DIÁRIO'!M$3,'SJCPIL-R 14-008-06 - Máq. 2'!$D10:$Z10))</f>
        <v>0</v>
      </c>
      <c r="N10" s="30">
        <f t="array" ref="N10">SUM(IF('SJCPIL-R 14-008-06 - Máq. 3'!$D$3:$Z$3='RESUMO DIÁRIO'!N$3,'SJCPIL-R 14-008-06 - Máq. 3'!$D10:$Z10))+SUM(IF('SJCPIL-R 14-008-06 - Máq. 1'!$D$3:$Z$3='RESUMO DIÁRIO'!N$3,'SJCPIL-R 14-008-06 - Máq. 1'!$D10:$Z10))+SUM(IF('SJCPIL-R 14-008-06 - Máq. 2'!$D$3:$Z$3='RESUMO DIÁRIO'!N$3,'SJCPIL-R 14-008-06 - Máq. 2'!$D10:$Z10))</f>
        <v>0</v>
      </c>
      <c r="O10" s="30">
        <f t="array" ref="O10">SUM(IF('SJCPIL-R 14-008-06 - Máq. 3'!$D$3:$Z$3='RESUMO DIÁRIO'!O$3,'SJCPIL-R 14-008-06 - Máq. 3'!$D10:$Z10))+SUM(IF('SJCPIL-R 14-008-06 - Máq. 1'!$D$3:$Z$3='RESUMO DIÁRIO'!O$3,'SJCPIL-R 14-008-06 - Máq. 1'!$D10:$Z10))+SUM(IF('SJCPIL-R 14-008-06 - Máq. 2'!$D$3:$Z$3='RESUMO DIÁRIO'!O$3,'SJCPIL-R 14-008-06 - Máq. 2'!$D10:$Z10))</f>
        <v>0</v>
      </c>
      <c r="P10" s="30">
        <f t="array" ref="P10">SUM(IF('SJCPIL-R 14-008-06 - Máq. 3'!$D$3:$Z$3='RESUMO DIÁRIO'!P$3,'SJCPIL-R 14-008-06 - Máq. 3'!$D10:$Z10))+SUM(IF('SJCPIL-R 14-008-06 - Máq. 1'!$D$3:$Z$3='RESUMO DIÁRIO'!P$3,'SJCPIL-R 14-008-06 - Máq. 1'!$D10:$Z10))+SUM(IF('SJCPIL-R 14-008-06 - Máq. 2'!$D$3:$Z$3='RESUMO DIÁRIO'!P$3,'SJCPIL-R 14-008-06 - Máq. 2'!$D10:$Z10))</f>
        <v>0</v>
      </c>
      <c r="Q10" s="30">
        <f t="array" ref="Q10">SUM(IF('SJCPIL-R 14-008-06 - Máq. 3'!$D$3:$Z$3='RESUMO DIÁRIO'!Q$3,'SJCPIL-R 14-008-06 - Máq. 3'!$D10:$Z10))+SUM(IF('SJCPIL-R 14-008-06 - Máq. 1'!$D$3:$Z$3='RESUMO DIÁRIO'!Q$3,'SJCPIL-R 14-008-06 - Máq. 1'!$D10:$Z10))+SUM(IF('SJCPIL-R 14-008-06 - Máq. 2'!$D$3:$Z$3='RESUMO DIÁRIO'!Q$3,'SJCPIL-R 14-008-06 - Máq. 2'!$D10:$Z10))</f>
        <v>0</v>
      </c>
      <c r="R10" s="30">
        <f t="array" ref="R10">SUM(IF('SJCPIL-R 14-008-06 - Máq. 3'!$D$3:$Z$3='RESUMO DIÁRIO'!R$3,'SJCPIL-R 14-008-06 - Máq. 3'!$D10:$Z10))+SUM(IF('SJCPIL-R 14-008-06 - Máq. 1'!$D$3:$Z$3='RESUMO DIÁRIO'!R$3,'SJCPIL-R 14-008-06 - Máq. 1'!$D10:$Z10))+SUM(IF('SJCPIL-R 14-008-06 - Máq. 2'!$D$3:$Z$3='RESUMO DIÁRIO'!R$3,'SJCPIL-R 14-008-06 - Máq. 2'!$D10:$Z10))</f>
        <v>0</v>
      </c>
      <c r="S10" s="30">
        <f t="array" ref="S10">SUM(IF('SJCPIL-R 14-008-06 - Máq. 3'!$D$3:$Z$3='RESUMO DIÁRIO'!S$3,'SJCPIL-R 14-008-06 - Máq. 3'!$D10:$Z10))+SUM(IF('SJCPIL-R 14-008-06 - Máq. 1'!$D$3:$Z$3='RESUMO DIÁRIO'!S$3,'SJCPIL-R 14-008-06 - Máq. 1'!$D10:$Z10))+SUM(IF('SJCPIL-R 14-008-06 - Máq. 2'!$D$3:$Z$3='RESUMO DIÁRIO'!S$3,'SJCPIL-R 14-008-06 - Máq. 2'!$D10:$Z10))</f>
        <v>0</v>
      </c>
      <c r="T10" s="30">
        <f t="array" ref="T10">SUM(IF('SJCPIL-R 14-008-06 - Máq. 3'!$D$3:$Z$3='RESUMO DIÁRIO'!T$3,'SJCPIL-R 14-008-06 - Máq. 3'!$D10:$Z10))+SUM(IF('SJCPIL-R 14-008-06 - Máq. 1'!$D$3:$Z$3='RESUMO DIÁRIO'!T$3,'SJCPIL-R 14-008-06 - Máq. 1'!$D10:$Z10))+SUM(IF('SJCPIL-R 14-008-06 - Máq. 2'!$D$3:$Z$3='RESUMO DIÁRIO'!T$3,'SJCPIL-R 14-008-06 - Máq. 2'!$D10:$Z10))</f>
        <v>0</v>
      </c>
      <c r="U10" s="30">
        <f t="array" ref="U10">SUM(IF('SJCPIL-R 14-008-06 - Máq. 3'!$D$3:$Z$3='RESUMO DIÁRIO'!U$3,'SJCPIL-R 14-008-06 - Máq. 3'!$D10:$Z10))+SUM(IF('SJCPIL-R 14-008-06 - Máq. 1'!$D$3:$Z$3='RESUMO DIÁRIO'!U$3,'SJCPIL-R 14-008-06 - Máq. 1'!$D10:$Z10))+SUM(IF('SJCPIL-R 14-008-06 - Máq. 2'!$D$3:$Z$3='RESUMO DIÁRIO'!U$3,'SJCPIL-R 14-008-06 - Máq. 2'!$D10:$Z10))</f>
        <v>0</v>
      </c>
      <c r="V10" s="30">
        <f t="array" ref="V10">SUM(IF('SJCPIL-R 14-008-06 - Máq. 3'!$D$3:$Z$3='RESUMO DIÁRIO'!V$3,'SJCPIL-R 14-008-06 - Máq. 3'!$D10:$Z10))+SUM(IF('SJCPIL-R 14-008-06 - Máq. 1'!$D$3:$Z$3='RESUMO DIÁRIO'!V$3,'SJCPIL-R 14-008-06 - Máq. 1'!$D10:$Z10))+SUM(IF('SJCPIL-R 14-008-06 - Máq. 2'!$D$3:$Z$3='RESUMO DIÁRIO'!V$3,'SJCPIL-R 14-008-06 - Máq. 2'!$D10:$Z10))</f>
        <v>0</v>
      </c>
      <c r="W10" s="30">
        <f t="array" ref="W10">SUM(IF('SJCPIL-R 14-008-06 - Máq. 3'!$D$3:$Z$3='RESUMO DIÁRIO'!W$3,'SJCPIL-R 14-008-06 - Máq. 3'!$D10:$Z10))+SUM(IF('SJCPIL-R 14-008-06 - Máq. 1'!$D$3:$Z$3='RESUMO DIÁRIO'!W$3,'SJCPIL-R 14-008-06 - Máq. 1'!$D10:$Z10))+SUM(IF('SJCPIL-R 14-008-06 - Máq. 2'!$D$3:$Z$3='RESUMO DIÁRIO'!W$3,'SJCPIL-R 14-008-06 - Máq. 2'!$D10:$Z10))</f>
        <v>0</v>
      </c>
      <c r="X10" s="30">
        <f t="array" ref="X10">SUM(IF('SJCPIL-R 14-008-06 - Máq. 3'!$D$3:$Z$3='RESUMO DIÁRIO'!X$3,'SJCPIL-R 14-008-06 - Máq. 3'!$D10:$Z10))+SUM(IF('SJCPIL-R 14-008-06 - Máq. 1'!$D$3:$Z$3='RESUMO DIÁRIO'!X$3,'SJCPIL-R 14-008-06 - Máq. 1'!$D10:$Z10))+SUM(IF('SJCPIL-R 14-008-06 - Máq. 2'!$D$3:$Z$3='RESUMO DIÁRIO'!X$3,'SJCPIL-R 14-008-06 - Máq. 2'!$D10:$Z10))</f>
        <v>0</v>
      </c>
      <c r="Y10" s="30">
        <f t="array" ref="Y10">SUM(IF('SJCPIL-R 14-008-06 - Máq. 3'!$D$3:$Z$3='RESUMO DIÁRIO'!Y$3,'SJCPIL-R 14-008-06 - Máq. 3'!$D10:$Z10))+SUM(IF('SJCPIL-R 14-008-06 - Máq. 1'!$D$3:$Z$3='RESUMO DIÁRIO'!Y$3,'SJCPIL-R 14-008-06 - Máq. 1'!$D10:$Z10))+SUM(IF('SJCPIL-R 14-008-06 - Máq. 2'!$D$3:$Z$3='RESUMO DIÁRIO'!Y$3,'SJCPIL-R 14-008-06 - Máq. 2'!$D10:$Z10))</f>
        <v>0</v>
      </c>
      <c r="Z10" s="30">
        <f t="array" ref="Z10">SUM(IF('SJCPIL-R 14-008-06 - Máq. 3'!$D$3:$Z$3='RESUMO DIÁRIO'!Z$3,'SJCPIL-R 14-008-06 - Máq. 3'!$D10:$Z10))+SUM(IF('SJCPIL-R 14-008-06 - Máq. 1'!$D$3:$Z$3='RESUMO DIÁRIO'!Z$3,'SJCPIL-R 14-008-06 - Máq. 1'!$D10:$Z10))+SUM(IF('SJCPIL-R 14-008-06 - Máq. 2'!$D$3:$Z$3='RESUMO DIÁRIO'!Z$3,'SJCPIL-R 14-008-06 - Máq. 2'!$D10:$Z10))</f>
        <v>0</v>
      </c>
      <c r="AA10" s="30">
        <f t="array" ref="AA10">SUM(IF('SJCPIL-R 14-008-06 - Máq. 3'!$D$3:$Z$3='RESUMO DIÁRIO'!AA$3,'SJCPIL-R 14-008-06 - Máq. 3'!$D10:$Z10))+SUM(IF('SJCPIL-R 14-008-06 - Máq. 1'!$D$3:$Z$3='RESUMO DIÁRIO'!AA$3,'SJCPIL-R 14-008-06 - Máq. 1'!$D10:$Z10))+SUM(IF('SJCPIL-R 14-008-06 - Máq. 2'!$D$3:$Z$3='RESUMO DIÁRIO'!AA$3,'SJCPIL-R 14-008-06 - Máq. 2'!$D10:$Z10))</f>
        <v>0</v>
      </c>
      <c r="AB10" s="30">
        <f t="array" ref="AB10">SUM(IF('SJCPIL-R 14-008-06 - Máq. 3'!$D$3:$Z$3='RESUMO DIÁRIO'!AB$3,'SJCPIL-R 14-008-06 - Máq. 3'!$D10:$Z10))+SUM(IF('SJCPIL-R 14-008-06 - Máq. 1'!$D$3:$Z$3='RESUMO DIÁRIO'!AB$3,'SJCPIL-R 14-008-06 - Máq. 1'!$D10:$Z10))+SUM(IF('SJCPIL-R 14-008-06 - Máq. 2'!$D$3:$Z$3='RESUMO DIÁRIO'!AB$3,'SJCPIL-R 14-008-06 - Máq. 2'!$D10:$Z10))</f>
        <v>0</v>
      </c>
      <c r="AC10" s="30">
        <f t="array" ref="AC10">SUM(IF('SJCPIL-R 14-008-06 - Máq. 3'!$D$3:$Z$3='RESUMO DIÁRIO'!AC$3,'SJCPIL-R 14-008-06 - Máq. 3'!$D10:$Z10))+SUM(IF('SJCPIL-R 14-008-06 - Máq. 1'!$D$3:$Z$3='RESUMO DIÁRIO'!AC$3,'SJCPIL-R 14-008-06 - Máq. 1'!$D10:$Z10))+SUM(IF('SJCPIL-R 14-008-06 - Máq. 2'!$D$3:$Z$3='RESUMO DIÁRIO'!AC$3,'SJCPIL-R 14-008-06 - Máq. 2'!$D10:$Z10))</f>
        <v>0</v>
      </c>
      <c r="AD10" s="30">
        <f t="array" ref="AD10">SUM(IF('SJCPIL-R 14-008-06 - Máq. 3'!$D$3:$Z$3='RESUMO DIÁRIO'!AD$3,'SJCPIL-R 14-008-06 - Máq. 3'!$D10:$Z10))+SUM(IF('SJCPIL-R 14-008-06 - Máq. 1'!$D$3:$Z$3='RESUMO DIÁRIO'!AD$3,'SJCPIL-R 14-008-06 - Máq. 1'!$D10:$Z10))+SUM(IF('SJCPIL-R 14-008-06 - Máq. 2'!$D$3:$Z$3='RESUMO DIÁRIO'!AD$3,'SJCPIL-R 14-008-06 - Máq. 2'!$D10:$Z10))</f>
        <v>0</v>
      </c>
      <c r="AE10" s="30">
        <f t="array" ref="AE10">SUM(IF('SJCPIL-R 14-008-06 - Máq. 3'!$D$3:$Z$3='RESUMO DIÁRIO'!AE$3,'SJCPIL-R 14-008-06 - Máq. 3'!$D10:$Z10))+SUM(IF('SJCPIL-R 14-008-06 - Máq. 1'!$D$3:$Z$3='RESUMO DIÁRIO'!AE$3,'SJCPIL-R 14-008-06 - Máq. 1'!$D10:$Z10))+SUM(IF('SJCPIL-R 14-008-06 - Máq. 2'!$D$3:$Z$3='RESUMO DIÁRIO'!AE$3,'SJCPIL-R 14-008-06 - Máq. 2'!$D10:$Z10))</f>
        <v>0</v>
      </c>
      <c r="AF10" s="30">
        <f t="array" ref="AF10">SUM(IF('SJCPIL-R 14-008-06 - Máq. 3'!$D$3:$Z$3='RESUMO DIÁRIO'!AF$3,'SJCPIL-R 14-008-06 - Máq. 3'!$D10:$Z10))+SUM(IF('SJCPIL-R 14-008-06 - Máq. 1'!$D$3:$Z$3='RESUMO DIÁRIO'!AF$3,'SJCPIL-R 14-008-06 - Máq. 1'!$D10:$Z10))+SUM(IF('SJCPIL-R 14-008-06 - Máq. 2'!$D$3:$Z$3='RESUMO DIÁRIO'!AF$3,'SJCPIL-R 14-008-06 - Máq. 2'!$D10:$Z10))</f>
        <v>0</v>
      </c>
      <c r="AG10" s="30"/>
      <c r="AH10" s="30">
        <f t="array" ref="AH10">SUM(IF('SJCPIL-R 14-008-06 - Máq. 3'!$D$3:$Z$3='RESUMO DIÁRIO'!AH$3,'SJCPIL-R 14-008-06 - Máq. 3'!$D10:$Z10))+SUM(IF('SJCPIL-R 14-008-06 - Máq. 1'!$D$3:$Z$3='RESUMO DIÁRIO'!AH$3,'SJCPIL-R 14-008-06 - Máq. 1'!$D10:$Z10))+SUM(IF('SJCPIL-R 14-008-06 - Máq. 2'!$D$3:$Z$3='RESUMO DIÁRIO'!AH$3,'SJCPIL-R 14-008-06 - Máq. 2'!$D10:$Z10))</f>
        <v>0</v>
      </c>
      <c r="AI10" s="30">
        <f t="array" ref="AI10">SUM(IF('SJCPIL-R 14-008-06 - Máq. 3'!$D$3:$Z$3='RESUMO DIÁRIO'!AI$3,'SJCPIL-R 14-008-06 - Máq. 3'!$D10:$Z10))+SUM(IF('SJCPIL-R 14-008-06 - Máq. 1'!$D$3:$Z$3='RESUMO DIÁRIO'!AI$3,'SJCPIL-R 14-008-06 - Máq. 1'!$D10:$Z10))+SUM(IF('SJCPIL-R 14-008-06 - Máq. 2'!$D$3:$Z$3='RESUMO DIÁRIO'!AI$3,'SJCPIL-R 14-008-06 - Máq. 2'!$D10:$Z10))</f>
        <v>0</v>
      </c>
      <c r="AJ10" s="31">
        <f t="shared" si="1"/>
        <v>0</v>
      </c>
      <c r="AL10" s="79">
        <v>6</v>
      </c>
      <c r="AM10" s="17" t="s">
        <v>21</v>
      </c>
      <c r="AN10" s="80">
        <f>'SJCPIL-R 14-008-06 - Máq. 1'!$AA11</f>
        <v>0</v>
      </c>
      <c r="AO10" s="80">
        <f>'SJCPIL-R 14-008-06 - Máq. 2'!$AA11</f>
        <v>0</v>
      </c>
      <c r="AP10" s="80">
        <f>'SJCPIL-R 14-008-06 - Máq. 3'!$AA11</f>
        <v>0</v>
      </c>
      <c r="AQ10" s="15">
        <f t="shared" si="0"/>
        <v>0</v>
      </c>
      <c r="AR10" s="15">
        <f t="shared" si="2"/>
        <v>6</v>
      </c>
      <c r="AS10" s="15">
        <f t="shared" si="3"/>
        <v>7</v>
      </c>
      <c r="AT10" s="15">
        <f t="shared" si="4"/>
        <v>7</v>
      </c>
      <c r="AU10" s="15" t="str">
        <f t="shared" si="5"/>
        <v>Lingueta aberta</v>
      </c>
      <c r="AV10" s="17" t="e">
        <f t="shared" si="6"/>
        <v>#DIV/0!</v>
      </c>
      <c r="AW10" s="17" t="e">
        <f t="shared" si="8"/>
        <v>#DIV/0!</v>
      </c>
      <c r="AX10" s="17" t="e">
        <f t="shared" si="7"/>
        <v>#DIV/0!</v>
      </c>
      <c r="AY10" s="38"/>
    </row>
    <row r="11" spans="1:51" s="16" customFormat="1" ht="20.100000000000001" customHeight="1">
      <c r="A11" s="130"/>
      <c r="B11" s="133"/>
      <c r="C11" s="18" t="s">
        <v>21</v>
      </c>
      <c r="D11" s="30">
        <f t="array" ref="D11">SUM(IF('SJCPIL-R 14-008-06 - Máq. 3'!$D$3:$Z$3='RESUMO DIÁRIO'!D$3,'SJCPIL-R 14-008-06 - Máq. 3'!$D11:$Z11))+SUM(IF('SJCPIL-R 14-008-06 - Máq. 1'!$D$3:$Z$3='RESUMO DIÁRIO'!D$3,'SJCPIL-R 14-008-06 - Máq. 1'!$D11:$Z11))+SUM(IF('SJCPIL-R 14-008-06 - Máq. 2'!$D$3:$Z$3='RESUMO DIÁRIO'!D$3,'SJCPIL-R 14-008-06 - Máq. 2'!$D11:$Z11))</f>
        <v>0</v>
      </c>
      <c r="E11" s="30">
        <f t="array" ref="E11">SUM(IF('SJCPIL-R 14-008-06 - Máq. 3'!$D$3:$Z$3='RESUMO DIÁRIO'!E$3,'SJCPIL-R 14-008-06 - Máq. 3'!$D11:$Z11))+SUM(IF('SJCPIL-R 14-008-06 - Máq. 1'!$D$3:$Z$3='RESUMO DIÁRIO'!E$3,'SJCPIL-R 14-008-06 - Máq. 1'!$D11:$Z11))+SUM(IF('SJCPIL-R 14-008-06 - Máq. 2'!$D$3:$Z$3='RESUMO DIÁRIO'!E$3,'SJCPIL-R 14-008-06 - Máq. 2'!$D11:$Z11))</f>
        <v>0</v>
      </c>
      <c r="F11" s="30">
        <f t="array" ref="F11">SUM(IF('SJCPIL-R 14-008-06 - Máq. 3'!$D$3:$Z$3='RESUMO DIÁRIO'!F$3,'SJCPIL-R 14-008-06 - Máq. 3'!$D11:$Z11))+SUM(IF('SJCPIL-R 14-008-06 - Máq. 1'!$D$3:$Z$3='RESUMO DIÁRIO'!F$3,'SJCPIL-R 14-008-06 - Máq. 1'!$D11:$Z11))+SUM(IF('SJCPIL-R 14-008-06 - Máq. 2'!$D$3:$Z$3='RESUMO DIÁRIO'!F$3,'SJCPIL-R 14-008-06 - Máq. 2'!$D11:$Z11))</f>
        <v>0</v>
      </c>
      <c r="G11" s="30">
        <f t="array" ref="G11">SUM(IF('SJCPIL-R 14-008-06 - Máq. 3'!$D$3:$Z$3='RESUMO DIÁRIO'!G$3,'SJCPIL-R 14-008-06 - Máq. 3'!$D11:$Z11))+SUM(IF('SJCPIL-R 14-008-06 - Máq. 1'!$D$3:$Z$3='RESUMO DIÁRIO'!G$3,'SJCPIL-R 14-008-06 - Máq. 1'!$D11:$Z11))+SUM(IF('SJCPIL-R 14-008-06 - Máq. 2'!$D$3:$Z$3='RESUMO DIÁRIO'!G$3,'SJCPIL-R 14-008-06 - Máq. 2'!$D11:$Z11))</f>
        <v>0</v>
      </c>
      <c r="H11" s="30">
        <f t="array" ref="H11">SUM(IF('SJCPIL-R 14-008-06 - Máq. 3'!$D$3:$Z$3='RESUMO DIÁRIO'!H$3,'SJCPIL-R 14-008-06 - Máq. 3'!$D11:$Z11))+SUM(IF('SJCPIL-R 14-008-06 - Máq. 1'!$D$3:$Z$3='RESUMO DIÁRIO'!H$3,'SJCPIL-R 14-008-06 - Máq. 1'!$D11:$Z11))+SUM(IF('SJCPIL-R 14-008-06 - Máq. 2'!$D$3:$Z$3='RESUMO DIÁRIO'!H$3,'SJCPIL-R 14-008-06 - Máq. 2'!$D11:$Z11))</f>
        <v>0</v>
      </c>
      <c r="I11" s="30">
        <f t="array" ref="I11">SUM(IF('SJCPIL-R 14-008-06 - Máq. 3'!$D$3:$Z$3='RESUMO DIÁRIO'!I$3,'SJCPIL-R 14-008-06 - Máq. 3'!$D11:$Z11))+SUM(IF('SJCPIL-R 14-008-06 - Máq. 1'!$D$3:$Z$3='RESUMO DIÁRIO'!I$3,'SJCPIL-R 14-008-06 - Máq. 1'!$D11:$Z11))+SUM(IF('SJCPIL-R 14-008-06 - Máq. 2'!$D$3:$Z$3='RESUMO DIÁRIO'!I$3,'SJCPIL-R 14-008-06 - Máq. 2'!$D11:$Z11))</f>
        <v>0</v>
      </c>
      <c r="J11" s="30">
        <f t="array" ref="J11">SUM(IF('SJCPIL-R 14-008-06 - Máq. 3'!$D$3:$Z$3='RESUMO DIÁRIO'!J$3,'SJCPIL-R 14-008-06 - Máq. 3'!$D11:$Z11))+SUM(IF('SJCPIL-R 14-008-06 - Máq. 1'!$D$3:$Z$3='RESUMO DIÁRIO'!J$3,'SJCPIL-R 14-008-06 - Máq. 1'!$D11:$Z11))+SUM(IF('SJCPIL-R 14-008-06 - Máq. 2'!$D$3:$Z$3='RESUMO DIÁRIO'!J$3,'SJCPIL-R 14-008-06 - Máq. 2'!$D11:$Z11))</f>
        <v>0</v>
      </c>
      <c r="K11" s="30">
        <f t="array" ref="K11">SUM(IF('SJCPIL-R 14-008-06 - Máq. 3'!$D$3:$Z$3='RESUMO DIÁRIO'!K$3,'SJCPIL-R 14-008-06 - Máq. 3'!$D11:$Z11))+SUM(IF('SJCPIL-R 14-008-06 - Máq. 1'!$D$3:$Z$3='RESUMO DIÁRIO'!K$3,'SJCPIL-R 14-008-06 - Máq. 1'!$D11:$Z11))+SUM(IF('SJCPIL-R 14-008-06 - Máq. 2'!$D$3:$Z$3='RESUMO DIÁRIO'!K$3,'SJCPIL-R 14-008-06 - Máq. 2'!$D11:$Z11))</f>
        <v>0</v>
      </c>
      <c r="L11" s="30">
        <f t="array" ref="L11">SUM(IF('SJCPIL-R 14-008-06 - Máq. 3'!$D$3:$Z$3='RESUMO DIÁRIO'!L$3,'SJCPIL-R 14-008-06 - Máq. 3'!$D11:$Z11))+SUM(IF('SJCPIL-R 14-008-06 - Máq. 1'!$D$3:$Z$3='RESUMO DIÁRIO'!L$3,'SJCPIL-R 14-008-06 - Máq. 1'!$D11:$Z11))+SUM(IF('SJCPIL-R 14-008-06 - Máq. 2'!$D$3:$Z$3='RESUMO DIÁRIO'!L$3,'SJCPIL-R 14-008-06 - Máq. 2'!$D11:$Z11))</f>
        <v>0</v>
      </c>
      <c r="M11" s="30">
        <f t="array" ref="M11">SUM(IF('SJCPIL-R 14-008-06 - Máq. 3'!$D$3:$Z$3='RESUMO DIÁRIO'!M$3,'SJCPIL-R 14-008-06 - Máq. 3'!$D11:$Z11))+SUM(IF('SJCPIL-R 14-008-06 - Máq. 1'!$D$3:$Z$3='RESUMO DIÁRIO'!M$3,'SJCPIL-R 14-008-06 - Máq. 1'!$D11:$Z11))+SUM(IF('SJCPIL-R 14-008-06 - Máq. 2'!$D$3:$Z$3='RESUMO DIÁRIO'!M$3,'SJCPIL-R 14-008-06 - Máq. 2'!$D11:$Z11))</f>
        <v>0</v>
      </c>
      <c r="N11" s="30">
        <f t="array" ref="N11">SUM(IF('SJCPIL-R 14-008-06 - Máq. 3'!$D$3:$Z$3='RESUMO DIÁRIO'!N$3,'SJCPIL-R 14-008-06 - Máq. 3'!$D11:$Z11))+SUM(IF('SJCPIL-R 14-008-06 - Máq. 1'!$D$3:$Z$3='RESUMO DIÁRIO'!N$3,'SJCPIL-R 14-008-06 - Máq. 1'!$D11:$Z11))+SUM(IF('SJCPIL-R 14-008-06 - Máq. 2'!$D$3:$Z$3='RESUMO DIÁRIO'!N$3,'SJCPIL-R 14-008-06 - Máq. 2'!$D11:$Z11))</f>
        <v>0</v>
      </c>
      <c r="O11" s="30">
        <f t="array" ref="O11">SUM(IF('SJCPIL-R 14-008-06 - Máq. 3'!$D$3:$Z$3='RESUMO DIÁRIO'!O$3,'SJCPIL-R 14-008-06 - Máq. 3'!$D11:$Z11))+SUM(IF('SJCPIL-R 14-008-06 - Máq. 1'!$D$3:$Z$3='RESUMO DIÁRIO'!O$3,'SJCPIL-R 14-008-06 - Máq. 1'!$D11:$Z11))+SUM(IF('SJCPIL-R 14-008-06 - Máq. 2'!$D$3:$Z$3='RESUMO DIÁRIO'!O$3,'SJCPIL-R 14-008-06 - Máq. 2'!$D11:$Z11))</f>
        <v>0</v>
      </c>
      <c r="P11" s="30">
        <f t="array" ref="P11">SUM(IF('SJCPIL-R 14-008-06 - Máq. 3'!$D$3:$Z$3='RESUMO DIÁRIO'!P$3,'SJCPIL-R 14-008-06 - Máq. 3'!$D11:$Z11))+SUM(IF('SJCPIL-R 14-008-06 - Máq. 1'!$D$3:$Z$3='RESUMO DIÁRIO'!P$3,'SJCPIL-R 14-008-06 - Máq. 1'!$D11:$Z11))+SUM(IF('SJCPIL-R 14-008-06 - Máq. 2'!$D$3:$Z$3='RESUMO DIÁRIO'!P$3,'SJCPIL-R 14-008-06 - Máq. 2'!$D11:$Z11))</f>
        <v>0</v>
      </c>
      <c r="Q11" s="30">
        <f t="array" ref="Q11">SUM(IF('SJCPIL-R 14-008-06 - Máq. 3'!$D$3:$Z$3='RESUMO DIÁRIO'!Q$3,'SJCPIL-R 14-008-06 - Máq. 3'!$D11:$Z11))+SUM(IF('SJCPIL-R 14-008-06 - Máq. 1'!$D$3:$Z$3='RESUMO DIÁRIO'!Q$3,'SJCPIL-R 14-008-06 - Máq. 1'!$D11:$Z11))+SUM(IF('SJCPIL-R 14-008-06 - Máq. 2'!$D$3:$Z$3='RESUMO DIÁRIO'!Q$3,'SJCPIL-R 14-008-06 - Máq. 2'!$D11:$Z11))</f>
        <v>0</v>
      </c>
      <c r="R11" s="30">
        <f t="array" ref="R11">SUM(IF('SJCPIL-R 14-008-06 - Máq. 3'!$D$3:$Z$3='RESUMO DIÁRIO'!R$3,'SJCPIL-R 14-008-06 - Máq. 3'!$D11:$Z11))+SUM(IF('SJCPIL-R 14-008-06 - Máq. 1'!$D$3:$Z$3='RESUMO DIÁRIO'!R$3,'SJCPIL-R 14-008-06 - Máq. 1'!$D11:$Z11))+SUM(IF('SJCPIL-R 14-008-06 - Máq. 2'!$D$3:$Z$3='RESUMO DIÁRIO'!R$3,'SJCPIL-R 14-008-06 - Máq. 2'!$D11:$Z11))</f>
        <v>0</v>
      </c>
      <c r="S11" s="30">
        <f t="array" ref="S11">SUM(IF('SJCPIL-R 14-008-06 - Máq. 3'!$D$3:$Z$3='RESUMO DIÁRIO'!S$3,'SJCPIL-R 14-008-06 - Máq. 3'!$D11:$Z11))+SUM(IF('SJCPIL-R 14-008-06 - Máq. 1'!$D$3:$Z$3='RESUMO DIÁRIO'!S$3,'SJCPIL-R 14-008-06 - Máq. 1'!$D11:$Z11))+SUM(IF('SJCPIL-R 14-008-06 - Máq. 2'!$D$3:$Z$3='RESUMO DIÁRIO'!S$3,'SJCPIL-R 14-008-06 - Máq. 2'!$D11:$Z11))</f>
        <v>0</v>
      </c>
      <c r="T11" s="30">
        <f t="array" ref="T11">SUM(IF('SJCPIL-R 14-008-06 - Máq. 3'!$D$3:$Z$3='RESUMO DIÁRIO'!T$3,'SJCPIL-R 14-008-06 - Máq. 3'!$D11:$Z11))+SUM(IF('SJCPIL-R 14-008-06 - Máq. 1'!$D$3:$Z$3='RESUMO DIÁRIO'!T$3,'SJCPIL-R 14-008-06 - Máq. 1'!$D11:$Z11))+SUM(IF('SJCPIL-R 14-008-06 - Máq. 2'!$D$3:$Z$3='RESUMO DIÁRIO'!T$3,'SJCPIL-R 14-008-06 - Máq. 2'!$D11:$Z11))</f>
        <v>0</v>
      </c>
      <c r="U11" s="30">
        <f t="array" ref="U11">SUM(IF('SJCPIL-R 14-008-06 - Máq. 3'!$D$3:$Z$3='RESUMO DIÁRIO'!U$3,'SJCPIL-R 14-008-06 - Máq. 3'!$D11:$Z11))+SUM(IF('SJCPIL-R 14-008-06 - Máq. 1'!$D$3:$Z$3='RESUMO DIÁRIO'!U$3,'SJCPIL-R 14-008-06 - Máq. 1'!$D11:$Z11))+SUM(IF('SJCPIL-R 14-008-06 - Máq. 2'!$D$3:$Z$3='RESUMO DIÁRIO'!U$3,'SJCPIL-R 14-008-06 - Máq. 2'!$D11:$Z11))</f>
        <v>0</v>
      </c>
      <c r="V11" s="30">
        <f t="array" ref="V11">SUM(IF('SJCPIL-R 14-008-06 - Máq. 3'!$D$3:$Z$3='RESUMO DIÁRIO'!V$3,'SJCPIL-R 14-008-06 - Máq. 3'!$D11:$Z11))+SUM(IF('SJCPIL-R 14-008-06 - Máq. 1'!$D$3:$Z$3='RESUMO DIÁRIO'!V$3,'SJCPIL-R 14-008-06 - Máq. 1'!$D11:$Z11))+SUM(IF('SJCPIL-R 14-008-06 - Máq. 2'!$D$3:$Z$3='RESUMO DIÁRIO'!V$3,'SJCPIL-R 14-008-06 - Máq. 2'!$D11:$Z11))</f>
        <v>0</v>
      </c>
      <c r="W11" s="30">
        <f t="array" ref="W11">SUM(IF('SJCPIL-R 14-008-06 - Máq. 3'!$D$3:$Z$3='RESUMO DIÁRIO'!W$3,'SJCPIL-R 14-008-06 - Máq. 3'!$D11:$Z11))+SUM(IF('SJCPIL-R 14-008-06 - Máq. 1'!$D$3:$Z$3='RESUMO DIÁRIO'!W$3,'SJCPIL-R 14-008-06 - Máq. 1'!$D11:$Z11))+SUM(IF('SJCPIL-R 14-008-06 - Máq. 2'!$D$3:$Z$3='RESUMO DIÁRIO'!W$3,'SJCPIL-R 14-008-06 - Máq. 2'!$D11:$Z11))</f>
        <v>0</v>
      </c>
      <c r="X11" s="30">
        <f t="array" ref="X11">SUM(IF('SJCPIL-R 14-008-06 - Máq. 3'!$D$3:$Z$3='RESUMO DIÁRIO'!X$3,'SJCPIL-R 14-008-06 - Máq. 3'!$D11:$Z11))+SUM(IF('SJCPIL-R 14-008-06 - Máq. 1'!$D$3:$Z$3='RESUMO DIÁRIO'!X$3,'SJCPIL-R 14-008-06 - Máq. 1'!$D11:$Z11))+SUM(IF('SJCPIL-R 14-008-06 - Máq. 2'!$D$3:$Z$3='RESUMO DIÁRIO'!X$3,'SJCPIL-R 14-008-06 - Máq. 2'!$D11:$Z11))</f>
        <v>0</v>
      </c>
      <c r="Y11" s="30">
        <f t="array" ref="Y11">SUM(IF('SJCPIL-R 14-008-06 - Máq. 3'!$D$3:$Z$3='RESUMO DIÁRIO'!Y$3,'SJCPIL-R 14-008-06 - Máq. 3'!$D11:$Z11))+SUM(IF('SJCPIL-R 14-008-06 - Máq. 1'!$D$3:$Z$3='RESUMO DIÁRIO'!Y$3,'SJCPIL-R 14-008-06 - Máq. 1'!$D11:$Z11))+SUM(IF('SJCPIL-R 14-008-06 - Máq. 2'!$D$3:$Z$3='RESUMO DIÁRIO'!Y$3,'SJCPIL-R 14-008-06 - Máq. 2'!$D11:$Z11))</f>
        <v>0</v>
      </c>
      <c r="Z11" s="30">
        <f t="array" ref="Z11">SUM(IF('SJCPIL-R 14-008-06 - Máq. 3'!$D$3:$Z$3='RESUMO DIÁRIO'!Z$3,'SJCPIL-R 14-008-06 - Máq. 3'!$D11:$Z11))+SUM(IF('SJCPIL-R 14-008-06 - Máq. 1'!$D$3:$Z$3='RESUMO DIÁRIO'!Z$3,'SJCPIL-R 14-008-06 - Máq. 1'!$D11:$Z11))+SUM(IF('SJCPIL-R 14-008-06 - Máq. 2'!$D$3:$Z$3='RESUMO DIÁRIO'!Z$3,'SJCPIL-R 14-008-06 - Máq. 2'!$D11:$Z11))</f>
        <v>0</v>
      </c>
      <c r="AA11" s="30">
        <f t="array" ref="AA11">SUM(IF('SJCPIL-R 14-008-06 - Máq. 3'!$D$3:$Z$3='RESUMO DIÁRIO'!AA$3,'SJCPIL-R 14-008-06 - Máq. 3'!$D11:$Z11))+SUM(IF('SJCPIL-R 14-008-06 - Máq. 1'!$D$3:$Z$3='RESUMO DIÁRIO'!AA$3,'SJCPIL-R 14-008-06 - Máq. 1'!$D11:$Z11))+SUM(IF('SJCPIL-R 14-008-06 - Máq. 2'!$D$3:$Z$3='RESUMO DIÁRIO'!AA$3,'SJCPIL-R 14-008-06 - Máq. 2'!$D11:$Z11))</f>
        <v>0</v>
      </c>
      <c r="AB11" s="30">
        <f t="array" ref="AB11">SUM(IF('SJCPIL-R 14-008-06 - Máq. 3'!$D$3:$Z$3='RESUMO DIÁRIO'!AB$3,'SJCPIL-R 14-008-06 - Máq. 3'!$D11:$Z11))+SUM(IF('SJCPIL-R 14-008-06 - Máq. 1'!$D$3:$Z$3='RESUMO DIÁRIO'!AB$3,'SJCPIL-R 14-008-06 - Máq. 1'!$D11:$Z11))+SUM(IF('SJCPIL-R 14-008-06 - Máq. 2'!$D$3:$Z$3='RESUMO DIÁRIO'!AB$3,'SJCPIL-R 14-008-06 - Máq. 2'!$D11:$Z11))</f>
        <v>0</v>
      </c>
      <c r="AC11" s="30">
        <f t="array" ref="AC11">SUM(IF('SJCPIL-R 14-008-06 - Máq. 3'!$D$3:$Z$3='RESUMO DIÁRIO'!AC$3,'SJCPIL-R 14-008-06 - Máq. 3'!$D11:$Z11))+SUM(IF('SJCPIL-R 14-008-06 - Máq. 1'!$D$3:$Z$3='RESUMO DIÁRIO'!AC$3,'SJCPIL-R 14-008-06 - Máq. 1'!$D11:$Z11))+SUM(IF('SJCPIL-R 14-008-06 - Máq. 2'!$D$3:$Z$3='RESUMO DIÁRIO'!AC$3,'SJCPIL-R 14-008-06 - Máq. 2'!$D11:$Z11))</f>
        <v>0</v>
      </c>
      <c r="AD11" s="30">
        <f t="array" ref="AD11">SUM(IF('SJCPIL-R 14-008-06 - Máq. 3'!$D$3:$Z$3='RESUMO DIÁRIO'!AD$3,'SJCPIL-R 14-008-06 - Máq. 3'!$D11:$Z11))+SUM(IF('SJCPIL-R 14-008-06 - Máq. 1'!$D$3:$Z$3='RESUMO DIÁRIO'!AD$3,'SJCPIL-R 14-008-06 - Máq. 1'!$D11:$Z11))+SUM(IF('SJCPIL-R 14-008-06 - Máq. 2'!$D$3:$Z$3='RESUMO DIÁRIO'!AD$3,'SJCPIL-R 14-008-06 - Máq. 2'!$D11:$Z11))</f>
        <v>0</v>
      </c>
      <c r="AE11" s="30">
        <f t="array" ref="AE11">SUM(IF('SJCPIL-R 14-008-06 - Máq. 3'!$D$3:$Z$3='RESUMO DIÁRIO'!AE$3,'SJCPIL-R 14-008-06 - Máq. 3'!$D11:$Z11))+SUM(IF('SJCPIL-R 14-008-06 - Máq. 1'!$D$3:$Z$3='RESUMO DIÁRIO'!AE$3,'SJCPIL-R 14-008-06 - Máq. 1'!$D11:$Z11))+SUM(IF('SJCPIL-R 14-008-06 - Máq. 2'!$D$3:$Z$3='RESUMO DIÁRIO'!AE$3,'SJCPIL-R 14-008-06 - Máq. 2'!$D11:$Z11))</f>
        <v>0</v>
      </c>
      <c r="AF11" s="30">
        <f t="array" ref="AF11">SUM(IF('SJCPIL-R 14-008-06 - Máq. 3'!$D$3:$Z$3='RESUMO DIÁRIO'!AF$3,'SJCPIL-R 14-008-06 - Máq. 3'!$D11:$Z11))+SUM(IF('SJCPIL-R 14-008-06 - Máq. 1'!$D$3:$Z$3='RESUMO DIÁRIO'!AF$3,'SJCPIL-R 14-008-06 - Máq. 1'!$D11:$Z11))+SUM(IF('SJCPIL-R 14-008-06 - Máq. 2'!$D$3:$Z$3='RESUMO DIÁRIO'!AF$3,'SJCPIL-R 14-008-06 - Máq. 2'!$D11:$Z11))</f>
        <v>0</v>
      </c>
      <c r="AG11" s="30"/>
      <c r="AH11" s="30">
        <f t="array" ref="AH11">SUM(IF('SJCPIL-R 14-008-06 - Máq. 3'!$D$3:$Z$3='RESUMO DIÁRIO'!AH$3,'SJCPIL-R 14-008-06 - Máq. 3'!$D11:$Z11))+SUM(IF('SJCPIL-R 14-008-06 - Máq. 1'!$D$3:$Z$3='RESUMO DIÁRIO'!AH$3,'SJCPIL-R 14-008-06 - Máq. 1'!$D11:$Z11))+SUM(IF('SJCPIL-R 14-008-06 - Máq. 2'!$D$3:$Z$3='RESUMO DIÁRIO'!AH$3,'SJCPIL-R 14-008-06 - Máq. 2'!$D11:$Z11))</f>
        <v>0</v>
      </c>
      <c r="AI11" s="30">
        <f t="array" ref="AI11">SUM(IF('SJCPIL-R 14-008-06 - Máq. 3'!$D$3:$Z$3='RESUMO DIÁRIO'!AI$3,'SJCPIL-R 14-008-06 - Máq. 3'!$D11:$Z11))+SUM(IF('SJCPIL-R 14-008-06 - Máq. 1'!$D$3:$Z$3='RESUMO DIÁRIO'!AI$3,'SJCPIL-R 14-008-06 - Máq. 1'!$D11:$Z11))+SUM(IF('SJCPIL-R 14-008-06 - Máq. 2'!$D$3:$Z$3='RESUMO DIÁRIO'!AI$3,'SJCPIL-R 14-008-06 - Máq. 2'!$D11:$Z11))</f>
        <v>0</v>
      </c>
      <c r="AJ11" s="31">
        <f t="shared" si="1"/>
        <v>0</v>
      </c>
      <c r="AL11" s="79">
        <v>7</v>
      </c>
      <c r="AM11" s="17" t="s">
        <v>16</v>
      </c>
      <c r="AN11" s="80">
        <f>'SJCPIL-R 14-008-06 - Máq. 1'!$AA12</f>
        <v>0</v>
      </c>
      <c r="AO11" s="80">
        <f>'SJCPIL-R 14-008-06 - Máq. 2'!$AA12</f>
        <v>0</v>
      </c>
      <c r="AP11" s="80">
        <f>'SJCPIL-R 14-008-06 - Máq. 3'!$AA12</f>
        <v>0</v>
      </c>
      <c r="AQ11" s="15">
        <f t="shared" si="0"/>
        <v>0</v>
      </c>
      <c r="AR11" s="15">
        <f t="shared" si="2"/>
        <v>7</v>
      </c>
      <c r="AS11" s="15">
        <f t="shared" si="3"/>
        <v>6</v>
      </c>
      <c r="AT11" s="15">
        <f t="shared" si="4"/>
        <v>6</v>
      </c>
      <c r="AU11" s="15" t="str">
        <f t="shared" si="5"/>
        <v>Tb amassado inf.</v>
      </c>
      <c r="AV11" s="17" t="e">
        <f t="shared" si="6"/>
        <v>#DIV/0!</v>
      </c>
      <c r="AW11" s="17" t="e">
        <f t="shared" si="8"/>
        <v>#DIV/0!</v>
      </c>
      <c r="AX11" s="17" t="e">
        <f t="shared" si="7"/>
        <v>#DIV/0!</v>
      </c>
      <c r="AY11" s="38"/>
    </row>
    <row r="12" spans="1:51" s="16" customFormat="1" ht="20.100000000000001" customHeight="1">
      <c r="A12" s="130"/>
      <c r="B12" s="133"/>
      <c r="C12" s="18" t="s">
        <v>16</v>
      </c>
      <c r="D12" s="30">
        <f t="array" ref="D12">SUM(IF('SJCPIL-R 14-008-06 - Máq. 3'!$D$3:$Z$3='RESUMO DIÁRIO'!D$3,'SJCPIL-R 14-008-06 - Máq. 3'!$D12:$Z12))+SUM(IF('SJCPIL-R 14-008-06 - Máq. 1'!$D$3:$Z$3='RESUMO DIÁRIO'!D$3,'SJCPIL-R 14-008-06 - Máq. 1'!$D12:$Z12))+SUM(IF('SJCPIL-R 14-008-06 - Máq. 2'!$D$3:$Z$3='RESUMO DIÁRIO'!D$3,'SJCPIL-R 14-008-06 - Máq. 2'!$D12:$Z12))</f>
        <v>0</v>
      </c>
      <c r="E12" s="30">
        <f t="array" ref="E12">SUM(IF('SJCPIL-R 14-008-06 - Máq. 3'!$D$3:$Z$3='RESUMO DIÁRIO'!E$3,'SJCPIL-R 14-008-06 - Máq. 3'!$D12:$Z12))+SUM(IF('SJCPIL-R 14-008-06 - Máq. 1'!$D$3:$Z$3='RESUMO DIÁRIO'!E$3,'SJCPIL-R 14-008-06 - Máq. 1'!$D12:$Z12))+SUM(IF('SJCPIL-R 14-008-06 - Máq. 2'!$D$3:$Z$3='RESUMO DIÁRIO'!E$3,'SJCPIL-R 14-008-06 - Máq. 2'!$D12:$Z12))</f>
        <v>0</v>
      </c>
      <c r="F12" s="30">
        <f t="array" ref="F12">SUM(IF('SJCPIL-R 14-008-06 - Máq. 3'!$D$3:$Z$3='RESUMO DIÁRIO'!F$3,'SJCPIL-R 14-008-06 - Máq. 3'!$D12:$Z12))+SUM(IF('SJCPIL-R 14-008-06 - Máq. 1'!$D$3:$Z$3='RESUMO DIÁRIO'!F$3,'SJCPIL-R 14-008-06 - Máq. 1'!$D12:$Z12))+SUM(IF('SJCPIL-R 14-008-06 - Máq. 2'!$D$3:$Z$3='RESUMO DIÁRIO'!F$3,'SJCPIL-R 14-008-06 - Máq. 2'!$D12:$Z12))</f>
        <v>0</v>
      </c>
      <c r="G12" s="30">
        <f t="array" ref="G12">SUM(IF('SJCPIL-R 14-008-06 - Máq. 3'!$D$3:$Z$3='RESUMO DIÁRIO'!G$3,'SJCPIL-R 14-008-06 - Máq. 3'!$D12:$Z12))+SUM(IF('SJCPIL-R 14-008-06 - Máq. 1'!$D$3:$Z$3='RESUMO DIÁRIO'!G$3,'SJCPIL-R 14-008-06 - Máq. 1'!$D12:$Z12))+SUM(IF('SJCPIL-R 14-008-06 - Máq. 2'!$D$3:$Z$3='RESUMO DIÁRIO'!G$3,'SJCPIL-R 14-008-06 - Máq. 2'!$D12:$Z12))</f>
        <v>0</v>
      </c>
      <c r="H12" s="30">
        <f t="array" ref="H12">SUM(IF('SJCPIL-R 14-008-06 - Máq. 3'!$D$3:$Z$3='RESUMO DIÁRIO'!H$3,'SJCPIL-R 14-008-06 - Máq. 3'!$D12:$Z12))+SUM(IF('SJCPIL-R 14-008-06 - Máq. 1'!$D$3:$Z$3='RESUMO DIÁRIO'!H$3,'SJCPIL-R 14-008-06 - Máq. 1'!$D12:$Z12))+SUM(IF('SJCPIL-R 14-008-06 - Máq. 2'!$D$3:$Z$3='RESUMO DIÁRIO'!H$3,'SJCPIL-R 14-008-06 - Máq. 2'!$D12:$Z12))</f>
        <v>0</v>
      </c>
      <c r="I12" s="30">
        <f t="array" ref="I12">SUM(IF('SJCPIL-R 14-008-06 - Máq. 3'!$D$3:$Z$3='RESUMO DIÁRIO'!I$3,'SJCPIL-R 14-008-06 - Máq. 3'!$D12:$Z12))+SUM(IF('SJCPIL-R 14-008-06 - Máq. 1'!$D$3:$Z$3='RESUMO DIÁRIO'!I$3,'SJCPIL-R 14-008-06 - Máq. 1'!$D12:$Z12))+SUM(IF('SJCPIL-R 14-008-06 - Máq. 2'!$D$3:$Z$3='RESUMO DIÁRIO'!I$3,'SJCPIL-R 14-008-06 - Máq. 2'!$D12:$Z12))</f>
        <v>0</v>
      </c>
      <c r="J12" s="30">
        <f t="array" ref="J12">SUM(IF('SJCPIL-R 14-008-06 - Máq. 3'!$D$3:$Z$3='RESUMO DIÁRIO'!J$3,'SJCPIL-R 14-008-06 - Máq. 3'!$D12:$Z12))+SUM(IF('SJCPIL-R 14-008-06 - Máq. 1'!$D$3:$Z$3='RESUMO DIÁRIO'!J$3,'SJCPIL-R 14-008-06 - Máq. 1'!$D12:$Z12))+SUM(IF('SJCPIL-R 14-008-06 - Máq. 2'!$D$3:$Z$3='RESUMO DIÁRIO'!J$3,'SJCPIL-R 14-008-06 - Máq. 2'!$D12:$Z12))</f>
        <v>0</v>
      </c>
      <c r="K12" s="30">
        <f t="array" ref="K12">SUM(IF('SJCPIL-R 14-008-06 - Máq. 3'!$D$3:$Z$3='RESUMO DIÁRIO'!K$3,'SJCPIL-R 14-008-06 - Máq. 3'!$D12:$Z12))+SUM(IF('SJCPIL-R 14-008-06 - Máq. 1'!$D$3:$Z$3='RESUMO DIÁRIO'!K$3,'SJCPIL-R 14-008-06 - Máq. 1'!$D12:$Z12))+SUM(IF('SJCPIL-R 14-008-06 - Máq. 2'!$D$3:$Z$3='RESUMO DIÁRIO'!K$3,'SJCPIL-R 14-008-06 - Máq. 2'!$D12:$Z12))</f>
        <v>0</v>
      </c>
      <c r="L12" s="30">
        <f t="array" ref="L12">SUM(IF('SJCPIL-R 14-008-06 - Máq. 3'!$D$3:$Z$3='RESUMO DIÁRIO'!L$3,'SJCPIL-R 14-008-06 - Máq. 3'!$D12:$Z12))+SUM(IF('SJCPIL-R 14-008-06 - Máq. 1'!$D$3:$Z$3='RESUMO DIÁRIO'!L$3,'SJCPIL-R 14-008-06 - Máq. 1'!$D12:$Z12))+SUM(IF('SJCPIL-R 14-008-06 - Máq. 2'!$D$3:$Z$3='RESUMO DIÁRIO'!L$3,'SJCPIL-R 14-008-06 - Máq. 2'!$D12:$Z12))</f>
        <v>0</v>
      </c>
      <c r="M12" s="30">
        <f t="array" ref="M12">SUM(IF('SJCPIL-R 14-008-06 - Máq. 3'!$D$3:$Z$3='RESUMO DIÁRIO'!M$3,'SJCPIL-R 14-008-06 - Máq. 3'!$D12:$Z12))+SUM(IF('SJCPIL-R 14-008-06 - Máq. 1'!$D$3:$Z$3='RESUMO DIÁRIO'!M$3,'SJCPIL-R 14-008-06 - Máq. 1'!$D12:$Z12))+SUM(IF('SJCPIL-R 14-008-06 - Máq. 2'!$D$3:$Z$3='RESUMO DIÁRIO'!M$3,'SJCPIL-R 14-008-06 - Máq. 2'!$D12:$Z12))</f>
        <v>0</v>
      </c>
      <c r="N12" s="30">
        <f t="array" ref="N12">SUM(IF('SJCPIL-R 14-008-06 - Máq. 3'!$D$3:$Z$3='RESUMO DIÁRIO'!N$3,'SJCPIL-R 14-008-06 - Máq. 3'!$D12:$Z12))+SUM(IF('SJCPIL-R 14-008-06 - Máq. 1'!$D$3:$Z$3='RESUMO DIÁRIO'!N$3,'SJCPIL-R 14-008-06 - Máq. 1'!$D12:$Z12))+SUM(IF('SJCPIL-R 14-008-06 - Máq. 2'!$D$3:$Z$3='RESUMO DIÁRIO'!N$3,'SJCPIL-R 14-008-06 - Máq. 2'!$D12:$Z12))</f>
        <v>0</v>
      </c>
      <c r="O12" s="30">
        <f t="array" ref="O12">SUM(IF('SJCPIL-R 14-008-06 - Máq. 3'!$D$3:$Z$3='RESUMO DIÁRIO'!O$3,'SJCPIL-R 14-008-06 - Máq. 3'!$D12:$Z12))+SUM(IF('SJCPIL-R 14-008-06 - Máq. 1'!$D$3:$Z$3='RESUMO DIÁRIO'!O$3,'SJCPIL-R 14-008-06 - Máq. 1'!$D12:$Z12))+SUM(IF('SJCPIL-R 14-008-06 - Máq. 2'!$D$3:$Z$3='RESUMO DIÁRIO'!O$3,'SJCPIL-R 14-008-06 - Máq. 2'!$D12:$Z12))</f>
        <v>0</v>
      </c>
      <c r="P12" s="30">
        <f t="array" ref="P12">SUM(IF('SJCPIL-R 14-008-06 - Máq. 3'!$D$3:$Z$3='RESUMO DIÁRIO'!P$3,'SJCPIL-R 14-008-06 - Máq. 3'!$D12:$Z12))+SUM(IF('SJCPIL-R 14-008-06 - Máq. 1'!$D$3:$Z$3='RESUMO DIÁRIO'!P$3,'SJCPIL-R 14-008-06 - Máq. 1'!$D12:$Z12))+SUM(IF('SJCPIL-R 14-008-06 - Máq. 2'!$D$3:$Z$3='RESUMO DIÁRIO'!P$3,'SJCPIL-R 14-008-06 - Máq. 2'!$D12:$Z12))</f>
        <v>0</v>
      </c>
      <c r="Q12" s="30">
        <f t="array" ref="Q12">SUM(IF('SJCPIL-R 14-008-06 - Máq. 3'!$D$3:$Z$3='RESUMO DIÁRIO'!Q$3,'SJCPIL-R 14-008-06 - Máq. 3'!$D12:$Z12))+SUM(IF('SJCPIL-R 14-008-06 - Máq. 1'!$D$3:$Z$3='RESUMO DIÁRIO'!Q$3,'SJCPIL-R 14-008-06 - Máq. 1'!$D12:$Z12))+SUM(IF('SJCPIL-R 14-008-06 - Máq. 2'!$D$3:$Z$3='RESUMO DIÁRIO'!Q$3,'SJCPIL-R 14-008-06 - Máq. 2'!$D12:$Z12))</f>
        <v>0</v>
      </c>
      <c r="R12" s="30">
        <f t="array" ref="R12">SUM(IF('SJCPIL-R 14-008-06 - Máq. 3'!$D$3:$Z$3='RESUMO DIÁRIO'!R$3,'SJCPIL-R 14-008-06 - Máq. 3'!$D12:$Z12))+SUM(IF('SJCPIL-R 14-008-06 - Máq. 1'!$D$3:$Z$3='RESUMO DIÁRIO'!R$3,'SJCPIL-R 14-008-06 - Máq. 1'!$D12:$Z12))+SUM(IF('SJCPIL-R 14-008-06 - Máq. 2'!$D$3:$Z$3='RESUMO DIÁRIO'!R$3,'SJCPIL-R 14-008-06 - Máq. 2'!$D12:$Z12))</f>
        <v>0</v>
      </c>
      <c r="S12" s="30">
        <f t="array" ref="S12">SUM(IF('SJCPIL-R 14-008-06 - Máq. 3'!$D$3:$Z$3='RESUMO DIÁRIO'!S$3,'SJCPIL-R 14-008-06 - Máq. 3'!$D12:$Z12))+SUM(IF('SJCPIL-R 14-008-06 - Máq. 1'!$D$3:$Z$3='RESUMO DIÁRIO'!S$3,'SJCPIL-R 14-008-06 - Máq. 1'!$D12:$Z12))+SUM(IF('SJCPIL-R 14-008-06 - Máq. 2'!$D$3:$Z$3='RESUMO DIÁRIO'!S$3,'SJCPIL-R 14-008-06 - Máq. 2'!$D12:$Z12))</f>
        <v>0</v>
      </c>
      <c r="T12" s="30">
        <f t="array" ref="T12">SUM(IF('SJCPIL-R 14-008-06 - Máq. 3'!$D$3:$Z$3='RESUMO DIÁRIO'!T$3,'SJCPIL-R 14-008-06 - Máq. 3'!$D12:$Z12))+SUM(IF('SJCPIL-R 14-008-06 - Máq. 1'!$D$3:$Z$3='RESUMO DIÁRIO'!T$3,'SJCPIL-R 14-008-06 - Máq. 1'!$D12:$Z12))+SUM(IF('SJCPIL-R 14-008-06 - Máq. 2'!$D$3:$Z$3='RESUMO DIÁRIO'!T$3,'SJCPIL-R 14-008-06 - Máq. 2'!$D12:$Z12))</f>
        <v>0</v>
      </c>
      <c r="U12" s="30">
        <f t="array" ref="U12">SUM(IF('SJCPIL-R 14-008-06 - Máq. 3'!$D$3:$Z$3='RESUMO DIÁRIO'!U$3,'SJCPIL-R 14-008-06 - Máq. 3'!$D12:$Z12))+SUM(IF('SJCPIL-R 14-008-06 - Máq. 1'!$D$3:$Z$3='RESUMO DIÁRIO'!U$3,'SJCPIL-R 14-008-06 - Máq. 1'!$D12:$Z12))+SUM(IF('SJCPIL-R 14-008-06 - Máq. 2'!$D$3:$Z$3='RESUMO DIÁRIO'!U$3,'SJCPIL-R 14-008-06 - Máq. 2'!$D12:$Z12))</f>
        <v>0</v>
      </c>
      <c r="V12" s="30">
        <f t="array" ref="V12">SUM(IF('SJCPIL-R 14-008-06 - Máq. 3'!$D$3:$Z$3='RESUMO DIÁRIO'!V$3,'SJCPIL-R 14-008-06 - Máq. 3'!$D12:$Z12))+SUM(IF('SJCPIL-R 14-008-06 - Máq. 1'!$D$3:$Z$3='RESUMO DIÁRIO'!V$3,'SJCPIL-R 14-008-06 - Máq. 1'!$D12:$Z12))+SUM(IF('SJCPIL-R 14-008-06 - Máq. 2'!$D$3:$Z$3='RESUMO DIÁRIO'!V$3,'SJCPIL-R 14-008-06 - Máq. 2'!$D12:$Z12))</f>
        <v>0</v>
      </c>
      <c r="W12" s="30">
        <f t="array" ref="W12">SUM(IF('SJCPIL-R 14-008-06 - Máq. 3'!$D$3:$Z$3='RESUMO DIÁRIO'!W$3,'SJCPIL-R 14-008-06 - Máq. 3'!$D12:$Z12))+SUM(IF('SJCPIL-R 14-008-06 - Máq. 1'!$D$3:$Z$3='RESUMO DIÁRIO'!W$3,'SJCPIL-R 14-008-06 - Máq. 1'!$D12:$Z12))+SUM(IF('SJCPIL-R 14-008-06 - Máq. 2'!$D$3:$Z$3='RESUMO DIÁRIO'!W$3,'SJCPIL-R 14-008-06 - Máq. 2'!$D12:$Z12))</f>
        <v>0</v>
      </c>
      <c r="X12" s="30">
        <f t="array" ref="X12">SUM(IF('SJCPIL-R 14-008-06 - Máq. 3'!$D$3:$Z$3='RESUMO DIÁRIO'!X$3,'SJCPIL-R 14-008-06 - Máq. 3'!$D12:$Z12))+SUM(IF('SJCPIL-R 14-008-06 - Máq. 1'!$D$3:$Z$3='RESUMO DIÁRIO'!X$3,'SJCPIL-R 14-008-06 - Máq. 1'!$D12:$Z12))+SUM(IF('SJCPIL-R 14-008-06 - Máq. 2'!$D$3:$Z$3='RESUMO DIÁRIO'!X$3,'SJCPIL-R 14-008-06 - Máq. 2'!$D12:$Z12))</f>
        <v>0</v>
      </c>
      <c r="Y12" s="30">
        <f t="array" ref="Y12">SUM(IF('SJCPIL-R 14-008-06 - Máq. 3'!$D$3:$Z$3='RESUMO DIÁRIO'!Y$3,'SJCPIL-R 14-008-06 - Máq. 3'!$D12:$Z12))+SUM(IF('SJCPIL-R 14-008-06 - Máq. 1'!$D$3:$Z$3='RESUMO DIÁRIO'!Y$3,'SJCPIL-R 14-008-06 - Máq. 1'!$D12:$Z12))+SUM(IF('SJCPIL-R 14-008-06 - Máq. 2'!$D$3:$Z$3='RESUMO DIÁRIO'!Y$3,'SJCPIL-R 14-008-06 - Máq. 2'!$D12:$Z12))</f>
        <v>0</v>
      </c>
      <c r="Z12" s="30">
        <f t="array" ref="Z12">SUM(IF('SJCPIL-R 14-008-06 - Máq. 3'!$D$3:$Z$3='RESUMO DIÁRIO'!Z$3,'SJCPIL-R 14-008-06 - Máq. 3'!$D12:$Z12))+SUM(IF('SJCPIL-R 14-008-06 - Máq. 1'!$D$3:$Z$3='RESUMO DIÁRIO'!Z$3,'SJCPIL-R 14-008-06 - Máq. 1'!$D12:$Z12))+SUM(IF('SJCPIL-R 14-008-06 - Máq. 2'!$D$3:$Z$3='RESUMO DIÁRIO'!Z$3,'SJCPIL-R 14-008-06 - Máq. 2'!$D12:$Z12))</f>
        <v>0</v>
      </c>
      <c r="AA12" s="30">
        <f t="array" ref="AA12">SUM(IF('SJCPIL-R 14-008-06 - Máq. 3'!$D$3:$Z$3='RESUMO DIÁRIO'!AA$3,'SJCPIL-R 14-008-06 - Máq. 3'!$D12:$Z12))+SUM(IF('SJCPIL-R 14-008-06 - Máq. 1'!$D$3:$Z$3='RESUMO DIÁRIO'!AA$3,'SJCPIL-R 14-008-06 - Máq. 1'!$D12:$Z12))+SUM(IF('SJCPIL-R 14-008-06 - Máq. 2'!$D$3:$Z$3='RESUMO DIÁRIO'!AA$3,'SJCPIL-R 14-008-06 - Máq. 2'!$D12:$Z12))</f>
        <v>0</v>
      </c>
      <c r="AB12" s="30">
        <f t="array" ref="AB12">SUM(IF('SJCPIL-R 14-008-06 - Máq. 3'!$D$3:$Z$3='RESUMO DIÁRIO'!AB$3,'SJCPIL-R 14-008-06 - Máq. 3'!$D12:$Z12))+SUM(IF('SJCPIL-R 14-008-06 - Máq. 1'!$D$3:$Z$3='RESUMO DIÁRIO'!AB$3,'SJCPIL-R 14-008-06 - Máq. 1'!$D12:$Z12))+SUM(IF('SJCPIL-R 14-008-06 - Máq. 2'!$D$3:$Z$3='RESUMO DIÁRIO'!AB$3,'SJCPIL-R 14-008-06 - Máq. 2'!$D12:$Z12))</f>
        <v>0</v>
      </c>
      <c r="AC12" s="30">
        <f t="array" ref="AC12">SUM(IF('SJCPIL-R 14-008-06 - Máq. 3'!$D$3:$Z$3='RESUMO DIÁRIO'!AC$3,'SJCPIL-R 14-008-06 - Máq. 3'!$D12:$Z12))+SUM(IF('SJCPIL-R 14-008-06 - Máq. 1'!$D$3:$Z$3='RESUMO DIÁRIO'!AC$3,'SJCPIL-R 14-008-06 - Máq. 1'!$D12:$Z12))+SUM(IF('SJCPIL-R 14-008-06 - Máq. 2'!$D$3:$Z$3='RESUMO DIÁRIO'!AC$3,'SJCPIL-R 14-008-06 - Máq. 2'!$D12:$Z12))</f>
        <v>0</v>
      </c>
      <c r="AD12" s="30">
        <f t="array" ref="AD12">SUM(IF('SJCPIL-R 14-008-06 - Máq. 3'!$D$3:$Z$3='RESUMO DIÁRIO'!AD$3,'SJCPIL-R 14-008-06 - Máq. 3'!$D12:$Z12))+SUM(IF('SJCPIL-R 14-008-06 - Máq. 1'!$D$3:$Z$3='RESUMO DIÁRIO'!AD$3,'SJCPIL-R 14-008-06 - Máq. 1'!$D12:$Z12))+SUM(IF('SJCPIL-R 14-008-06 - Máq. 2'!$D$3:$Z$3='RESUMO DIÁRIO'!AD$3,'SJCPIL-R 14-008-06 - Máq. 2'!$D12:$Z12))</f>
        <v>0</v>
      </c>
      <c r="AE12" s="30">
        <f t="array" ref="AE12">SUM(IF('SJCPIL-R 14-008-06 - Máq. 3'!$D$3:$Z$3='RESUMO DIÁRIO'!AE$3,'SJCPIL-R 14-008-06 - Máq. 3'!$D12:$Z12))+SUM(IF('SJCPIL-R 14-008-06 - Máq. 1'!$D$3:$Z$3='RESUMO DIÁRIO'!AE$3,'SJCPIL-R 14-008-06 - Máq. 1'!$D12:$Z12))+SUM(IF('SJCPIL-R 14-008-06 - Máq. 2'!$D$3:$Z$3='RESUMO DIÁRIO'!AE$3,'SJCPIL-R 14-008-06 - Máq. 2'!$D12:$Z12))</f>
        <v>0</v>
      </c>
      <c r="AF12" s="30">
        <f t="array" ref="AF12">SUM(IF('SJCPIL-R 14-008-06 - Máq. 3'!$D$3:$Z$3='RESUMO DIÁRIO'!AF$3,'SJCPIL-R 14-008-06 - Máq. 3'!$D12:$Z12))+SUM(IF('SJCPIL-R 14-008-06 - Máq. 1'!$D$3:$Z$3='RESUMO DIÁRIO'!AF$3,'SJCPIL-R 14-008-06 - Máq. 1'!$D12:$Z12))+SUM(IF('SJCPIL-R 14-008-06 - Máq. 2'!$D$3:$Z$3='RESUMO DIÁRIO'!AF$3,'SJCPIL-R 14-008-06 - Máq. 2'!$D12:$Z12))</f>
        <v>0</v>
      </c>
      <c r="AG12" s="30"/>
      <c r="AH12" s="30">
        <f t="array" ref="AH12">SUM(IF('SJCPIL-R 14-008-06 - Máq. 3'!$D$3:$Z$3='RESUMO DIÁRIO'!AH$3,'SJCPIL-R 14-008-06 - Máq. 3'!$D12:$Z12))+SUM(IF('SJCPIL-R 14-008-06 - Máq. 1'!$D$3:$Z$3='RESUMO DIÁRIO'!AH$3,'SJCPIL-R 14-008-06 - Máq. 1'!$D12:$Z12))+SUM(IF('SJCPIL-R 14-008-06 - Máq. 2'!$D$3:$Z$3='RESUMO DIÁRIO'!AH$3,'SJCPIL-R 14-008-06 - Máq. 2'!$D12:$Z12))</f>
        <v>0</v>
      </c>
      <c r="AI12" s="30">
        <f t="array" ref="AI12">SUM(IF('SJCPIL-R 14-008-06 - Máq. 3'!$D$3:$Z$3='RESUMO DIÁRIO'!AI$3,'SJCPIL-R 14-008-06 - Máq. 3'!$D12:$Z12))+SUM(IF('SJCPIL-R 14-008-06 - Máq. 1'!$D$3:$Z$3='RESUMO DIÁRIO'!AI$3,'SJCPIL-R 14-008-06 - Máq. 1'!$D12:$Z12))+SUM(IF('SJCPIL-R 14-008-06 - Máq. 2'!$D$3:$Z$3='RESUMO DIÁRIO'!AI$3,'SJCPIL-R 14-008-06 - Máq. 2'!$D12:$Z12))</f>
        <v>0</v>
      </c>
      <c r="AJ12" s="31">
        <f t="shared" si="1"/>
        <v>0</v>
      </c>
      <c r="AL12" s="79">
        <v>8</v>
      </c>
      <c r="AM12" s="17" t="s">
        <v>17</v>
      </c>
      <c r="AN12" s="80">
        <f>'SJCPIL-R 14-008-06 - Máq. 1'!$AA13</f>
        <v>0</v>
      </c>
      <c r="AO12" s="80">
        <f>'SJCPIL-R 14-008-06 - Máq. 2'!$AA13</f>
        <v>0</v>
      </c>
      <c r="AP12" s="80">
        <f>'SJCPIL-R 14-008-06 - Máq. 3'!$AA13</f>
        <v>0</v>
      </c>
      <c r="AQ12" s="15">
        <f t="shared" si="0"/>
        <v>0</v>
      </c>
      <c r="AR12" s="15">
        <f t="shared" si="2"/>
        <v>8</v>
      </c>
      <c r="AS12" s="15">
        <f t="shared" si="3"/>
        <v>5</v>
      </c>
      <c r="AT12" s="15">
        <f t="shared" si="4"/>
        <v>5</v>
      </c>
      <c r="AU12" s="15" t="str">
        <f t="shared" si="5"/>
        <v>Tb. amassado sup.</v>
      </c>
      <c r="AV12" s="17" t="e">
        <f t="shared" si="6"/>
        <v>#DIV/0!</v>
      </c>
      <c r="AW12" s="17" t="e">
        <f t="shared" si="8"/>
        <v>#DIV/0!</v>
      </c>
      <c r="AX12" s="17" t="e">
        <f t="shared" si="7"/>
        <v>#DIV/0!</v>
      </c>
      <c r="AY12" s="38"/>
    </row>
    <row r="13" spans="1:51" s="16" customFormat="1" ht="20.100000000000001" customHeight="1">
      <c r="A13" s="130"/>
      <c r="B13" s="133"/>
      <c r="C13" s="18" t="s">
        <v>17</v>
      </c>
      <c r="D13" s="30">
        <f t="array" ref="D13">SUM(IF('SJCPIL-R 14-008-06 - Máq. 3'!$D$3:$Z$3='RESUMO DIÁRIO'!D$3,'SJCPIL-R 14-008-06 - Máq. 3'!$D13:$Z13))+SUM(IF('SJCPIL-R 14-008-06 - Máq. 1'!$D$3:$Z$3='RESUMO DIÁRIO'!D$3,'SJCPIL-R 14-008-06 - Máq. 1'!$D13:$Z13))+SUM(IF('SJCPIL-R 14-008-06 - Máq. 2'!$D$3:$Z$3='RESUMO DIÁRIO'!D$3,'SJCPIL-R 14-008-06 - Máq. 2'!$D13:$Z13))</f>
        <v>0</v>
      </c>
      <c r="E13" s="30">
        <f t="array" ref="E13">SUM(IF('SJCPIL-R 14-008-06 - Máq. 3'!$D$3:$Z$3='RESUMO DIÁRIO'!E$3,'SJCPIL-R 14-008-06 - Máq. 3'!$D13:$Z13))+SUM(IF('SJCPIL-R 14-008-06 - Máq. 1'!$D$3:$Z$3='RESUMO DIÁRIO'!E$3,'SJCPIL-R 14-008-06 - Máq. 1'!$D13:$Z13))+SUM(IF('SJCPIL-R 14-008-06 - Máq. 2'!$D$3:$Z$3='RESUMO DIÁRIO'!E$3,'SJCPIL-R 14-008-06 - Máq. 2'!$D13:$Z13))</f>
        <v>0</v>
      </c>
      <c r="F13" s="30">
        <f t="array" ref="F13">SUM(IF('SJCPIL-R 14-008-06 - Máq. 3'!$D$3:$Z$3='RESUMO DIÁRIO'!F$3,'SJCPIL-R 14-008-06 - Máq. 3'!$D13:$Z13))+SUM(IF('SJCPIL-R 14-008-06 - Máq. 1'!$D$3:$Z$3='RESUMO DIÁRIO'!F$3,'SJCPIL-R 14-008-06 - Máq. 1'!$D13:$Z13))+SUM(IF('SJCPIL-R 14-008-06 - Máq. 2'!$D$3:$Z$3='RESUMO DIÁRIO'!F$3,'SJCPIL-R 14-008-06 - Máq. 2'!$D13:$Z13))</f>
        <v>0</v>
      </c>
      <c r="G13" s="30">
        <f t="array" ref="G13">SUM(IF('SJCPIL-R 14-008-06 - Máq. 3'!$D$3:$Z$3='RESUMO DIÁRIO'!G$3,'SJCPIL-R 14-008-06 - Máq. 3'!$D13:$Z13))+SUM(IF('SJCPIL-R 14-008-06 - Máq. 1'!$D$3:$Z$3='RESUMO DIÁRIO'!G$3,'SJCPIL-R 14-008-06 - Máq. 1'!$D13:$Z13))+SUM(IF('SJCPIL-R 14-008-06 - Máq. 2'!$D$3:$Z$3='RESUMO DIÁRIO'!G$3,'SJCPIL-R 14-008-06 - Máq. 2'!$D13:$Z13))</f>
        <v>0</v>
      </c>
      <c r="H13" s="30">
        <f t="array" ref="H13">SUM(IF('SJCPIL-R 14-008-06 - Máq. 3'!$D$3:$Z$3='RESUMO DIÁRIO'!H$3,'SJCPIL-R 14-008-06 - Máq. 3'!$D13:$Z13))+SUM(IF('SJCPIL-R 14-008-06 - Máq. 1'!$D$3:$Z$3='RESUMO DIÁRIO'!H$3,'SJCPIL-R 14-008-06 - Máq. 1'!$D13:$Z13))+SUM(IF('SJCPIL-R 14-008-06 - Máq. 2'!$D$3:$Z$3='RESUMO DIÁRIO'!H$3,'SJCPIL-R 14-008-06 - Máq. 2'!$D13:$Z13))</f>
        <v>0</v>
      </c>
      <c r="I13" s="30">
        <f t="array" ref="I13">SUM(IF('SJCPIL-R 14-008-06 - Máq. 3'!$D$3:$Z$3='RESUMO DIÁRIO'!I$3,'SJCPIL-R 14-008-06 - Máq. 3'!$D13:$Z13))+SUM(IF('SJCPIL-R 14-008-06 - Máq. 1'!$D$3:$Z$3='RESUMO DIÁRIO'!I$3,'SJCPIL-R 14-008-06 - Máq. 1'!$D13:$Z13))+SUM(IF('SJCPIL-R 14-008-06 - Máq. 2'!$D$3:$Z$3='RESUMO DIÁRIO'!I$3,'SJCPIL-R 14-008-06 - Máq. 2'!$D13:$Z13))</f>
        <v>0</v>
      </c>
      <c r="J13" s="30">
        <f t="array" ref="J13">SUM(IF('SJCPIL-R 14-008-06 - Máq. 3'!$D$3:$Z$3='RESUMO DIÁRIO'!J$3,'SJCPIL-R 14-008-06 - Máq. 3'!$D13:$Z13))+SUM(IF('SJCPIL-R 14-008-06 - Máq. 1'!$D$3:$Z$3='RESUMO DIÁRIO'!J$3,'SJCPIL-R 14-008-06 - Máq. 1'!$D13:$Z13))+SUM(IF('SJCPIL-R 14-008-06 - Máq. 2'!$D$3:$Z$3='RESUMO DIÁRIO'!J$3,'SJCPIL-R 14-008-06 - Máq. 2'!$D13:$Z13))</f>
        <v>0</v>
      </c>
      <c r="K13" s="30">
        <f t="array" ref="K13">SUM(IF('SJCPIL-R 14-008-06 - Máq. 3'!$D$3:$Z$3='RESUMO DIÁRIO'!K$3,'SJCPIL-R 14-008-06 - Máq. 3'!$D13:$Z13))+SUM(IF('SJCPIL-R 14-008-06 - Máq. 1'!$D$3:$Z$3='RESUMO DIÁRIO'!K$3,'SJCPIL-R 14-008-06 - Máq. 1'!$D13:$Z13))+SUM(IF('SJCPIL-R 14-008-06 - Máq. 2'!$D$3:$Z$3='RESUMO DIÁRIO'!K$3,'SJCPIL-R 14-008-06 - Máq. 2'!$D13:$Z13))</f>
        <v>0</v>
      </c>
      <c r="L13" s="30">
        <f t="array" ref="L13">SUM(IF('SJCPIL-R 14-008-06 - Máq. 3'!$D$3:$Z$3='RESUMO DIÁRIO'!L$3,'SJCPIL-R 14-008-06 - Máq. 3'!$D13:$Z13))+SUM(IF('SJCPIL-R 14-008-06 - Máq. 1'!$D$3:$Z$3='RESUMO DIÁRIO'!L$3,'SJCPIL-R 14-008-06 - Máq. 1'!$D13:$Z13))+SUM(IF('SJCPIL-R 14-008-06 - Máq. 2'!$D$3:$Z$3='RESUMO DIÁRIO'!L$3,'SJCPIL-R 14-008-06 - Máq. 2'!$D13:$Z13))</f>
        <v>0</v>
      </c>
      <c r="M13" s="30">
        <f t="array" ref="M13">SUM(IF('SJCPIL-R 14-008-06 - Máq. 3'!$D$3:$Z$3='RESUMO DIÁRIO'!M$3,'SJCPIL-R 14-008-06 - Máq. 3'!$D13:$Z13))+SUM(IF('SJCPIL-R 14-008-06 - Máq. 1'!$D$3:$Z$3='RESUMO DIÁRIO'!M$3,'SJCPIL-R 14-008-06 - Máq. 1'!$D13:$Z13))+SUM(IF('SJCPIL-R 14-008-06 - Máq. 2'!$D$3:$Z$3='RESUMO DIÁRIO'!M$3,'SJCPIL-R 14-008-06 - Máq. 2'!$D13:$Z13))</f>
        <v>0</v>
      </c>
      <c r="N13" s="30">
        <f t="array" ref="N13">SUM(IF('SJCPIL-R 14-008-06 - Máq. 3'!$D$3:$Z$3='RESUMO DIÁRIO'!N$3,'SJCPIL-R 14-008-06 - Máq. 3'!$D13:$Z13))+SUM(IF('SJCPIL-R 14-008-06 - Máq. 1'!$D$3:$Z$3='RESUMO DIÁRIO'!N$3,'SJCPIL-R 14-008-06 - Máq. 1'!$D13:$Z13))+SUM(IF('SJCPIL-R 14-008-06 - Máq. 2'!$D$3:$Z$3='RESUMO DIÁRIO'!N$3,'SJCPIL-R 14-008-06 - Máq. 2'!$D13:$Z13))</f>
        <v>0</v>
      </c>
      <c r="O13" s="30">
        <f t="array" ref="O13">SUM(IF('SJCPIL-R 14-008-06 - Máq. 3'!$D$3:$Z$3='RESUMO DIÁRIO'!O$3,'SJCPIL-R 14-008-06 - Máq. 3'!$D13:$Z13))+SUM(IF('SJCPIL-R 14-008-06 - Máq. 1'!$D$3:$Z$3='RESUMO DIÁRIO'!O$3,'SJCPIL-R 14-008-06 - Máq. 1'!$D13:$Z13))+SUM(IF('SJCPIL-R 14-008-06 - Máq. 2'!$D$3:$Z$3='RESUMO DIÁRIO'!O$3,'SJCPIL-R 14-008-06 - Máq. 2'!$D13:$Z13))</f>
        <v>0</v>
      </c>
      <c r="P13" s="30">
        <f t="array" ref="P13">SUM(IF('SJCPIL-R 14-008-06 - Máq. 3'!$D$3:$Z$3='RESUMO DIÁRIO'!P$3,'SJCPIL-R 14-008-06 - Máq. 3'!$D13:$Z13))+SUM(IF('SJCPIL-R 14-008-06 - Máq. 1'!$D$3:$Z$3='RESUMO DIÁRIO'!P$3,'SJCPIL-R 14-008-06 - Máq. 1'!$D13:$Z13))+SUM(IF('SJCPIL-R 14-008-06 - Máq. 2'!$D$3:$Z$3='RESUMO DIÁRIO'!P$3,'SJCPIL-R 14-008-06 - Máq. 2'!$D13:$Z13))</f>
        <v>0</v>
      </c>
      <c r="Q13" s="30">
        <f t="array" ref="Q13">SUM(IF('SJCPIL-R 14-008-06 - Máq. 3'!$D$3:$Z$3='RESUMO DIÁRIO'!Q$3,'SJCPIL-R 14-008-06 - Máq. 3'!$D13:$Z13))+SUM(IF('SJCPIL-R 14-008-06 - Máq. 1'!$D$3:$Z$3='RESUMO DIÁRIO'!Q$3,'SJCPIL-R 14-008-06 - Máq. 1'!$D13:$Z13))+SUM(IF('SJCPIL-R 14-008-06 - Máq. 2'!$D$3:$Z$3='RESUMO DIÁRIO'!Q$3,'SJCPIL-R 14-008-06 - Máq. 2'!$D13:$Z13))</f>
        <v>0</v>
      </c>
      <c r="R13" s="30">
        <f t="array" ref="R13">SUM(IF('SJCPIL-R 14-008-06 - Máq. 3'!$D$3:$Z$3='RESUMO DIÁRIO'!R$3,'SJCPIL-R 14-008-06 - Máq. 3'!$D13:$Z13))+SUM(IF('SJCPIL-R 14-008-06 - Máq. 1'!$D$3:$Z$3='RESUMO DIÁRIO'!R$3,'SJCPIL-R 14-008-06 - Máq. 1'!$D13:$Z13))+SUM(IF('SJCPIL-R 14-008-06 - Máq. 2'!$D$3:$Z$3='RESUMO DIÁRIO'!R$3,'SJCPIL-R 14-008-06 - Máq. 2'!$D13:$Z13))</f>
        <v>0</v>
      </c>
      <c r="S13" s="30">
        <f t="array" ref="S13">SUM(IF('SJCPIL-R 14-008-06 - Máq. 3'!$D$3:$Z$3='RESUMO DIÁRIO'!S$3,'SJCPIL-R 14-008-06 - Máq. 3'!$D13:$Z13))+SUM(IF('SJCPIL-R 14-008-06 - Máq. 1'!$D$3:$Z$3='RESUMO DIÁRIO'!S$3,'SJCPIL-R 14-008-06 - Máq. 1'!$D13:$Z13))+SUM(IF('SJCPIL-R 14-008-06 - Máq. 2'!$D$3:$Z$3='RESUMO DIÁRIO'!S$3,'SJCPIL-R 14-008-06 - Máq. 2'!$D13:$Z13))</f>
        <v>0</v>
      </c>
      <c r="T13" s="30">
        <f t="array" ref="T13">SUM(IF('SJCPIL-R 14-008-06 - Máq. 3'!$D$3:$Z$3='RESUMO DIÁRIO'!T$3,'SJCPIL-R 14-008-06 - Máq. 3'!$D13:$Z13))+SUM(IF('SJCPIL-R 14-008-06 - Máq. 1'!$D$3:$Z$3='RESUMO DIÁRIO'!T$3,'SJCPIL-R 14-008-06 - Máq. 1'!$D13:$Z13))+SUM(IF('SJCPIL-R 14-008-06 - Máq. 2'!$D$3:$Z$3='RESUMO DIÁRIO'!T$3,'SJCPIL-R 14-008-06 - Máq. 2'!$D13:$Z13))</f>
        <v>0</v>
      </c>
      <c r="U13" s="30">
        <f t="array" ref="U13">SUM(IF('SJCPIL-R 14-008-06 - Máq. 3'!$D$3:$Z$3='RESUMO DIÁRIO'!U$3,'SJCPIL-R 14-008-06 - Máq. 3'!$D13:$Z13))+SUM(IF('SJCPIL-R 14-008-06 - Máq. 1'!$D$3:$Z$3='RESUMO DIÁRIO'!U$3,'SJCPIL-R 14-008-06 - Máq. 1'!$D13:$Z13))+SUM(IF('SJCPIL-R 14-008-06 - Máq. 2'!$D$3:$Z$3='RESUMO DIÁRIO'!U$3,'SJCPIL-R 14-008-06 - Máq. 2'!$D13:$Z13))</f>
        <v>0</v>
      </c>
      <c r="V13" s="30">
        <f t="array" ref="V13">SUM(IF('SJCPIL-R 14-008-06 - Máq. 3'!$D$3:$Z$3='RESUMO DIÁRIO'!V$3,'SJCPIL-R 14-008-06 - Máq. 3'!$D13:$Z13))+SUM(IF('SJCPIL-R 14-008-06 - Máq. 1'!$D$3:$Z$3='RESUMO DIÁRIO'!V$3,'SJCPIL-R 14-008-06 - Máq. 1'!$D13:$Z13))+SUM(IF('SJCPIL-R 14-008-06 - Máq. 2'!$D$3:$Z$3='RESUMO DIÁRIO'!V$3,'SJCPIL-R 14-008-06 - Máq. 2'!$D13:$Z13))</f>
        <v>0</v>
      </c>
      <c r="W13" s="30">
        <f t="array" ref="W13">SUM(IF('SJCPIL-R 14-008-06 - Máq. 3'!$D$3:$Z$3='RESUMO DIÁRIO'!W$3,'SJCPIL-R 14-008-06 - Máq. 3'!$D13:$Z13))+SUM(IF('SJCPIL-R 14-008-06 - Máq. 1'!$D$3:$Z$3='RESUMO DIÁRIO'!W$3,'SJCPIL-R 14-008-06 - Máq. 1'!$D13:$Z13))+SUM(IF('SJCPIL-R 14-008-06 - Máq. 2'!$D$3:$Z$3='RESUMO DIÁRIO'!W$3,'SJCPIL-R 14-008-06 - Máq. 2'!$D13:$Z13))</f>
        <v>0</v>
      </c>
      <c r="X13" s="30">
        <f t="array" ref="X13">SUM(IF('SJCPIL-R 14-008-06 - Máq. 3'!$D$3:$Z$3='RESUMO DIÁRIO'!X$3,'SJCPIL-R 14-008-06 - Máq. 3'!$D13:$Z13))+SUM(IF('SJCPIL-R 14-008-06 - Máq. 1'!$D$3:$Z$3='RESUMO DIÁRIO'!X$3,'SJCPIL-R 14-008-06 - Máq. 1'!$D13:$Z13))+SUM(IF('SJCPIL-R 14-008-06 - Máq. 2'!$D$3:$Z$3='RESUMO DIÁRIO'!X$3,'SJCPIL-R 14-008-06 - Máq. 2'!$D13:$Z13))</f>
        <v>0</v>
      </c>
      <c r="Y13" s="30">
        <f t="array" ref="Y13">SUM(IF('SJCPIL-R 14-008-06 - Máq. 3'!$D$3:$Z$3='RESUMO DIÁRIO'!Y$3,'SJCPIL-R 14-008-06 - Máq. 3'!$D13:$Z13))+SUM(IF('SJCPIL-R 14-008-06 - Máq. 1'!$D$3:$Z$3='RESUMO DIÁRIO'!Y$3,'SJCPIL-R 14-008-06 - Máq. 1'!$D13:$Z13))+SUM(IF('SJCPIL-R 14-008-06 - Máq. 2'!$D$3:$Z$3='RESUMO DIÁRIO'!Y$3,'SJCPIL-R 14-008-06 - Máq. 2'!$D13:$Z13))</f>
        <v>0</v>
      </c>
      <c r="Z13" s="30">
        <f t="array" ref="Z13">SUM(IF('SJCPIL-R 14-008-06 - Máq. 3'!$D$3:$Z$3='RESUMO DIÁRIO'!Z$3,'SJCPIL-R 14-008-06 - Máq. 3'!$D13:$Z13))+SUM(IF('SJCPIL-R 14-008-06 - Máq. 1'!$D$3:$Z$3='RESUMO DIÁRIO'!Z$3,'SJCPIL-R 14-008-06 - Máq. 1'!$D13:$Z13))+SUM(IF('SJCPIL-R 14-008-06 - Máq. 2'!$D$3:$Z$3='RESUMO DIÁRIO'!Z$3,'SJCPIL-R 14-008-06 - Máq. 2'!$D13:$Z13))</f>
        <v>0</v>
      </c>
      <c r="AA13" s="30">
        <f t="array" ref="AA13">SUM(IF('SJCPIL-R 14-008-06 - Máq. 3'!$D$3:$Z$3='RESUMO DIÁRIO'!AA$3,'SJCPIL-R 14-008-06 - Máq. 3'!$D13:$Z13))+SUM(IF('SJCPIL-R 14-008-06 - Máq. 1'!$D$3:$Z$3='RESUMO DIÁRIO'!AA$3,'SJCPIL-R 14-008-06 - Máq. 1'!$D13:$Z13))+SUM(IF('SJCPIL-R 14-008-06 - Máq. 2'!$D$3:$Z$3='RESUMO DIÁRIO'!AA$3,'SJCPIL-R 14-008-06 - Máq. 2'!$D13:$Z13))</f>
        <v>0</v>
      </c>
      <c r="AB13" s="30">
        <f t="array" ref="AB13">SUM(IF('SJCPIL-R 14-008-06 - Máq. 3'!$D$3:$Z$3='RESUMO DIÁRIO'!AB$3,'SJCPIL-R 14-008-06 - Máq. 3'!$D13:$Z13))+SUM(IF('SJCPIL-R 14-008-06 - Máq. 1'!$D$3:$Z$3='RESUMO DIÁRIO'!AB$3,'SJCPIL-R 14-008-06 - Máq. 1'!$D13:$Z13))+SUM(IF('SJCPIL-R 14-008-06 - Máq. 2'!$D$3:$Z$3='RESUMO DIÁRIO'!AB$3,'SJCPIL-R 14-008-06 - Máq. 2'!$D13:$Z13))</f>
        <v>0</v>
      </c>
      <c r="AC13" s="30">
        <f t="array" ref="AC13">SUM(IF('SJCPIL-R 14-008-06 - Máq. 3'!$D$3:$Z$3='RESUMO DIÁRIO'!AC$3,'SJCPIL-R 14-008-06 - Máq. 3'!$D13:$Z13))+SUM(IF('SJCPIL-R 14-008-06 - Máq. 1'!$D$3:$Z$3='RESUMO DIÁRIO'!AC$3,'SJCPIL-R 14-008-06 - Máq. 1'!$D13:$Z13))+SUM(IF('SJCPIL-R 14-008-06 - Máq. 2'!$D$3:$Z$3='RESUMO DIÁRIO'!AC$3,'SJCPIL-R 14-008-06 - Máq. 2'!$D13:$Z13))</f>
        <v>0</v>
      </c>
      <c r="AD13" s="30">
        <f t="array" ref="AD13">SUM(IF('SJCPIL-R 14-008-06 - Máq. 3'!$D$3:$Z$3='RESUMO DIÁRIO'!AD$3,'SJCPIL-R 14-008-06 - Máq. 3'!$D13:$Z13))+SUM(IF('SJCPIL-R 14-008-06 - Máq. 1'!$D$3:$Z$3='RESUMO DIÁRIO'!AD$3,'SJCPIL-R 14-008-06 - Máq. 1'!$D13:$Z13))+SUM(IF('SJCPIL-R 14-008-06 - Máq. 2'!$D$3:$Z$3='RESUMO DIÁRIO'!AD$3,'SJCPIL-R 14-008-06 - Máq. 2'!$D13:$Z13))</f>
        <v>0</v>
      </c>
      <c r="AE13" s="30">
        <f t="array" ref="AE13">SUM(IF('SJCPIL-R 14-008-06 - Máq. 3'!$D$3:$Z$3='RESUMO DIÁRIO'!AE$3,'SJCPIL-R 14-008-06 - Máq. 3'!$D13:$Z13))+SUM(IF('SJCPIL-R 14-008-06 - Máq. 1'!$D$3:$Z$3='RESUMO DIÁRIO'!AE$3,'SJCPIL-R 14-008-06 - Máq. 1'!$D13:$Z13))+SUM(IF('SJCPIL-R 14-008-06 - Máq. 2'!$D$3:$Z$3='RESUMO DIÁRIO'!AE$3,'SJCPIL-R 14-008-06 - Máq. 2'!$D13:$Z13))</f>
        <v>0</v>
      </c>
      <c r="AF13" s="30">
        <f t="array" ref="AF13">SUM(IF('SJCPIL-R 14-008-06 - Máq. 3'!$D$3:$Z$3='RESUMO DIÁRIO'!AF$3,'SJCPIL-R 14-008-06 - Máq. 3'!$D13:$Z13))+SUM(IF('SJCPIL-R 14-008-06 - Máq. 1'!$D$3:$Z$3='RESUMO DIÁRIO'!AF$3,'SJCPIL-R 14-008-06 - Máq. 1'!$D13:$Z13))+SUM(IF('SJCPIL-R 14-008-06 - Máq. 2'!$D$3:$Z$3='RESUMO DIÁRIO'!AF$3,'SJCPIL-R 14-008-06 - Máq. 2'!$D13:$Z13))</f>
        <v>0</v>
      </c>
      <c r="AG13" s="30"/>
      <c r="AH13" s="30">
        <f t="array" ref="AH13">SUM(IF('SJCPIL-R 14-008-06 - Máq. 3'!$D$3:$Z$3='RESUMO DIÁRIO'!AH$3,'SJCPIL-R 14-008-06 - Máq. 3'!$D13:$Z13))+SUM(IF('SJCPIL-R 14-008-06 - Máq. 1'!$D$3:$Z$3='RESUMO DIÁRIO'!AH$3,'SJCPIL-R 14-008-06 - Máq. 1'!$D13:$Z13))+SUM(IF('SJCPIL-R 14-008-06 - Máq. 2'!$D$3:$Z$3='RESUMO DIÁRIO'!AH$3,'SJCPIL-R 14-008-06 - Máq. 2'!$D13:$Z13))</f>
        <v>0</v>
      </c>
      <c r="AI13" s="30">
        <f t="array" ref="AI13">SUM(IF('SJCPIL-R 14-008-06 - Máq. 3'!$D$3:$Z$3='RESUMO DIÁRIO'!AI$3,'SJCPIL-R 14-008-06 - Máq. 3'!$D13:$Z13))+SUM(IF('SJCPIL-R 14-008-06 - Máq. 1'!$D$3:$Z$3='RESUMO DIÁRIO'!AI$3,'SJCPIL-R 14-008-06 - Máq. 1'!$D13:$Z13))+SUM(IF('SJCPIL-R 14-008-06 - Máq. 2'!$D$3:$Z$3='RESUMO DIÁRIO'!AI$3,'SJCPIL-R 14-008-06 - Máq. 2'!$D13:$Z13))</f>
        <v>0</v>
      </c>
      <c r="AJ13" s="31">
        <f t="shared" si="1"/>
        <v>0</v>
      </c>
      <c r="AL13" s="79">
        <v>9</v>
      </c>
      <c r="AM13" s="17" t="s">
        <v>18</v>
      </c>
      <c r="AN13" s="80">
        <f>'SJCPIL-R 14-008-06 - Máq. 1'!$AA14</f>
        <v>0</v>
      </c>
      <c r="AO13" s="80">
        <f>'SJCPIL-R 14-008-06 - Máq. 2'!$AA14</f>
        <v>0</v>
      </c>
      <c r="AP13" s="80">
        <f>'SJCPIL-R 14-008-06 - Máq. 3'!$AA14</f>
        <v>0</v>
      </c>
      <c r="AQ13" s="15">
        <f t="shared" si="0"/>
        <v>0</v>
      </c>
      <c r="AR13" s="15">
        <f t="shared" si="2"/>
        <v>9</v>
      </c>
      <c r="AS13" s="15">
        <f t="shared" si="3"/>
        <v>4</v>
      </c>
      <c r="AT13" s="15">
        <f t="shared" si="4"/>
        <v>4</v>
      </c>
      <c r="AU13" s="15" t="str">
        <f t="shared" si="5"/>
        <v>Tb. Amassado Fuinga</v>
      </c>
      <c r="AV13" s="17" t="e">
        <f t="shared" si="6"/>
        <v>#DIV/0!</v>
      </c>
      <c r="AW13" s="17" t="e">
        <f t="shared" si="8"/>
        <v>#DIV/0!</v>
      </c>
      <c r="AX13" s="17" t="e">
        <f t="shared" si="7"/>
        <v>#DIV/0!</v>
      </c>
      <c r="AY13" s="38"/>
    </row>
    <row r="14" spans="1:51" s="16" customFormat="1" ht="20.100000000000001" customHeight="1">
      <c r="A14" s="130"/>
      <c r="B14" s="133"/>
      <c r="C14" s="18" t="s">
        <v>18</v>
      </c>
      <c r="D14" s="30">
        <f t="array" ref="D14">SUM(IF('SJCPIL-R 14-008-06 - Máq. 3'!$D$3:$Z$3='RESUMO DIÁRIO'!D$3,'SJCPIL-R 14-008-06 - Máq. 3'!$D14:$Z14))+SUM(IF('SJCPIL-R 14-008-06 - Máq. 1'!$D$3:$Z$3='RESUMO DIÁRIO'!D$3,'SJCPIL-R 14-008-06 - Máq. 1'!$D14:$Z14))+SUM(IF('SJCPIL-R 14-008-06 - Máq. 2'!$D$3:$Z$3='RESUMO DIÁRIO'!D$3,'SJCPIL-R 14-008-06 - Máq. 2'!$D14:$Z14))</f>
        <v>0</v>
      </c>
      <c r="E14" s="30">
        <f t="array" ref="E14">SUM(IF('SJCPIL-R 14-008-06 - Máq. 3'!$D$3:$Z$3='RESUMO DIÁRIO'!E$3,'SJCPIL-R 14-008-06 - Máq. 3'!$D14:$Z14))+SUM(IF('SJCPIL-R 14-008-06 - Máq. 1'!$D$3:$Z$3='RESUMO DIÁRIO'!E$3,'SJCPIL-R 14-008-06 - Máq. 1'!$D14:$Z14))+SUM(IF('SJCPIL-R 14-008-06 - Máq. 2'!$D$3:$Z$3='RESUMO DIÁRIO'!E$3,'SJCPIL-R 14-008-06 - Máq. 2'!$D14:$Z14))</f>
        <v>0</v>
      </c>
      <c r="F14" s="30">
        <f t="array" ref="F14">SUM(IF('SJCPIL-R 14-008-06 - Máq. 3'!$D$3:$Z$3='RESUMO DIÁRIO'!F$3,'SJCPIL-R 14-008-06 - Máq. 3'!$D14:$Z14))+SUM(IF('SJCPIL-R 14-008-06 - Máq. 1'!$D$3:$Z$3='RESUMO DIÁRIO'!F$3,'SJCPIL-R 14-008-06 - Máq. 1'!$D14:$Z14))+SUM(IF('SJCPIL-R 14-008-06 - Máq. 2'!$D$3:$Z$3='RESUMO DIÁRIO'!F$3,'SJCPIL-R 14-008-06 - Máq. 2'!$D14:$Z14))</f>
        <v>0</v>
      </c>
      <c r="G14" s="30">
        <f t="array" ref="G14">SUM(IF('SJCPIL-R 14-008-06 - Máq. 3'!$D$3:$Z$3='RESUMO DIÁRIO'!G$3,'SJCPIL-R 14-008-06 - Máq. 3'!$D14:$Z14))+SUM(IF('SJCPIL-R 14-008-06 - Máq. 1'!$D$3:$Z$3='RESUMO DIÁRIO'!G$3,'SJCPIL-R 14-008-06 - Máq. 1'!$D14:$Z14))+SUM(IF('SJCPIL-R 14-008-06 - Máq. 2'!$D$3:$Z$3='RESUMO DIÁRIO'!G$3,'SJCPIL-R 14-008-06 - Máq. 2'!$D14:$Z14))</f>
        <v>0</v>
      </c>
      <c r="H14" s="30">
        <f t="array" ref="H14">SUM(IF('SJCPIL-R 14-008-06 - Máq. 3'!$D$3:$Z$3='RESUMO DIÁRIO'!H$3,'SJCPIL-R 14-008-06 - Máq. 3'!$D14:$Z14))+SUM(IF('SJCPIL-R 14-008-06 - Máq. 1'!$D$3:$Z$3='RESUMO DIÁRIO'!H$3,'SJCPIL-R 14-008-06 - Máq. 1'!$D14:$Z14))+SUM(IF('SJCPIL-R 14-008-06 - Máq. 2'!$D$3:$Z$3='RESUMO DIÁRIO'!H$3,'SJCPIL-R 14-008-06 - Máq. 2'!$D14:$Z14))</f>
        <v>0</v>
      </c>
      <c r="I14" s="30">
        <f t="array" ref="I14">SUM(IF('SJCPIL-R 14-008-06 - Máq. 3'!$D$3:$Z$3='RESUMO DIÁRIO'!I$3,'SJCPIL-R 14-008-06 - Máq. 3'!$D14:$Z14))+SUM(IF('SJCPIL-R 14-008-06 - Máq. 1'!$D$3:$Z$3='RESUMO DIÁRIO'!I$3,'SJCPIL-R 14-008-06 - Máq. 1'!$D14:$Z14))+SUM(IF('SJCPIL-R 14-008-06 - Máq. 2'!$D$3:$Z$3='RESUMO DIÁRIO'!I$3,'SJCPIL-R 14-008-06 - Máq. 2'!$D14:$Z14))</f>
        <v>0</v>
      </c>
      <c r="J14" s="30">
        <f t="array" ref="J14">SUM(IF('SJCPIL-R 14-008-06 - Máq. 3'!$D$3:$Z$3='RESUMO DIÁRIO'!J$3,'SJCPIL-R 14-008-06 - Máq. 3'!$D14:$Z14))+SUM(IF('SJCPIL-R 14-008-06 - Máq. 1'!$D$3:$Z$3='RESUMO DIÁRIO'!J$3,'SJCPIL-R 14-008-06 - Máq. 1'!$D14:$Z14))+SUM(IF('SJCPIL-R 14-008-06 - Máq. 2'!$D$3:$Z$3='RESUMO DIÁRIO'!J$3,'SJCPIL-R 14-008-06 - Máq. 2'!$D14:$Z14))</f>
        <v>0</v>
      </c>
      <c r="K14" s="30">
        <f t="array" ref="K14">SUM(IF('SJCPIL-R 14-008-06 - Máq. 3'!$D$3:$Z$3='RESUMO DIÁRIO'!K$3,'SJCPIL-R 14-008-06 - Máq. 3'!$D14:$Z14))+SUM(IF('SJCPIL-R 14-008-06 - Máq. 1'!$D$3:$Z$3='RESUMO DIÁRIO'!K$3,'SJCPIL-R 14-008-06 - Máq. 1'!$D14:$Z14))+SUM(IF('SJCPIL-R 14-008-06 - Máq. 2'!$D$3:$Z$3='RESUMO DIÁRIO'!K$3,'SJCPIL-R 14-008-06 - Máq. 2'!$D14:$Z14))</f>
        <v>0</v>
      </c>
      <c r="L14" s="30">
        <f t="array" ref="L14">SUM(IF('SJCPIL-R 14-008-06 - Máq. 3'!$D$3:$Z$3='RESUMO DIÁRIO'!L$3,'SJCPIL-R 14-008-06 - Máq. 3'!$D14:$Z14))+SUM(IF('SJCPIL-R 14-008-06 - Máq. 1'!$D$3:$Z$3='RESUMO DIÁRIO'!L$3,'SJCPIL-R 14-008-06 - Máq. 1'!$D14:$Z14))+SUM(IF('SJCPIL-R 14-008-06 - Máq. 2'!$D$3:$Z$3='RESUMO DIÁRIO'!L$3,'SJCPIL-R 14-008-06 - Máq. 2'!$D14:$Z14))</f>
        <v>0</v>
      </c>
      <c r="M14" s="30">
        <f t="array" ref="M14">SUM(IF('SJCPIL-R 14-008-06 - Máq. 3'!$D$3:$Z$3='RESUMO DIÁRIO'!M$3,'SJCPIL-R 14-008-06 - Máq. 3'!$D14:$Z14))+SUM(IF('SJCPIL-R 14-008-06 - Máq. 1'!$D$3:$Z$3='RESUMO DIÁRIO'!M$3,'SJCPIL-R 14-008-06 - Máq. 1'!$D14:$Z14))+SUM(IF('SJCPIL-R 14-008-06 - Máq. 2'!$D$3:$Z$3='RESUMO DIÁRIO'!M$3,'SJCPIL-R 14-008-06 - Máq. 2'!$D14:$Z14))</f>
        <v>0</v>
      </c>
      <c r="N14" s="30">
        <f t="array" ref="N14">SUM(IF('SJCPIL-R 14-008-06 - Máq. 3'!$D$3:$Z$3='RESUMO DIÁRIO'!N$3,'SJCPIL-R 14-008-06 - Máq. 3'!$D14:$Z14))+SUM(IF('SJCPIL-R 14-008-06 - Máq. 1'!$D$3:$Z$3='RESUMO DIÁRIO'!N$3,'SJCPIL-R 14-008-06 - Máq. 1'!$D14:$Z14))+SUM(IF('SJCPIL-R 14-008-06 - Máq. 2'!$D$3:$Z$3='RESUMO DIÁRIO'!N$3,'SJCPIL-R 14-008-06 - Máq. 2'!$D14:$Z14))</f>
        <v>0</v>
      </c>
      <c r="O14" s="30">
        <f t="array" ref="O14">SUM(IF('SJCPIL-R 14-008-06 - Máq. 3'!$D$3:$Z$3='RESUMO DIÁRIO'!O$3,'SJCPIL-R 14-008-06 - Máq. 3'!$D14:$Z14))+SUM(IF('SJCPIL-R 14-008-06 - Máq. 1'!$D$3:$Z$3='RESUMO DIÁRIO'!O$3,'SJCPIL-R 14-008-06 - Máq. 1'!$D14:$Z14))+SUM(IF('SJCPIL-R 14-008-06 - Máq. 2'!$D$3:$Z$3='RESUMO DIÁRIO'!O$3,'SJCPIL-R 14-008-06 - Máq. 2'!$D14:$Z14))</f>
        <v>0</v>
      </c>
      <c r="P14" s="30">
        <f t="array" ref="P14">SUM(IF('SJCPIL-R 14-008-06 - Máq. 3'!$D$3:$Z$3='RESUMO DIÁRIO'!P$3,'SJCPIL-R 14-008-06 - Máq. 3'!$D14:$Z14))+SUM(IF('SJCPIL-R 14-008-06 - Máq. 1'!$D$3:$Z$3='RESUMO DIÁRIO'!P$3,'SJCPIL-R 14-008-06 - Máq. 1'!$D14:$Z14))+SUM(IF('SJCPIL-R 14-008-06 - Máq. 2'!$D$3:$Z$3='RESUMO DIÁRIO'!P$3,'SJCPIL-R 14-008-06 - Máq. 2'!$D14:$Z14))</f>
        <v>0</v>
      </c>
      <c r="Q14" s="30">
        <f t="array" ref="Q14">SUM(IF('SJCPIL-R 14-008-06 - Máq. 3'!$D$3:$Z$3='RESUMO DIÁRIO'!Q$3,'SJCPIL-R 14-008-06 - Máq. 3'!$D14:$Z14))+SUM(IF('SJCPIL-R 14-008-06 - Máq. 1'!$D$3:$Z$3='RESUMO DIÁRIO'!Q$3,'SJCPIL-R 14-008-06 - Máq. 1'!$D14:$Z14))+SUM(IF('SJCPIL-R 14-008-06 - Máq. 2'!$D$3:$Z$3='RESUMO DIÁRIO'!Q$3,'SJCPIL-R 14-008-06 - Máq. 2'!$D14:$Z14))</f>
        <v>0</v>
      </c>
      <c r="R14" s="30">
        <f t="array" ref="R14">SUM(IF('SJCPIL-R 14-008-06 - Máq. 3'!$D$3:$Z$3='RESUMO DIÁRIO'!R$3,'SJCPIL-R 14-008-06 - Máq. 3'!$D14:$Z14))+SUM(IF('SJCPIL-R 14-008-06 - Máq. 1'!$D$3:$Z$3='RESUMO DIÁRIO'!R$3,'SJCPIL-R 14-008-06 - Máq. 1'!$D14:$Z14))+SUM(IF('SJCPIL-R 14-008-06 - Máq. 2'!$D$3:$Z$3='RESUMO DIÁRIO'!R$3,'SJCPIL-R 14-008-06 - Máq. 2'!$D14:$Z14))</f>
        <v>0</v>
      </c>
      <c r="S14" s="30">
        <f t="array" ref="S14">SUM(IF('SJCPIL-R 14-008-06 - Máq. 3'!$D$3:$Z$3='RESUMO DIÁRIO'!S$3,'SJCPIL-R 14-008-06 - Máq. 3'!$D14:$Z14))+SUM(IF('SJCPIL-R 14-008-06 - Máq. 1'!$D$3:$Z$3='RESUMO DIÁRIO'!S$3,'SJCPIL-R 14-008-06 - Máq. 1'!$D14:$Z14))+SUM(IF('SJCPIL-R 14-008-06 - Máq. 2'!$D$3:$Z$3='RESUMO DIÁRIO'!S$3,'SJCPIL-R 14-008-06 - Máq. 2'!$D14:$Z14))</f>
        <v>0</v>
      </c>
      <c r="T14" s="30">
        <f t="array" ref="T14">SUM(IF('SJCPIL-R 14-008-06 - Máq. 3'!$D$3:$Z$3='RESUMO DIÁRIO'!T$3,'SJCPIL-R 14-008-06 - Máq. 3'!$D14:$Z14))+SUM(IF('SJCPIL-R 14-008-06 - Máq. 1'!$D$3:$Z$3='RESUMO DIÁRIO'!T$3,'SJCPIL-R 14-008-06 - Máq. 1'!$D14:$Z14))+SUM(IF('SJCPIL-R 14-008-06 - Máq. 2'!$D$3:$Z$3='RESUMO DIÁRIO'!T$3,'SJCPIL-R 14-008-06 - Máq. 2'!$D14:$Z14))</f>
        <v>0</v>
      </c>
      <c r="U14" s="30">
        <f t="array" ref="U14">SUM(IF('SJCPIL-R 14-008-06 - Máq. 3'!$D$3:$Z$3='RESUMO DIÁRIO'!U$3,'SJCPIL-R 14-008-06 - Máq. 3'!$D14:$Z14))+SUM(IF('SJCPIL-R 14-008-06 - Máq. 1'!$D$3:$Z$3='RESUMO DIÁRIO'!U$3,'SJCPIL-R 14-008-06 - Máq. 1'!$D14:$Z14))+SUM(IF('SJCPIL-R 14-008-06 - Máq. 2'!$D$3:$Z$3='RESUMO DIÁRIO'!U$3,'SJCPIL-R 14-008-06 - Máq. 2'!$D14:$Z14))</f>
        <v>0</v>
      </c>
      <c r="V14" s="30">
        <f t="array" ref="V14">SUM(IF('SJCPIL-R 14-008-06 - Máq. 3'!$D$3:$Z$3='RESUMO DIÁRIO'!V$3,'SJCPIL-R 14-008-06 - Máq. 3'!$D14:$Z14))+SUM(IF('SJCPIL-R 14-008-06 - Máq. 1'!$D$3:$Z$3='RESUMO DIÁRIO'!V$3,'SJCPIL-R 14-008-06 - Máq. 1'!$D14:$Z14))+SUM(IF('SJCPIL-R 14-008-06 - Máq. 2'!$D$3:$Z$3='RESUMO DIÁRIO'!V$3,'SJCPIL-R 14-008-06 - Máq. 2'!$D14:$Z14))</f>
        <v>0</v>
      </c>
      <c r="W14" s="30">
        <f t="array" ref="W14">SUM(IF('SJCPIL-R 14-008-06 - Máq. 3'!$D$3:$Z$3='RESUMO DIÁRIO'!W$3,'SJCPIL-R 14-008-06 - Máq. 3'!$D14:$Z14))+SUM(IF('SJCPIL-R 14-008-06 - Máq. 1'!$D$3:$Z$3='RESUMO DIÁRIO'!W$3,'SJCPIL-R 14-008-06 - Máq. 1'!$D14:$Z14))+SUM(IF('SJCPIL-R 14-008-06 - Máq. 2'!$D$3:$Z$3='RESUMO DIÁRIO'!W$3,'SJCPIL-R 14-008-06 - Máq. 2'!$D14:$Z14))</f>
        <v>0</v>
      </c>
      <c r="X14" s="30">
        <f t="array" ref="X14">SUM(IF('SJCPIL-R 14-008-06 - Máq. 3'!$D$3:$Z$3='RESUMO DIÁRIO'!X$3,'SJCPIL-R 14-008-06 - Máq. 3'!$D14:$Z14))+SUM(IF('SJCPIL-R 14-008-06 - Máq. 1'!$D$3:$Z$3='RESUMO DIÁRIO'!X$3,'SJCPIL-R 14-008-06 - Máq. 1'!$D14:$Z14))+SUM(IF('SJCPIL-R 14-008-06 - Máq. 2'!$D$3:$Z$3='RESUMO DIÁRIO'!X$3,'SJCPIL-R 14-008-06 - Máq. 2'!$D14:$Z14))</f>
        <v>0</v>
      </c>
      <c r="Y14" s="30">
        <f t="array" ref="Y14">SUM(IF('SJCPIL-R 14-008-06 - Máq. 3'!$D$3:$Z$3='RESUMO DIÁRIO'!Y$3,'SJCPIL-R 14-008-06 - Máq. 3'!$D14:$Z14))+SUM(IF('SJCPIL-R 14-008-06 - Máq. 1'!$D$3:$Z$3='RESUMO DIÁRIO'!Y$3,'SJCPIL-R 14-008-06 - Máq. 1'!$D14:$Z14))+SUM(IF('SJCPIL-R 14-008-06 - Máq. 2'!$D$3:$Z$3='RESUMO DIÁRIO'!Y$3,'SJCPIL-R 14-008-06 - Máq. 2'!$D14:$Z14))</f>
        <v>0</v>
      </c>
      <c r="Z14" s="30">
        <f t="array" ref="Z14">SUM(IF('SJCPIL-R 14-008-06 - Máq. 3'!$D$3:$Z$3='RESUMO DIÁRIO'!Z$3,'SJCPIL-R 14-008-06 - Máq. 3'!$D14:$Z14))+SUM(IF('SJCPIL-R 14-008-06 - Máq. 1'!$D$3:$Z$3='RESUMO DIÁRIO'!Z$3,'SJCPIL-R 14-008-06 - Máq. 1'!$D14:$Z14))+SUM(IF('SJCPIL-R 14-008-06 - Máq. 2'!$D$3:$Z$3='RESUMO DIÁRIO'!Z$3,'SJCPIL-R 14-008-06 - Máq. 2'!$D14:$Z14))</f>
        <v>0</v>
      </c>
      <c r="AA14" s="30">
        <f t="array" ref="AA14">SUM(IF('SJCPIL-R 14-008-06 - Máq. 3'!$D$3:$Z$3='RESUMO DIÁRIO'!AA$3,'SJCPIL-R 14-008-06 - Máq. 3'!$D14:$Z14))+SUM(IF('SJCPIL-R 14-008-06 - Máq. 1'!$D$3:$Z$3='RESUMO DIÁRIO'!AA$3,'SJCPIL-R 14-008-06 - Máq. 1'!$D14:$Z14))+SUM(IF('SJCPIL-R 14-008-06 - Máq. 2'!$D$3:$Z$3='RESUMO DIÁRIO'!AA$3,'SJCPIL-R 14-008-06 - Máq. 2'!$D14:$Z14))</f>
        <v>0</v>
      </c>
      <c r="AB14" s="30">
        <f t="array" ref="AB14">SUM(IF('SJCPIL-R 14-008-06 - Máq. 3'!$D$3:$Z$3='RESUMO DIÁRIO'!AB$3,'SJCPIL-R 14-008-06 - Máq. 3'!$D14:$Z14))+SUM(IF('SJCPIL-R 14-008-06 - Máq. 1'!$D$3:$Z$3='RESUMO DIÁRIO'!AB$3,'SJCPIL-R 14-008-06 - Máq. 1'!$D14:$Z14))+SUM(IF('SJCPIL-R 14-008-06 - Máq. 2'!$D$3:$Z$3='RESUMO DIÁRIO'!AB$3,'SJCPIL-R 14-008-06 - Máq. 2'!$D14:$Z14))</f>
        <v>0</v>
      </c>
      <c r="AC14" s="30">
        <f t="array" ref="AC14">SUM(IF('SJCPIL-R 14-008-06 - Máq. 3'!$D$3:$Z$3='RESUMO DIÁRIO'!AC$3,'SJCPIL-R 14-008-06 - Máq. 3'!$D14:$Z14))+SUM(IF('SJCPIL-R 14-008-06 - Máq. 1'!$D$3:$Z$3='RESUMO DIÁRIO'!AC$3,'SJCPIL-R 14-008-06 - Máq. 1'!$D14:$Z14))+SUM(IF('SJCPIL-R 14-008-06 - Máq. 2'!$D$3:$Z$3='RESUMO DIÁRIO'!AC$3,'SJCPIL-R 14-008-06 - Máq. 2'!$D14:$Z14))</f>
        <v>0</v>
      </c>
      <c r="AD14" s="30">
        <f t="array" ref="AD14">SUM(IF('SJCPIL-R 14-008-06 - Máq. 3'!$D$3:$Z$3='RESUMO DIÁRIO'!AD$3,'SJCPIL-R 14-008-06 - Máq. 3'!$D14:$Z14))+SUM(IF('SJCPIL-R 14-008-06 - Máq. 1'!$D$3:$Z$3='RESUMO DIÁRIO'!AD$3,'SJCPIL-R 14-008-06 - Máq. 1'!$D14:$Z14))+SUM(IF('SJCPIL-R 14-008-06 - Máq. 2'!$D$3:$Z$3='RESUMO DIÁRIO'!AD$3,'SJCPIL-R 14-008-06 - Máq. 2'!$D14:$Z14))</f>
        <v>0</v>
      </c>
      <c r="AE14" s="30">
        <f t="array" ref="AE14">SUM(IF('SJCPIL-R 14-008-06 - Máq. 3'!$D$3:$Z$3='RESUMO DIÁRIO'!AE$3,'SJCPIL-R 14-008-06 - Máq. 3'!$D14:$Z14))+SUM(IF('SJCPIL-R 14-008-06 - Máq. 1'!$D$3:$Z$3='RESUMO DIÁRIO'!AE$3,'SJCPIL-R 14-008-06 - Máq. 1'!$D14:$Z14))+SUM(IF('SJCPIL-R 14-008-06 - Máq. 2'!$D$3:$Z$3='RESUMO DIÁRIO'!AE$3,'SJCPIL-R 14-008-06 - Máq. 2'!$D14:$Z14))</f>
        <v>0</v>
      </c>
      <c r="AF14" s="30">
        <f t="array" ref="AF14">SUM(IF('SJCPIL-R 14-008-06 - Máq. 3'!$D$3:$Z$3='RESUMO DIÁRIO'!AF$3,'SJCPIL-R 14-008-06 - Máq. 3'!$D14:$Z14))+SUM(IF('SJCPIL-R 14-008-06 - Máq. 1'!$D$3:$Z$3='RESUMO DIÁRIO'!AF$3,'SJCPIL-R 14-008-06 - Máq. 1'!$D14:$Z14))+SUM(IF('SJCPIL-R 14-008-06 - Máq. 2'!$D$3:$Z$3='RESUMO DIÁRIO'!AF$3,'SJCPIL-R 14-008-06 - Máq. 2'!$D14:$Z14))</f>
        <v>0</v>
      </c>
      <c r="AG14" s="30"/>
      <c r="AH14" s="30">
        <f t="array" ref="AH14">SUM(IF('SJCPIL-R 14-008-06 - Máq. 3'!$D$3:$Z$3='RESUMO DIÁRIO'!AH$3,'SJCPIL-R 14-008-06 - Máq. 3'!$D14:$Z14))+SUM(IF('SJCPIL-R 14-008-06 - Máq. 1'!$D$3:$Z$3='RESUMO DIÁRIO'!AH$3,'SJCPIL-R 14-008-06 - Máq. 1'!$D14:$Z14))+SUM(IF('SJCPIL-R 14-008-06 - Máq. 2'!$D$3:$Z$3='RESUMO DIÁRIO'!AH$3,'SJCPIL-R 14-008-06 - Máq. 2'!$D14:$Z14))</f>
        <v>0</v>
      </c>
      <c r="AI14" s="30">
        <f t="array" ref="AI14">SUM(IF('SJCPIL-R 14-008-06 - Máq. 3'!$D$3:$Z$3='RESUMO DIÁRIO'!AI$3,'SJCPIL-R 14-008-06 - Máq. 3'!$D14:$Z14))+SUM(IF('SJCPIL-R 14-008-06 - Máq. 1'!$D$3:$Z$3='RESUMO DIÁRIO'!AI$3,'SJCPIL-R 14-008-06 - Máq. 1'!$D14:$Z14))+SUM(IF('SJCPIL-R 14-008-06 - Máq. 2'!$D$3:$Z$3='RESUMO DIÁRIO'!AI$3,'SJCPIL-R 14-008-06 - Máq. 2'!$D14:$Z14))</f>
        <v>0</v>
      </c>
      <c r="AJ14" s="31">
        <f t="shared" si="1"/>
        <v>0</v>
      </c>
      <c r="AL14" s="79">
        <v>10</v>
      </c>
      <c r="AM14" s="17" t="s">
        <v>25</v>
      </c>
      <c r="AN14" s="80">
        <f>'SJCPIL-R 14-008-06 - Máq. 1'!$AA15</f>
        <v>0</v>
      </c>
      <c r="AO14" s="80">
        <f>'SJCPIL-R 14-008-06 - Máq. 2'!$AA15</f>
        <v>0</v>
      </c>
      <c r="AP14" s="80">
        <f>'SJCPIL-R 14-008-06 - Máq. 3'!$AA15</f>
        <v>0</v>
      </c>
      <c r="AQ14" s="15">
        <f t="shared" si="0"/>
        <v>0</v>
      </c>
      <c r="AR14" s="15">
        <f t="shared" si="2"/>
        <v>10</v>
      </c>
      <c r="AS14" s="15">
        <f t="shared" si="3"/>
        <v>3</v>
      </c>
      <c r="AT14" s="15">
        <f t="shared" si="4"/>
        <v>3</v>
      </c>
      <c r="AU14" s="15" t="str">
        <f t="shared" si="5"/>
        <v>Tubo Oval</v>
      </c>
      <c r="AV14" s="17" t="e">
        <f t="shared" si="6"/>
        <v>#DIV/0!</v>
      </c>
      <c r="AW14" s="17" t="e">
        <f t="shared" si="8"/>
        <v>#DIV/0!</v>
      </c>
      <c r="AX14" s="17" t="e">
        <f t="shared" si="7"/>
        <v>#DIV/0!</v>
      </c>
      <c r="AY14" s="38"/>
    </row>
    <row r="15" spans="1:51" s="16" customFormat="1" ht="20.100000000000001" customHeight="1">
      <c r="A15" s="130"/>
      <c r="B15" s="133"/>
      <c r="C15" s="18" t="s">
        <v>25</v>
      </c>
      <c r="D15" s="30">
        <f t="array" ref="D15">SUM(IF('SJCPIL-R 14-008-06 - Máq. 3'!$D$3:$Z$3='RESUMO DIÁRIO'!D$3,'SJCPIL-R 14-008-06 - Máq. 3'!$D15:$Z15))+SUM(IF('SJCPIL-R 14-008-06 - Máq. 1'!$D$3:$Z$3='RESUMO DIÁRIO'!D$3,'SJCPIL-R 14-008-06 - Máq. 1'!$D15:$Z15))+SUM(IF('SJCPIL-R 14-008-06 - Máq. 2'!$D$3:$Z$3='RESUMO DIÁRIO'!D$3,'SJCPIL-R 14-008-06 - Máq. 2'!$D15:$Z15))</f>
        <v>0</v>
      </c>
      <c r="E15" s="30">
        <f t="array" ref="E15">SUM(IF('SJCPIL-R 14-008-06 - Máq. 3'!$D$3:$Z$3='RESUMO DIÁRIO'!E$3,'SJCPIL-R 14-008-06 - Máq. 3'!$D15:$Z15))+SUM(IF('SJCPIL-R 14-008-06 - Máq. 1'!$D$3:$Z$3='RESUMO DIÁRIO'!E$3,'SJCPIL-R 14-008-06 - Máq. 1'!$D15:$Z15))+SUM(IF('SJCPIL-R 14-008-06 - Máq. 2'!$D$3:$Z$3='RESUMO DIÁRIO'!E$3,'SJCPIL-R 14-008-06 - Máq. 2'!$D15:$Z15))</f>
        <v>0</v>
      </c>
      <c r="F15" s="30">
        <f t="array" ref="F15">SUM(IF('SJCPIL-R 14-008-06 - Máq. 3'!$D$3:$Z$3='RESUMO DIÁRIO'!F$3,'SJCPIL-R 14-008-06 - Máq. 3'!$D15:$Z15))+SUM(IF('SJCPIL-R 14-008-06 - Máq. 1'!$D$3:$Z$3='RESUMO DIÁRIO'!F$3,'SJCPIL-R 14-008-06 - Máq. 1'!$D15:$Z15))+SUM(IF('SJCPIL-R 14-008-06 - Máq. 2'!$D$3:$Z$3='RESUMO DIÁRIO'!F$3,'SJCPIL-R 14-008-06 - Máq. 2'!$D15:$Z15))</f>
        <v>0</v>
      </c>
      <c r="G15" s="30">
        <f t="array" ref="G15">SUM(IF('SJCPIL-R 14-008-06 - Máq. 3'!$D$3:$Z$3='RESUMO DIÁRIO'!G$3,'SJCPIL-R 14-008-06 - Máq. 3'!$D15:$Z15))+SUM(IF('SJCPIL-R 14-008-06 - Máq. 1'!$D$3:$Z$3='RESUMO DIÁRIO'!G$3,'SJCPIL-R 14-008-06 - Máq. 1'!$D15:$Z15))+SUM(IF('SJCPIL-R 14-008-06 - Máq. 2'!$D$3:$Z$3='RESUMO DIÁRIO'!G$3,'SJCPIL-R 14-008-06 - Máq. 2'!$D15:$Z15))</f>
        <v>0</v>
      </c>
      <c r="H15" s="30">
        <f t="array" ref="H15">SUM(IF('SJCPIL-R 14-008-06 - Máq. 3'!$D$3:$Z$3='RESUMO DIÁRIO'!H$3,'SJCPIL-R 14-008-06 - Máq. 3'!$D15:$Z15))+SUM(IF('SJCPIL-R 14-008-06 - Máq. 1'!$D$3:$Z$3='RESUMO DIÁRIO'!H$3,'SJCPIL-R 14-008-06 - Máq. 1'!$D15:$Z15))+SUM(IF('SJCPIL-R 14-008-06 - Máq. 2'!$D$3:$Z$3='RESUMO DIÁRIO'!H$3,'SJCPIL-R 14-008-06 - Máq. 2'!$D15:$Z15))</f>
        <v>0</v>
      </c>
      <c r="I15" s="30">
        <f t="array" ref="I15">SUM(IF('SJCPIL-R 14-008-06 - Máq. 3'!$D$3:$Z$3='RESUMO DIÁRIO'!I$3,'SJCPIL-R 14-008-06 - Máq. 3'!$D15:$Z15))+SUM(IF('SJCPIL-R 14-008-06 - Máq. 1'!$D$3:$Z$3='RESUMO DIÁRIO'!I$3,'SJCPIL-R 14-008-06 - Máq. 1'!$D15:$Z15))+SUM(IF('SJCPIL-R 14-008-06 - Máq. 2'!$D$3:$Z$3='RESUMO DIÁRIO'!I$3,'SJCPIL-R 14-008-06 - Máq. 2'!$D15:$Z15))</f>
        <v>0</v>
      </c>
      <c r="J15" s="30">
        <f t="array" ref="J15">SUM(IF('SJCPIL-R 14-008-06 - Máq. 3'!$D$3:$Z$3='RESUMO DIÁRIO'!J$3,'SJCPIL-R 14-008-06 - Máq. 3'!$D15:$Z15))+SUM(IF('SJCPIL-R 14-008-06 - Máq. 1'!$D$3:$Z$3='RESUMO DIÁRIO'!J$3,'SJCPIL-R 14-008-06 - Máq. 1'!$D15:$Z15))+SUM(IF('SJCPIL-R 14-008-06 - Máq. 2'!$D$3:$Z$3='RESUMO DIÁRIO'!J$3,'SJCPIL-R 14-008-06 - Máq. 2'!$D15:$Z15))</f>
        <v>0</v>
      </c>
      <c r="K15" s="30">
        <f t="array" ref="K15">SUM(IF('SJCPIL-R 14-008-06 - Máq. 3'!$D$3:$Z$3='RESUMO DIÁRIO'!K$3,'SJCPIL-R 14-008-06 - Máq. 3'!$D15:$Z15))+SUM(IF('SJCPIL-R 14-008-06 - Máq. 1'!$D$3:$Z$3='RESUMO DIÁRIO'!K$3,'SJCPIL-R 14-008-06 - Máq. 1'!$D15:$Z15))+SUM(IF('SJCPIL-R 14-008-06 - Máq. 2'!$D$3:$Z$3='RESUMO DIÁRIO'!K$3,'SJCPIL-R 14-008-06 - Máq. 2'!$D15:$Z15))</f>
        <v>0</v>
      </c>
      <c r="L15" s="30">
        <f t="array" ref="L15">SUM(IF('SJCPIL-R 14-008-06 - Máq. 3'!$D$3:$Z$3='RESUMO DIÁRIO'!L$3,'SJCPIL-R 14-008-06 - Máq. 3'!$D15:$Z15))+SUM(IF('SJCPIL-R 14-008-06 - Máq. 1'!$D$3:$Z$3='RESUMO DIÁRIO'!L$3,'SJCPIL-R 14-008-06 - Máq. 1'!$D15:$Z15))+SUM(IF('SJCPIL-R 14-008-06 - Máq. 2'!$D$3:$Z$3='RESUMO DIÁRIO'!L$3,'SJCPIL-R 14-008-06 - Máq. 2'!$D15:$Z15))</f>
        <v>0</v>
      </c>
      <c r="M15" s="30">
        <f t="array" ref="M15">SUM(IF('SJCPIL-R 14-008-06 - Máq. 3'!$D$3:$Z$3='RESUMO DIÁRIO'!M$3,'SJCPIL-R 14-008-06 - Máq. 3'!$D15:$Z15))+SUM(IF('SJCPIL-R 14-008-06 - Máq. 1'!$D$3:$Z$3='RESUMO DIÁRIO'!M$3,'SJCPIL-R 14-008-06 - Máq. 1'!$D15:$Z15))+SUM(IF('SJCPIL-R 14-008-06 - Máq. 2'!$D$3:$Z$3='RESUMO DIÁRIO'!M$3,'SJCPIL-R 14-008-06 - Máq. 2'!$D15:$Z15))</f>
        <v>0</v>
      </c>
      <c r="N15" s="30">
        <f t="array" ref="N15">SUM(IF('SJCPIL-R 14-008-06 - Máq. 3'!$D$3:$Z$3='RESUMO DIÁRIO'!N$3,'SJCPIL-R 14-008-06 - Máq. 3'!$D15:$Z15))+SUM(IF('SJCPIL-R 14-008-06 - Máq. 1'!$D$3:$Z$3='RESUMO DIÁRIO'!N$3,'SJCPIL-R 14-008-06 - Máq. 1'!$D15:$Z15))+SUM(IF('SJCPIL-R 14-008-06 - Máq. 2'!$D$3:$Z$3='RESUMO DIÁRIO'!N$3,'SJCPIL-R 14-008-06 - Máq. 2'!$D15:$Z15))</f>
        <v>0</v>
      </c>
      <c r="O15" s="30">
        <f t="array" ref="O15">SUM(IF('SJCPIL-R 14-008-06 - Máq. 3'!$D$3:$Z$3='RESUMO DIÁRIO'!O$3,'SJCPIL-R 14-008-06 - Máq. 3'!$D15:$Z15))+SUM(IF('SJCPIL-R 14-008-06 - Máq. 1'!$D$3:$Z$3='RESUMO DIÁRIO'!O$3,'SJCPIL-R 14-008-06 - Máq. 1'!$D15:$Z15))+SUM(IF('SJCPIL-R 14-008-06 - Máq. 2'!$D$3:$Z$3='RESUMO DIÁRIO'!O$3,'SJCPIL-R 14-008-06 - Máq. 2'!$D15:$Z15))</f>
        <v>0</v>
      </c>
      <c r="P15" s="30">
        <f t="array" ref="P15">SUM(IF('SJCPIL-R 14-008-06 - Máq. 3'!$D$3:$Z$3='RESUMO DIÁRIO'!P$3,'SJCPIL-R 14-008-06 - Máq. 3'!$D15:$Z15))+SUM(IF('SJCPIL-R 14-008-06 - Máq. 1'!$D$3:$Z$3='RESUMO DIÁRIO'!P$3,'SJCPIL-R 14-008-06 - Máq. 1'!$D15:$Z15))+SUM(IF('SJCPIL-R 14-008-06 - Máq. 2'!$D$3:$Z$3='RESUMO DIÁRIO'!P$3,'SJCPIL-R 14-008-06 - Máq. 2'!$D15:$Z15))</f>
        <v>0</v>
      </c>
      <c r="Q15" s="30">
        <f t="array" ref="Q15">SUM(IF('SJCPIL-R 14-008-06 - Máq. 3'!$D$3:$Z$3='RESUMO DIÁRIO'!Q$3,'SJCPIL-R 14-008-06 - Máq. 3'!$D15:$Z15))+SUM(IF('SJCPIL-R 14-008-06 - Máq. 1'!$D$3:$Z$3='RESUMO DIÁRIO'!Q$3,'SJCPIL-R 14-008-06 - Máq. 1'!$D15:$Z15))+SUM(IF('SJCPIL-R 14-008-06 - Máq. 2'!$D$3:$Z$3='RESUMO DIÁRIO'!Q$3,'SJCPIL-R 14-008-06 - Máq. 2'!$D15:$Z15))</f>
        <v>0</v>
      </c>
      <c r="R15" s="30">
        <f t="array" ref="R15">SUM(IF('SJCPIL-R 14-008-06 - Máq. 3'!$D$3:$Z$3='RESUMO DIÁRIO'!R$3,'SJCPIL-R 14-008-06 - Máq. 3'!$D15:$Z15))+SUM(IF('SJCPIL-R 14-008-06 - Máq. 1'!$D$3:$Z$3='RESUMO DIÁRIO'!R$3,'SJCPIL-R 14-008-06 - Máq. 1'!$D15:$Z15))+SUM(IF('SJCPIL-R 14-008-06 - Máq. 2'!$D$3:$Z$3='RESUMO DIÁRIO'!R$3,'SJCPIL-R 14-008-06 - Máq. 2'!$D15:$Z15))</f>
        <v>0</v>
      </c>
      <c r="S15" s="30">
        <f t="array" ref="S15">SUM(IF('SJCPIL-R 14-008-06 - Máq. 3'!$D$3:$Z$3='RESUMO DIÁRIO'!S$3,'SJCPIL-R 14-008-06 - Máq. 3'!$D15:$Z15))+SUM(IF('SJCPIL-R 14-008-06 - Máq. 1'!$D$3:$Z$3='RESUMO DIÁRIO'!S$3,'SJCPIL-R 14-008-06 - Máq. 1'!$D15:$Z15))+SUM(IF('SJCPIL-R 14-008-06 - Máq. 2'!$D$3:$Z$3='RESUMO DIÁRIO'!S$3,'SJCPIL-R 14-008-06 - Máq. 2'!$D15:$Z15))</f>
        <v>0</v>
      </c>
      <c r="T15" s="30">
        <f t="array" ref="T15">SUM(IF('SJCPIL-R 14-008-06 - Máq. 3'!$D$3:$Z$3='RESUMO DIÁRIO'!T$3,'SJCPIL-R 14-008-06 - Máq. 3'!$D15:$Z15))+SUM(IF('SJCPIL-R 14-008-06 - Máq. 1'!$D$3:$Z$3='RESUMO DIÁRIO'!T$3,'SJCPIL-R 14-008-06 - Máq. 1'!$D15:$Z15))+SUM(IF('SJCPIL-R 14-008-06 - Máq. 2'!$D$3:$Z$3='RESUMO DIÁRIO'!T$3,'SJCPIL-R 14-008-06 - Máq. 2'!$D15:$Z15))</f>
        <v>0</v>
      </c>
      <c r="U15" s="30">
        <f t="array" ref="U15">SUM(IF('SJCPIL-R 14-008-06 - Máq. 3'!$D$3:$Z$3='RESUMO DIÁRIO'!U$3,'SJCPIL-R 14-008-06 - Máq. 3'!$D15:$Z15))+SUM(IF('SJCPIL-R 14-008-06 - Máq. 1'!$D$3:$Z$3='RESUMO DIÁRIO'!U$3,'SJCPIL-R 14-008-06 - Máq. 1'!$D15:$Z15))+SUM(IF('SJCPIL-R 14-008-06 - Máq. 2'!$D$3:$Z$3='RESUMO DIÁRIO'!U$3,'SJCPIL-R 14-008-06 - Máq. 2'!$D15:$Z15))</f>
        <v>0</v>
      </c>
      <c r="V15" s="30">
        <f t="array" ref="V15">SUM(IF('SJCPIL-R 14-008-06 - Máq. 3'!$D$3:$Z$3='RESUMO DIÁRIO'!V$3,'SJCPIL-R 14-008-06 - Máq. 3'!$D15:$Z15))+SUM(IF('SJCPIL-R 14-008-06 - Máq. 1'!$D$3:$Z$3='RESUMO DIÁRIO'!V$3,'SJCPIL-R 14-008-06 - Máq. 1'!$D15:$Z15))+SUM(IF('SJCPIL-R 14-008-06 - Máq. 2'!$D$3:$Z$3='RESUMO DIÁRIO'!V$3,'SJCPIL-R 14-008-06 - Máq. 2'!$D15:$Z15))</f>
        <v>0</v>
      </c>
      <c r="W15" s="30">
        <f t="array" ref="W15">SUM(IF('SJCPIL-R 14-008-06 - Máq. 3'!$D$3:$Z$3='RESUMO DIÁRIO'!W$3,'SJCPIL-R 14-008-06 - Máq. 3'!$D15:$Z15))+SUM(IF('SJCPIL-R 14-008-06 - Máq. 1'!$D$3:$Z$3='RESUMO DIÁRIO'!W$3,'SJCPIL-R 14-008-06 - Máq. 1'!$D15:$Z15))+SUM(IF('SJCPIL-R 14-008-06 - Máq. 2'!$D$3:$Z$3='RESUMO DIÁRIO'!W$3,'SJCPIL-R 14-008-06 - Máq. 2'!$D15:$Z15))</f>
        <v>0</v>
      </c>
      <c r="X15" s="30">
        <f t="array" ref="X15">SUM(IF('SJCPIL-R 14-008-06 - Máq. 3'!$D$3:$Z$3='RESUMO DIÁRIO'!X$3,'SJCPIL-R 14-008-06 - Máq. 3'!$D15:$Z15))+SUM(IF('SJCPIL-R 14-008-06 - Máq. 1'!$D$3:$Z$3='RESUMO DIÁRIO'!X$3,'SJCPIL-R 14-008-06 - Máq. 1'!$D15:$Z15))+SUM(IF('SJCPIL-R 14-008-06 - Máq. 2'!$D$3:$Z$3='RESUMO DIÁRIO'!X$3,'SJCPIL-R 14-008-06 - Máq. 2'!$D15:$Z15))</f>
        <v>0</v>
      </c>
      <c r="Y15" s="30">
        <f t="array" ref="Y15">SUM(IF('SJCPIL-R 14-008-06 - Máq. 3'!$D$3:$Z$3='RESUMO DIÁRIO'!Y$3,'SJCPIL-R 14-008-06 - Máq. 3'!$D15:$Z15))+SUM(IF('SJCPIL-R 14-008-06 - Máq. 1'!$D$3:$Z$3='RESUMO DIÁRIO'!Y$3,'SJCPIL-R 14-008-06 - Máq. 1'!$D15:$Z15))+SUM(IF('SJCPIL-R 14-008-06 - Máq. 2'!$D$3:$Z$3='RESUMO DIÁRIO'!Y$3,'SJCPIL-R 14-008-06 - Máq. 2'!$D15:$Z15))</f>
        <v>0</v>
      </c>
      <c r="Z15" s="30">
        <f t="array" ref="Z15">SUM(IF('SJCPIL-R 14-008-06 - Máq. 3'!$D$3:$Z$3='RESUMO DIÁRIO'!Z$3,'SJCPIL-R 14-008-06 - Máq. 3'!$D15:$Z15))+SUM(IF('SJCPIL-R 14-008-06 - Máq. 1'!$D$3:$Z$3='RESUMO DIÁRIO'!Z$3,'SJCPIL-R 14-008-06 - Máq. 1'!$D15:$Z15))+SUM(IF('SJCPIL-R 14-008-06 - Máq. 2'!$D$3:$Z$3='RESUMO DIÁRIO'!Z$3,'SJCPIL-R 14-008-06 - Máq. 2'!$D15:$Z15))</f>
        <v>0</v>
      </c>
      <c r="AA15" s="30">
        <f t="array" ref="AA15">SUM(IF('SJCPIL-R 14-008-06 - Máq. 3'!$D$3:$Z$3='RESUMO DIÁRIO'!AA$3,'SJCPIL-R 14-008-06 - Máq. 3'!$D15:$Z15))+SUM(IF('SJCPIL-R 14-008-06 - Máq. 1'!$D$3:$Z$3='RESUMO DIÁRIO'!AA$3,'SJCPIL-R 14-008-06 - Máq. 1'!$D15:$Z15))+SUM(IF('SJCPIL-R 14-008-06 - Máq. 2'!$D$3:$Z$3='RESUMO DIÁRIO'!AA$3,'SJCPIL-R 14-008-06 - Máq. 2'!$D15:$Z15))</f>
        <v>0</v>
      </c>
      <c r="AB15" s="30">
        <f t="array" ref="AB15">SUM(IF('SJCPIL-R 14-008-06 - Máq. 3'!$D$3:$Z$3='RESUMO DIÁRIO'!AB$3,'SJCPIL-R 14-008-06 - Máq. 3'!$D15:$Z15))+SUM(IF('SJCPIL-R 14-008-06 - Máq. 1'!$D$3:$Z$3='RESUMO DIÁRIO'!AB$3,'SJCPIL-R 14-008-06 - Máq. 1'!$D15:$Z15))+SUM(IF('SJCPIL-R 14-008-06 - Máq. 2'!$D$3:$Z$3='RESUMO DIÁRIO'!AB$3,'SJCPIL-R 14-008-06 - Máq. 2'!$D15:$Z15))</f>
        <v>0</v>
      </c>
      <c r="AC15" s="30">
        <f t="array" ref="AC15">SUM(IF('SJCPIL-R 14-008-06 - Máq. 3'!$D$3:$Z$3='RESUMO DIÁRIO'!AC$3,'SJCPIL-R 14-008-06 - Máq. 3'!$D15:$Z15))+SUM(IF('SJCPIL-R 14-008-06 - Máq. 1'!$D$3:$Z$3='RESUMO DIÁRIO'!AC$3,'SJCPIL-R 14-008-06 - Máq. 1'!$D15:$Z15))+SUM(IF('SJCPIL-R 14-008-06 - Máq. 2'!$D$3:$Z$3='RESUMO DIÁRIO'!AC$3,'SJCPIL-R 14-008-06 - Máq. 2'!$D15:$Z15))</f>
        <v>0</v>
      </c>
      <c r="AD15" s="30">
        <f t="array" ref="AD15">SUM(IF('SJCPIL-R 14-008-06 - Máq. 3'!$D$3:$Z$3='RESUMO DIÁRIO'!AD$3,'SJCPIL-R 14-008-06 - Máq. 3'!$D15:$Z15))+SUM(IF('SJCPIL-R 14-008-06 - Máq. 1'!$D$3:$Z$3='RESUMO DIÁRIO'!AD$3,'SJCPIL-R 14-008-06 - Máq. 1'!$D15:$Z15))+SUM(IF('SJCPIL-R 14-008-06 - Máq. 2'!$D$3:$Z$3='RESUMO DIÁRIO'!AD$3,'SJCPIL-R 14-008-06 - Máq. 2'!$D15:$Z15))</f>
        <v>0</v>
      </c>
      <c r="AE15" s="30">
        <f t="array" ref="AE15">SUM(IF('SJCPIL-R 14-008-06 - Máq. 3'!$D$3:$Z$3='RESUMO DIÁRIO'!AE$3,'SJCPIL-R 14-008-06 - Máq. 3'!$D15:$Z15))+SUM(IF('SJCPIL-R 14-008-06 - Máq. 1'!$D$3:$Z$3='RESUMO DIÁRIO'!AE$3,'SJCPIL-R 14-008-06 - Máq. 1'!$D15:$Z15))+SUM(IF('SJCPIL-R 14-008-06 - Máq. 2'!$D$3:$Z$3='RESUMO DIÁRIO'!AE$3,'SJCPIL-R 14-008-06 - Máq. 2'!$D15:$Z15))</f>
        <v>0</v>
      </c>
      <c r="AF15" s="30">
        <f t="array" ref="AF15">SUM(IF('SJCPIL-R 14-008-06 - Máq. 3'!$D$3:$Z$3='RESUMO DIÁRIO'!AF$3,'SJCPIL-R 14-008-06 - Máq. 3'!$D15:$Z15))+SUM(IF('SJCPIL-R 14-008-06 - Máq. 1'!$D$3:$Z$3='RESUMO DIÁRIO'!AF$3,'SJCPIL-R 14-008-06 - Máq. 1'!$D15:$Z15))+SUM(IF('SJCPIL-R 14-008-06 - Máq. 2'!$D$3:$Z$3='RESUMO DIÁRIO'!AF$3,'SJCPIL-R 14-008-06 - Máq. 2'!$D15:$Z15))</f>
        <v>0</v>
      </c>
      <c r="AG15" s="30"/>
      <c r="AH15" s="30">
        <f t="array" ref="AH15">SUM(IF('SJCPIL-R 14-008-06 - Máq. 3'!$D$3:$Z$3='RESUMO DIÁRIO'!AH$3,'SJCPIL-R 14-008-06 - Máq. 3'!$D15:$Z15))+SUM(IF('SJCPIL-R 14-008-06 - Máq. 1'!$D$3:$Z$3='RESUMO DIÁRIO'!AH$3,'SJCPIL-R 14-008-06 - Máq. 1'!$D15:$Z15))+SUM(IF('SJCPIL-R 14-008-06 - Máq. 2'!$D$3:$Z$3='RESUMO DIÁRIO'!AH$3,'SJCPIL-R 14-008-06 - Máq. 2'!$D15:$Z15))</f>
        <v>0</v>
      </c>
      <c r="AI15" s="30">
        <f t="array" ref="AI15">SUM(IF('SJCPIL-R 14-008-06 - Máq. 3'!$D$3:$Z$3='RESUMO DIÁRIO'!AI$3,'SJCPIL-R 14-008-06 - Máq. 3'!$D15:$Z15))+SUM(IF('SJCPIL-R 14-008-06 - Máq. 1'!$D$3:$Z$3='RESUMO DIÁRIO'!AI$3,'SJCPIL-R 14-008-06 - Máq. 1'!$D15:$Z15))+SUM(IF('SJCPIL-R 14-008-06 - Máq. 2'!$D$3:$Z$3='RESUMO DIÁRIO'!AI$3,'SJCPIL-R 14-008-06 - Máq. 2'!$D15:$Z15))</f>
        <v>0</v>
      </c>
      <c r="AJ15" s="31">
        <f t="shared" si="1"/>
        <v>0</v>
      </c>
      <c r="AL15" s="79">
        <v>11</v>
      </c>
      <c r="AM15" s="17" t="s">
        <v>6</v>
      </c>
      <c r="AN15" s="80">
        <f>'SJCPIL-R 14-008-06 - Máq. 1'!$AA17</f>
        <v>0</v>
      </c>
      <c r="AO15" s="80">
        <f>'SJCPIL-R 14-008-06 - Máq. 2'!$AA17</f>
        <v>0</v>
      </c>
      <c r="AP15" s="80">
        <f>'SJCPIL-R 14-008-06 - Máq. 3'!$AA17</f>
        <v>0</v>
      </c>
      <c r="AQ15" s="15">
        <f t="shared" si="0"/>
        <v>0</v>
      </c>
      <c r="AR15" s="15">
        <f t="shared" si="2"/>
        <v>11</v>
      </c>
      <c r="AS15" s="15">
        <f t="shared" si="3"/>
        <v>2</v>
      </c>
      <c r="AT15" s="15">
        <f t="shared" si="4"/>
        <v>2</v>
      </c>
      <c r="AU15" s="15" t="str">
        <f t="shared" si="5"/>
        <v>Chapa Manchada</v>
      </c>
      <c r="AV15" s="17" t="e">
        <f t="shared" si="6"/>
        <v>#DIV/0!</v>
      </c>
      <c r="AW15" s="17" t="e">
        <f t="shared" si="8"/>
        <v>#DIV/0!</v>
      </c>
      <c r="AX15" s="17" t="e">
        <f t="shared" si="7"/>
        <v>#DIV/0!</v>
      </c>
      <c r="AY15" s="38"/>
    </row>
    <row r="16" spans="1:51" s="16" customFormat="1" ht="20.100000000000001" customHeight="1" thickBot="1">
      <c r="A16" s="130"/>
      <c r="B16" s="133"/>
      <c r="C16" s="34" t="s">
        <v>26</v>
      </c>
      <c r="D16" s="3">
        <f>SUM(D6:D15)</f>
        <v>0</v>
      </c>
      <c r="E16" s="3">
        <f t="shared" ref="E16:AB16" si="9">SUM(E6:E15)</f>
        <v>0</v>
      </c>
      <c r="F16" s="3">
        <f t="shared" si="9"/>
        <v>0</v>
      </c>
      <c r="G16" s="3">
        <f t="shared" si="9"/>
        <v>0</v>
      </c>
      <c r="H16" s="3">
        <f t="shared" si="9"/>
        <v>0</v>
      </c>
      <c r="I16" s="3">
        <f t="shared" si="9"/>
        <v>0</v>
      </c>
      <c r="J16" s="3">
        <f t="shared" si="9"/>
        <v>0</v>
      </c>
      <c r="K16" s="3">
        <f t="shared" si="9"/>
        <v>0</v>
      </c>
      <c r="L16" s="3">
        <f t="shared" si="9"/>
        <v>0</v>
      </c>
      <c r="M16" s="3">
        <f t="shared" si="9"/>
        <v>0</v>
      </c>
      <c r="N16" s="3">
        <f t="shared" si="9"/>
        <v>0</v>
      </c>
      <c r="O16" s="3">
        <f t="shared" si="9"/>
        <v>0</v>
      </c>
      <c r="P16" s="3">
        <f t="shared" si="9"/>
        <v>0</v>
      </c>
      <c r="Q16" s="3">
        <f t="shared" si="9"/>
        <v>0</v>
      </c>
      <c r="R16" s="3">
        <f t="shared" si="9"/>
        <v>0</v>
      </c>
      <c r="S16" s="3">
        <f t="shared" si="9"/>
        <v>0</v>
      </c>
      <c r="T16" s="3">
        <f t="shared" si="9"/>
        <v>0</v>
      </c>
      <c r="U16" s="3">
        <f t="shared" si="9"/>
        <v>0</v>
      </c>
      <c r="V16" s="3">
        <f t="shared" si="9"/>
        <v>0</v>
      </c>
      <c r="W16" s="3">
        <f t="shared" si="9"/>
        <v>0</v>
      </c>
      <c r="X16" s="3">
        <f t="shared" si="9"/>
        <v>0</v>
      </c>
      <c r="Y16" s="3">
        <f t="shared" si="9"/>
        <v>0</v>
      </c>
      <c r="Z16" s="3">
        <f t="shared" si="9"/>
        <v>0</v>
      </c>
      <c r="AA16" s="3">
        <f t="shared" si="9"/>
        <v>0</v>
      </c>
      <c r="AB16" s="3">
        <f t="shared" si="9"/>
        <v>0</v>
      </c>
      <c r="AC16" s="3">
        <f t="shared" ref="AC16:AI16" si="10">SUM(AC6:AC15)</f>
        <v>0</v>
      </c>
      <c r="AD16" s="3">
        <f t="shared" si="10"/>
        <v>0</v>
      </c>
      <c r="AE16" s="3">
        <f t="shared" si="10"/>
        <v>0</v>
      </c>
      <c r="AF16" s="3">
        <f t="shared" si="10"/>
        <v>0</v>
      </c>
      <c r="AG16" s="3"/>
      <c r="AH16" s="3">
        <f t="shared" si="10"/>
        <v>0</v>
      </c>
      <c r="AI16" s="3">
        <f t="shared" si="10"/>
        <v>0</v>
      </c>
      <c r="AJ16" s="5">
        <f t="shared" si="1"/>
        <v>0</v>
      </c>
      <c r="AL16" s="79">
        <v>12</v>
      </c>
      <c r="AM16" s="17" t="s">
        <v>7</v>
      </c>
      <c r="AN16" s="80">
        <f>'SJCPIL-R 14-008-06 - Máq. 1'!$AA18</f>
        <v>0</v>
      </c>
      <c r="AO16" s="80">
        <f>'SJCPIL-R 14-008-06 - Máq. 2'!$AA18</f>
        <v>0</v>
      </c>
      <c r="AP16" s="80">
        <f>'SJCPIL-R 14-008-06 - Máq. 3'!$AA18</f>
        <v>0</v>
      </c>
      <c r="AQ16" s="15">
        <f t="shared" si="0"/>
        <v>0</v>
      </c>
      <c r="AR16" s="15">
        <f t="shared" si="2"/>
        <v>12</v>
      </c>
      <c r="AS16" s="15">
        <f t="shared" si="3"/>
        <v>1</v>
      </c>
      <c r="AT16" s="15">
        <f t="shared" si="4"/>
        <v>1</v>
      </c>
      <c r="AU16" s="15" t="str">
        <f t="shared" si="5"/>
        <v>Chapa Riscada</v>
      </c>
      <c r="AV16" s="17" t="e">
        <f t="shared" si="6"/>
        <v>#DIV/0!</v>
      </c>
      <c r="AW16" s="17" t="e">
        <f t="shared" si="8"/>
        <v>#DIV/0!</v>
      </c>
      <c r="AX16" s="17" t="e">
        <f t="shared" si="7"/>
        <v>#DIV/0!</v>
      </c>
      <c r="AY16" s="38"/>
    </row>
    <row r="17" spans="1:51" s="16" customFormat="1" ht="20.100000000000001" customHeight="1">
      <c r="A17" s="120" t="s">
        <v>6</v>
      </c>
      <c r="B17" s="121"/>
      <c r="C17" s="122"/>
      <c r="D17" s="1">
        <f t="array" ref="D17">SUM(IF('SJCPIL-R 14-008-06 - Máq. 3'!$D$3:$Z$3='RESUMO DIÁRIO'!D$3,'SJCPIL-R 14-008-06 - Máq. 3'!$D17:$Z17))+SUM(IF('SJCPIL-R 14-008-06 - Máq. 1'!$D$3:$Z$3='RESUMO DIÁRIO'!D$3,'SJCPIL-R 14-008-06 - Máq. 1'!$D17:$Z17))+SUM(IF('SJCPIL-R 14-008-06 - Máq. 2'!$D$3:$Z$3='RESUMO DIÁRIO'!D$3,'SJCPIL-R 14-008-06 - Máq. 2'!$D17:$Z17))</f>
        <v>0</v>
      </c>
      <c r="E17" s="1">
        <f t="array" ref="E17">SUM(IF('SJCPIL-R 14-008-06 - Máq. 3'!$D$3:$Z$3='RESUMO DIÁRIO'!E$3,'SJCPIL-R 14-008-06 - Máq. 3'!$D17:$Z17))+SUM(IF('SJCPIL-R 14-008-06 - Máq. 1'!$D$3:$Z$3='RESUMO DIÁRIO'!E$3,'SJCPIL-R 14-008-06 - Máq. 1'!$D17:$Z17))+SUM(IF('SJCPIL-R 14-008-06 - Máq. 2'!$D$3:$Z$3='RESUMO DIÁRIO'!E$3,'SJCPIL-R 14-008-06 - Máq. 2'!$D17:$Z17))</f>
        <v>0</v>
      </c>
      <c r="F17" s="1">
        <f t="array" ref="F17">SUM(IF('SJCPIL-R 14-008-06 - Máq. 3'!$D$3:$Z$3='RESUMO DIÁRIO'!F$3,'SJCPIL-R 14-008-06 - Máq. 3'!$D17:$Z17))+SUM(IF('SJCPIL-R 14-008-06 - Máq. 1'!$D$3:$Z$3='RESUMO DIÁRIO'!F$3,'SJCPIL-R 14-008-06 - Máq. 1'!$D17:$Z17))+SUM(IF('SJCPIL-R 14-008-06 - Máq. 2'!$D$3:$Z$3='RESUMO DIÁRIO'!F$3,'SJCPIL-R 14-008-06 - Máq. 2'!$D17:$Z17))</f>
        <v>0</v>
      </c>
      <c r="G17" s="1">
        <f t="array" ref="G17">SUM(IF('SJCPIL-R 14-008-06 - Máq. 3'!$D$3:$Z$3='RESUMO DIÁRIO'!G$3,'SJCPIL-R 14-008-06 - Máq. 3'!$D17:$Z17))+SUM(IF('SJCPIL-R 14-008-06 - Máq. 1'!$D$3:$Z$3='RESUMO DIÁRIO'!G$3,'SJCPIL-R 14-008-06 - Máq. 1'!$D17:$Z17))+SUM(IF('SJCPIL-R 14-008-06 - Máq. 2'!$D$3:$Z$3='RESUMO DIÁRIO'!G$3,'SJCPIL-R 14-008-06 - Máq. 2'!$D17:$Z17))</f>
        <v>0</v>
      </c>
      <c r="H17" s="1">
        <f t="array" ref="H17">SUM(IF('SJCPIL-R 14-008-06 - Máq. 3'!$D$3:$Z$3='RESUMO DIÁRIO'!H$3,'SJCPIL-R 14-008-06 - Máq. 3'!$D17:$Z17))+SUM(IF('SJCPIL-R 14-008-06 - Máq. 1'!$D$3:$Z$3='RESUMO DIÁRIO'!H$3,'SJCPIL-R 14-008-06 - Máq. 1'!$D17:$Z17))+SUM(IF('SJCPIL-R 14-008-06 - Máq. 2'!$D$3:$Z$3='RESUMO DIÁRIO'!H$3,'SJCPIL-R 14-008-06 - Máq. 2'!$D17:$Z17))</f>
        <v>0</v>
      </c>
      <c r="I17" s="1">
        <f t="array" ref="I17">SUM(IF('SJCPIL-R 14-008-06 - Máq. 3'!$D$3:$Z$3='RESUMO DIÁRIO'!I$3,'SJCPIL-R 14-008-06 - Máq. 3'!$D17:$Z17))+SUM(IF('SJCPIL-R 14-008-06 - Máq. 1'!$D$3:$Z$3='RESUMO DIÁRIO'!I$3,'SJCPIL-R 14-008-06 - Máq. 1'!$D17:$Z17))+SUM(IF('SJCPIL-R 14-008-06 - Máq. 2'!$D$3:$Z$3='RESUMO DIÁRIO'!I$3,'SJCPIL-R 14-008-06 - Máq. 2'!$D17:$Z17))</f>
        <v>0</v>
      </c>
      <c r="J17" s="1">
        <f t="array" ref="J17">SUM(IF('SJCPIL-R 14-008-06 - Máq. 3'!$D$3:$Z$3='RESUMO DIÁRIO'!J$3,'SJCPIL-R 14-008-06 - Máq. 3'!$D17:$Z17))+SUM(IF('SJCPIL-R 14-008-06 - Máq. 1'!$D$3:$Z$3='RESUMO DIÁRIO'!J$3,'SJCPIL-R 14-008-06 - Máq. 1'!$D17:$Z17))+SUM(IF('SJCPIL-R 14-008-06 - Máq. 2'!$D$3:$Z$3='RESUMO DIÁRIO'!J$3,'SJCPIL-R 14-008-06 - Máq. 2'!$D17:$Z17))</f>
        <v>0</v>
      </c>
      <c r="K17" s="1">
        <f t="array" ref="K17">SUM(IF('SJCPIL-R 14-008-06 - Máq. 3'!$D$3:$Z$3='RESUMO DIÁRIO'!K$3,'SJCPIL-R 14-008-06 - Máq. 3'!$D17:$Z17))+SUM(IF('SJCPIL-R 14-008-06 - Máq. 1'!$D$3:$Z$3='RESUMO DIÁRIO'!K$3,'SJCPIL-R 14-008-06 - Máq. 1'!$D17:$Z17))+SUM(IF('SJCPIL-R 14-008-06 - Máq. 2'!$D$3:$Z$3='RESUMO DIÁRIO'!K$3,'SJCPIL-R 14-008-06 - Máq. 2'!$D17:$Z17))</f>
        <v>0</v>
      </c>
      <c r="L17" s="1">
        <f t="array" ref="L17">SUM(IF('SJCPIL-R 14-008-06 - Máq. 3'!$D$3:$Z$3='RESUMO DIÁRIO'!L$3,'SJCPIL-R 14-008-06 - Máq. 3'!$D17:$Z17))+SUM(IF('SJCPIL-R 14-008-06 - Máq. 1'!$D$3:$Z$3='RESUMO DIÁRIO'!L$3,'SJCPIL-R 14-008-06 - Máq. 1'!$D17:$Z17))+SUM(IF('SJCPIL-R 14-008-06 - Máq. 2'!$D$3:$Z$3='RESUMO DIÁRIO'!L$3,'SJCPIL-R 14-008-06 - Máq. 2'!$D17:$Z17))</f>
        <v>0</v>
      </c>
      <c r="M17" s="1">
        <f t="array" ref="M17">SUM(IF('SJCPIL-R 14-008-06 - Máq. 3'!$D$3:$Z$3='RESUMO DIÁRIO'!M$3,'SJCPIL-R 14-008-06 - Máq. 3'!$D17:$Z17))+SUM(IF('SJCPIL-R 14-008-06 - Máq. 1'!$D$3:$Z$3='RESUMO DIÁRIO'!M$3,'SJCPIL-R 14-008-06 - Máq. 1'!$D17:$Z17))+SUM(IF('SJCPIL-R 14-008-06 - Máq. 2'!$D$3:$Z$3='RESUMO DIÁRIO'!M$3,'SJCPIL-R 14-008-06 - Máq. 2'!$D17:$Z17))</f>
        <v>0</v>
      </c>
      <c r="N17" s="1">
        <f t="array" ref="N17">SUM(IF('SJCPIL-R 14-008-06 - Máq. 3'!$D$3:$Z$3='RESUMO DIÁRIO'!N$3,'SJCPIL-R 14-008-06 - Máq. 3'!$D17:$Z17))+SUM(IF('SJCPIL-R 14-008-06 - Máq. 1'!$D$3:$Z$3='RESUMO DIÁRIO'!N$3,'SJCPIL-R 14-008-06 - Máq. 1'!$D17:$Z17))+SUM(IF('SJCPIL-R 14-008-06 - Máq. 2'!$D$3:$Z$3='RESUMO DIÁRIO'!N$3,'SJCPIL-R 14-008-06 - Máq. 2'!$D17:$Z17))</f>
        <v>0</v>
      </c>
      <c r="O17" s="1">
        <f t="array" ref="O17">SUM(IF('SJCPIL-R 14-008-06 - Máq. 3'!$D$3:$Z$3='RESUMO DIÁRIO'!O$3,'SJCPIL-R 14-008-06 - Máq. 3'!$D17:$Z17))+SUM(IF('SJCPIL-R 14-008-06 - Máq. 1'!$D$3:$Z$3='RESUMO DIÁRIO'!O$3,'SJCPIL-R 14-008-06 - Máq. 1'!$D17:$Z17))+SUM(IF('SJCPIL-R 14-008-06 - Máq. 2'!$D$3:$Z$3='RESUMO DIÁRIO'!O$3,'SJCPIL-R 14-008-06 - Máq. 2'!$D17:$Z17))</f>
        <v>0</v>
      </c>
      <c r="P17" s="1">
        <f t="array" ref="P17">SUM(IF('SJCPIL-R 14-008-06 - Máq. 3'!$D$3:$Z$3='RESUMO DIÁRIO'!P$3,'SJCPIL-R 14-008-06 - Máq. 3'!$D17:$Z17))+SUM(IF('SJCPIL-R 14-008-06 - Máq. 1'!$D$3:$Z$3='RESUMO DIÁRIO'!P$3,'SJCPIL-R 14-008-06 - Máq. 1'!$D17:$Z17))+SUM(IF('SJCPIL-R 14-008-06 - Máq. 2'!$D$3:$Z$3='RESUMO DIÁRIO'!P$3,'SJCPIL-R 14-008-06 - Máq. 2'!$D17:$Z17))</f>
        <v>0</v>
      </c>
      <c r="Q17" s="1">
        <f t="array" ref="Q17">SUM(IF('SJCPIL-R 14-008-06 - Máq. 3'!$D$3:$Z$3='RESUMO DIÁRIO'!Q$3,'SJCPIL-R 14-008-06 - Máq. 3'!$D17:$Z17))+SUM(IF('SJCPIL-R 14-008-06 - Máq. 1'!$D$3:$Z$3='RESUMO DIÁRIO'!Q$3,'SJCPIL-R 14-008-06 - Máq. 1'!$D17:$Z17))+SUM(IF('SJCPIL-R 14-008-06 - Máq. 2'!$D$3:$Z$3='RESUMO DIÁRIO'!Q$3,'SJCPIL-R 14-008-06 - Máq. 2'!$D17:$Z17))</f>
        <v>0</v>
      </c>
      <c r="R17" s="1">
        <f t="array" ref="R17">SUM(IF('SJCPIL-R 14-008-06 - Máq. 3'!$D$3:$Z$3='RESUMO DIÁRIO'!R$3,'SJCPIL-R 14-008-06 - Máq. 3'!$D17:$Z17))+SUM(IF('SJCPIL-R 14-008-06 - Máq. 1'!$D$3:$Z$3='RESUMO DIÁRIO'!R$3,'SJCPIL-R 14-008-06 - Máq. 1'!$D17:$Z17))+SUM(IF('SJCPIL-R 14-008-06 - Máq. 2'!$D$3:$Z$3='RESUMO DIÁRIO'!R$3,'SJCPIL-R 14-008-06 - Máq. 2'!$D17:$Z17))</f>
        <v>0</v>
      </c>
      <c r="S17" s="1">
        <f t="array" ref="S17">SUM(IF('SJCPIL-R 14-008-06 - Máq. 3'!$D$3:$Z$3='RESUMO DIÁRIO'!S$3,'SJCPIL-R 14-008-06 - Máq. 3'!$D17:$Z17))+SUM(IF('SJCPIL-R 14-008-06 - Máq. 1'!$D$3:$Z$3='RESUMO DIÁRIO'!S$3,'SJCPIL-R 14-008-06 - Máq. 1'!$D17:$Z17))+SUM(IF('SJCPIL-R 14-008-06 - Máq. 2'!$D$3:$Z$3='RESUMO DIÁRIO'!S$3,'SJCPIL-R 14-008-06 - Máq. 2'!$D17:$Z17))</f>
        <v>0</v>
      </c>
      <c r="T17" s="1">
        <f t="array" ref="T17">SUM(IF('SJCPIL-R 14-008-06 - Máq. 3'!$D$3:$Z$3='RESUMO DIÁRIO'!T$3,'SJCPIL-R 14-008-06 - Máq. 3'!$D17:$Z17))+SUM(IF('SJCPIL-R 14-008-06 - Máq. 1'!$D$3:$Z$3='RESUMO DIÁRIO'!T$3,'SJCPIL-R 14-008-06 - Máq. 1'!$D17:$Z17))+SUM(IF('SJCPIL-R 14-008-06 - Máq. 2'!$D$3:$Z$3='RESUMO DIÁRIO'!T$3,'SJCPIL-R 14-008-06 - Máq. 2'!$D17:$Z17))</f>
        <v>0</v>
      </c>
      <c r="U17" s="1">
        <f t="array" ref="U17">SUM(IF('SJCPIL-R 14-008-06 - Máq. 3'!$D$3:$Z$3='RESUMO DIÁRIO'!U$3,'SJCPIL-R 14-008-06 - Máq. 3'!$D17:$Z17))+SUM(IF('SJCPIL-R 14-008-06 - Máq. 1'!$D$3:$Z$3='RESUMO DIÁRIO'!U$3,'SJCPIL-R 14-008-06 - Máq. 1'!$D17:$Z17))+SUM(IF('SJCPIL-R 14-008-06 - Máq. 2'!$D$3:$Z$3='RESUMO DIÁRIO'!U$3,'SJCPIL-R 14-008-06 - Máq. 2'!$D17:$Z17))</f>
        <v>0</v>
      </c>
      <c r="V17" s="1">
        <f t="array" ref="V17">SUM(IF('SJCPIL-R 14-008-06 - Máq. 3'!$D$3:$Z$3='RESUMO DIÁRIO'!V$3,'SJCPIL-R 14-008-06 - Máq. 3'!$D17:$Z17))+SUM(IF('SJCPIL-R 14-008-06 - Máq. 1'!$D$3:$Z$3='RESUMO DIÁRIO'!V$3,'SJCPIL-R 14-008-06 - Máq. 1'!$D17:$Z17))+SUM(IF('SJCPIL-R 14-008-06 - Máq. 2'!$D$3:$Z$3='RESUMO DIÁRIO'!V$3,'SJCPIL-R 14-008-06 - Máq. 2'!$D17:$Z17))</f>
        <v>0</v>
      </c>
      <c r="W17" s="1">
        <f t="array" ref="W17">SUM(IF('SJCPIL-R 14-008-06 - Máq. 3'!$D$3:$Z$3='RESUMO DIÁRIO'!W$3,'SJCPIL-R 14-008-06 - Máq. 3'!$D17:$Z17))+SUM(IF('SJCPIL-R 14-008-06 - Máq. 1'!$D$3:$Z$3='RESUMO DIÁRIO'!W$3,'SJCPIL-R 14-008-06 - Máq. 1'!$D17:$Z17))+SUM(IF('SJCPIL-R 14-008-06 - Máq. 2'!$D$3:$Z$3='RESUMO DIÁRIO'!W$3,'SJCPIL-R 14-008-06 - Máq. 2'!$D17:$Z17))</f>
        <v>0</v>
      </c>
      <c r="X17" s="1">
        <f t="array" ref="X17">SUM(IF('SJCPIL-R 14-008-06 - Máq. 3'!$D$3:$Z$3='RESUMO DIÁRIO'!X$3,'SJCPIL-R 14-008-06 - Máq. 3'!$D17:$Z17))+SUM(IF('SJCPIL-R 14-008-06 - Máq. 1'!$D$3:$Z$3='RESUMO DIÁRIO'!X$3,'SJCPIL-R 14-008-06 - Máq. 1'!$D17:$Z17))+SUM(IF('SJCPIL-R 14-008-06 - Máq. 2'!$D$3:$Z$3='RESUMO DIÁRIO'!X$3,'SJCPIL-R 14-008-06 - Máq. 2'!$D17:$Z17))</f>
        <v>0</v>
      </c>
      <c r="Y17" s="1">
        <f t="array" ref="Y17">SUM(IF('SJCPIL-R 14-008-06 - Máq. 3'!$D$3:$Z$3='RESUMO DIÁRIO'!Y$3,'SJCPIL-R 14-008-06 - Máq. 3'!$D17:$Z17))+SUM(IF('SJCPIL-R 14-008-06 - Máq. 1'!$D$3:$Z$3='RESUMO DIÁRIO'!Y$3,'SJCPIL-R 14-008-06 - Máq. 1'!$D17:$Z17))+SUM(IF('SJCPIL-R 14-008-06 - Máq. 2'!$D$3:$Z$3='RESUMO DIÁRIO'!Y$3,'SJCPIL-R 14-008-06 - Máq. 2'!$D17:$Z17))</f>
        <v>0</v>
      </c>
      <c r="Z17" s="1">
        <f t="array" ref="Z17">SUM(IF('SJCPIL-R 14-008-06 - Máq. 3'!$D$3:$Z$3='RESUMO DIÁRIO'!Z$3,'SJCPIL-R 14-008-06 - Máq. 3'!$D17:$Z17))+SUM(IF('SJCPIL-R 14-008-06 - Máq. 1'!$D$3:$Z$3='RESUMO DIÁRIO'!Z$3,'SJCPIL-R 14-008-06 - Máq. 1'!$D17:$Z17))+SUM(IF('SJCPIL-R 14-008-06 - Máq. 2'!$D$3:$Z$3='RESUMO DIÁRIO'!Z$3,'SJCPIL-R 14-008-06 - Máq. 2'!$D17:$Z17))</f>
        <v>0</v>
      </c>
      <c r="AA17" s="1">
        <f t="array" ref="AA17">SUM(IF('SJCPIL-R 14-008-06 - Máq. 3'!$D$3:$Z$3='RESUMO DIÁRIO'!AA$3,'SJCPIL-R 14-008-06 - Máq. 3'!$D17:$Z17))+SUM(IF('SJCPIL-R 14-008-06 - Máq. 1'!$D$3:$Z$3='RESUMO DIÁRIO'!AA$3,'SJCPIL-R 14-008-06 - Máq. 1'!$D17:$Z17))+SUM(IF('SJCPIL-R 14-008-06 - Máq. 2'!$D$3:$Z$3='RESUMO DIÁRIO'!AA$3,'SJCPIL-R 14-008-06 - Máq. 2'!$D17:$Z17))</f>
        <v>0</v>
      </c>
      <c r="AB17" s="1">
        <f t="array" ref="AB17">SUM(IF('SJCPIL-R 14-008-06 - Máq. 3'!$D$3:$Z$3='RESUMO DIÁRIO'!AB$3,'SJCPIL-R 14-008-06 - Máq. 3'!$D17:$Z17))+SUM(IF('SJCPIL-R 14-008-06 - Máq. 1'!$D$3:$Z$3='RESUMO DIÁRIO'!AB$3,'SJCPIL-R 14-008-06 - Máq. 1'!$D17:$Z17))+SUM(IF('SJCPIL-R 14-008-06 - Máq. 2'!$D$3:$Z$3='RESUMO DIÁRIO'!AB$3,'SJCPIL-R 14-008-06 - Máq. 2'!$D17:$Z17))</f>
        <v>0</v>
      </c>
      <c r="AC17" s="1">
        <f t="array" ref="AC17">SUM(IF('SJCPIL-R 14-008-06 - Máq. 3'!$D$3:$Z$3='RESUMO DIÁRIO'!AC$3,'SJCPIL-R 14-008-06 - Máq. 3'!$D17:$Z17))+SUM(IF('SJCPIL-R 14-008-06 - Máq. 1'!$D$3:$Z$3='RESUMO DIÁRIO'!AC$3,'SJCPIL-R 14-008-06 - Máq. 1'!$D17:$Z17))+SUM(IF('SJCPIL-R 14-008-06 - Máq. 2'!$D$3:$Z$3='RESUMO DIÁRIO'!AC$3,'SJCPIL-R 14-008-06 - Máq. 2'!$D17:$Z17))</f>
        <v>0</v>
      </c>
      <c r="AD17" s="1">
        <f t="array" ref="AD17">SUM(IF('SJCPIL-R 14-008-06 - Máq. 3'!$D$3:$Z$3='RESUMO DIÁRIO'!AD$3,'SJCPIL-R 14-008-06 - Máq. 3'!$D17:$Z17))+SUM(IF('SJCPIL-R 14-008-06 - Máq. 1'!$D$3:$Z$3='RESUMO DIÁRIO'!AD$3,'SJCPIL-R 14-008-06 - Máq. 1'!$D17:$Z17))+SUM(IF('SJCPIL-R 14-008-06 - Máq. 2'!$D$3:$Z$3='RESUMO DIÁRIO'!AD$3,'SJCPIL-R 14-008-06 - Máq. 2'!$D17:$Z17))</f>
        <v>0</v>
      </c>
      <c r="AE17" s="1">
        <f t="array" ref="AE17">SUM(IF('SJCPIL-R 14-008-06 - Máq. 3'!$D$3:$Z$3='RESUMO DIÁRIO'!AE$3,'SJCPIL-R 14-008-06 - Máq. 3'!$D17:$Z17))+SUM(IF('SJCPIL-R 14-008-06 - Máq. 1'!$D$3:$Z$3='RESUMO DIÁRIO'!AE$3,'SJCPIL-R 14-008-06 - Máq. 1'!$D17:$Z17))+SUM(IF('SJCPIL-R 14-008-06 - Máq. 2'!$D$3:$Z$3='RESUMO DIÁRIO'!AE$3,'SJCPIL-R 14-008-06 - Máq. 2'!$D17:$Z17))</f>
        <v>0</v>
      </c>
      <c r="AF17" s="1">
        <f t="array" ref="AF17">SUM(IF('SJCPIL-R 14-008-06 - Máq. 3'!$D$3:$Z$3='RESUMO DIÁRIO'!AF$3,'SJCPIL-R 14-008-06 - Máq. 3'!$D17:$Z17))+SUM(IF('SJCPIL-R 14-008-06 - Máq. 1'!$D$3:$Z$3='RESUMO DIÁRIO'!AF$3,'SJCPIL-R 14-008-06 - Máq. 1'!$D17:$Z17))+SUM(IF('SJCPIL-R 14-008-06 - Máq. 2'!$D$3:$Z$3='RESUMO DIÁRIO'!AF$3,'SJCPIL-R 14-008-06 - Máq. 2'!$D17:$Z17))</f>
        <v>0</v>
      </c>
      <c r="AG17" s="1">
        <f t="array" ref="AG17">SUM(IF('SJCPIL-R 14-008-06 - Máq. 3'!$D$3:$Z$3='RESUMO DIÁRIO'!AG$3,'SJCPIL-R 14-008-06 - Máq. 3'!$D17:$Z17))+SUM(IF('SJCPIL-R 14-008-06 - Máq. 1'!$D$3:$Z$3='RESUMO DIÁRIO'!AG$3,'SJCPIL-R 14-008-06 - Máq. 1'!$D17:$Z17))+SUM(IF('SJCPIL-R 14-008-06 - Máq. 2'!$D$3:$Z$3='RESUMO DIÁRIO'!AG$3,'SJCPIL-R 14-008-06 - Máq. 2'!$D17:$Z17))</f>
        <v>0</v>
      </c>
      <c r="AH17" s="1">
        <f t="array" ref="AH17">SUM(IF('SJCPIL-R 14-008-06 - Máq. 3'!$D$3:$Z$3='RESUMO DIÁRIO'!AH$3,'SJCPIL-R 14-008-06 - Máq. 3'!$D17:$Z17))+SUM(IF('SJCPIL-R 14-008-06 - Máq. 1'!$D$3:$Z$3='RESUMO DIÁRIO'!AH$3,'SJCPIL-R 14-008-06 - Máq. 1'!$D17:$Z17))+SUM(IF('SJCPIL-R 14-008-06 - Máq. 2'!$D$3:$Z$3='RESUMO DIÁRIO'!AH$3,'SJCPIL-R 14-008-06 - Máq. 2'!$D17:$Z17))</f>
        <v>0</v>
      </c>
      <c r="AI17" s="1">
        <f t="array" ref="AI17">SUM(IF('SJCPIL-R 14-008-06 - Máq. 3'!$D$3:$Z$3='RESUMO DIÁRIO'!AI$3,'SJCPIL-R 14-008-06 - Máq. 3'!$D17:$Z17))+SUM(IF('SJCPIL-R 14-008-06 - Máq. 1'!$D$3:$Z$3='RESUMO DIÁRIO'!AI$3,'SJCPIL-R 14-008-06 - Máq. 1'!$D17:$Z17))+SUM(IF('SJCPIL-R 14-008-06 - Máq. 2'!$D$3:$Z$3='RESUMO DIÁRIO'!AI$3,'SJCPIL-R 14-008-06 - Máq. 2'!$D17:$Z17))</f>
        <v>0</v>
      </c>
      <c r="AJ17" s="4">
        <f t="shared" si="1"/>
        <v>0</v>
      </c>
      <c r="AL17" s="78"/>
      <c r="AM17" s="17" t="s">
        <v>54</v>
      </c>
      <c r="AN17" s="80">
        <f>SUM(AN5:AN16)</f>
        <v>0</v>
      </c>
      <c r="AO17" s="80">
        <f t="shared" ref="AO17:AQ17" si="11">SUM(AO5:AO16)</f>
        <v>0</v>
      </c>
      <c r="AP17" s="80">
        <f t="shared" si="11"/>
        <v>0</v>
      </c>
      <c r="AQ17" s="80">
        <f t="shared" si="11"/>
        <v>0</v>
      </c>
      <c r="AR17" s="80"/>
      <c r="AS17" s="15"/>
      <c r="AT17" s="15"/>
      <c r="AU17" s="15"/>
      <c r="AV17" s="17" t="e">
        <f>SUM(AV5:AV16)</f>
        <v>#DIV/0!</v>
      </c>
      <c r="AW17" s="38"/>
      <c r="AX17" s="38"/>
      <c r="AY17" s="38"/>
    </row>
    <row r="18" spans="1:51" s="16" customFormat="1" ht="20.100000000000001" customHeight="1" thickBot="1">
      <c r="A18" s="123" t="s">
        <v>7</v>
      </c>
      <c r="B18" s="124"/>
      <c r="C18" s="124"/>
      <c r="D18" s="36">
        <f t="array" ref="D18">SUM(IF('SJCPIL-R 14-008-06 - Máq. 3'!$D$3:$Z$3='RESUMO DIÁRIO'!D$3,'SJCPIL-R 14-008-06 - Máq. 3'!$D18:$Z18))+SUM(IF('SJCPIL-R 14-008-06 - Máq. 1'!$D$3:$Z$3='RESUMO DIÁRIO'!D$3,'SJCPIL-R 14-008-06 - Máq. 1'!$D18:$Z18))+SUM(IF('SJCPIL-R 14-008-06 - Máq. 2'!$D$3:$Z$3='RESUMO DIÁRIO'!D$3,'SJCPIL-R 14-008-06 - Máq. 2'!$D18:$Z18))</f>
        <v>0</v>
      </c>
      <c r="E18" s="35">
        <f t="array" ref="E18">SUM(IF('SJCPIL-R 14-008-06 - Máq. 3'!$D$3:$Z$3='RESUMO DIÁRIO'!E$3,'SJCPIL-R 14-008-06 - Máq. 3'!$D18:$Z18))+SUM(IF('SJCPIL-R 14-008-06 - Máq. 1'!$D$3:$Z$3='RESUMO DIÁRIO'!E$3,'SJCPIL-R 14-008-06 - Máq. 1'!$D18:$Z18))+SUM(IF('SJCPIL-R 14-008-06 - Máq. 2'!$D$3:$Z$3='RESUMO DIÁRIO'!E$3,'SJCPIL-R 14-008-06 - Máq. 2'!$D18:$Z18))</f>
        <v>0</v>
      </c>
      <c r="F18" s="35">
        <f t="array" ref="F18">SUM(IF('SJCPIL-R 14-008-06 - Máq. 3'!$D$3:$Z$3='RESUMO DIÁRIO'!F$3,'SJCPIL-R 14-008-06 - Máq. 3'!$D18:$Z18))+SUM(IF('SJCPIL-R 14-008-06 - Máq. 1'!$D$3:$Z$3='RESUMO DIÁRIO'!F$3,'SJCPIL-R 14-008-06 - Máq. 1'!$D18:$Z18))+SUM(IF('SJCPIL-R 14-008-06 - Máq. 2'!$D$3:$Z$3='RESUMO DIÁRIO'!F$3,'SJCPIL-R 14-008-06 - Máq. 2'!$D18:$Z18))</f>
        <v>0</v>
      </c>
      <c r="G18" s="35">
        <f t="array" ref="G18">SUM(IF('SJCPIL-R 14-008-06 - Máq. 3'!$D$3:$Z$3='RESUMO DIÁRIO'!G$3,'SJCPIL-R 14-008-06 - Máq. 3'!$D18:$Z18))+SUM(IF('SJCPIL-R 14-008-06 - Máq. 1'!$D$3:$Z$3='RESUMO DIÁRIO'!G$3,'SJCPIL-R 14-008-06 - Máq. 1'!$D18:$Z18))+SUM(IF('SJCPIL-R 14-008-06 - Máq. 2'!$D$3:$Z$3='RESUMO DIÁRIO'!G$3,'SJCPIL-R 14-008-06 - Máq. 2'!$D18:$Z18))</f>
        <v>0</v>
      </c>
      <c r="H18" s="35">
        <f t="array" ref="H18">SUM(IF('SJCPIL-R 14-008-06 - Máq. 3'!$D$3:$Z$3='RESUMO DIÁRIO'!H$3,'SJCPIL-R 14-008-06 - Máq. 3'!$D18:$Z18))+SUM(IF('SJCPIL-R 14-008-06 - Máq. 1'!$D$3:$Z$3='RESUMO DIÁRIO'!H$3,'SJCPIL-R 14-008-06 - Máq. 1'!$D18:$Z18))+SUM(IF('SJCPIL-R 14-008-06 - Máq. 2'!$D$3:$Z$3='RESUMO DIÁRIO'!H$3,'SJCPIL-R 14-008-06 - Máq. 2'!$D18:$Z18))</f>
        <v>0</v>
      </c>
      <c r="I18" s="35">
        <f t="array" ref="I18">SUM(IF('SJCPIL-R 14-008-06 - Máq. 3'!$D$3:$Z$3='RESUMO DIÁRIO'!I$3,'SJCPIL-R 14-008-06 - Máq. 3'!$D18:$Z18))+SUM(IF('SJCPIL-R 14-008-06 - Máq. 1'!$D$3:$Z$3='RESUMO DIÁRIO'!I$3,'SJCPIL-R 14-008-06 - Máq. 1'!$D18:$Z18))+SUM(IF('SJCPIL-R 14-008-06 - Máq. 2'!$D$3:$Z$3='RESUMO DIÁRIO'!I$3,'SJCPIL-R 14-008-06 - Máq. 2'!$D18:$Z18))</f>
        <v>0</v>
      </c>
      <c r="J18" s="35">
        <f t="array" ref="J18">SUM(IF('SJCPIL-R 14-008-06 - Máq. 3'!$D$3:$Z$3='RESUMO DIÁRIO'!J$3,'SJCPIL-R 14-008-06 - Máq. 3'!$D18:$Z18))+SUM(IF('SJCPIL-R 14-008-06 - Máq. 1'!$D$3:$Z$3='RESUMO DIÁRIO'!J$3,'SJCPIL-R 14-008-06 - Máq. 1'!$D18:$Z18))+SUM(IF('SJCPIL-R 14-008-06 - Máq. 2'!$D$3:$Z$3='RESUMO DIÁRIO'!J$3,'SJCPIL-R 14-008-06 - Máq. 2'!$D18:$Z18))</f>
        <v>0</v>
      </c>
      <c r="K18" s="35">
        <f t="array" ref="K18">SUM(IF('SJCPIL-R 14-008-06 - Máq. 3'!$D$3:$Z$3='RESUMO DIÁRIO'!K$3,'SJCPIL-R 14-008-06 - Máq. 3'!$D18:$Z18))+SUM(IF('SJCPIL-R 14-008-06 - Máq. 1'!$D$3:$Z$3='RESUMO DIÁRIO'!K$3,'SJCPIL-R 14-008-06 - Máq. 1'!$D18:$Z18))+SUM(IF('SJCPIL-R 14-008-06 - Máq. 2'!$D$3:$Z$3='RESUMO DIÁRIO'!K$3,'SJCPIL-R 14-008-06 - Máq. 2'!$D18:$Z18))</f>
        <v>0</v>
      </c>
      <c r="L18" s="35">
        <f t="array" ref="L18">SUM(IF('SJCPIL-R 14-008-06 - Máq. 3'!$D$3:$Z$3='RESUMO DIÁRIO'!L$3,'SJCPIL-R 14-008-06 - Máq. 3'!$D18:$Z18))+SUM(IF('SJCPIL-R 14-008-06 - Máq. 1'!$D$3:$Z$3='RESUMO DIÁRIO'!L$3,'SJCPIL-R 14-008-06 - Máq. 1'!$D18:$Z18))+SUM(IF('SJCPIL-R 14-008-06 - Máq. 2'!$D$3:$Z$3='RESUMO DIÁRIO'!L$3,'SJCPIL-R 14-008-06 - Máq. 2'!$D18:$Z18))</f>
        <v>0</v>
      </c>
      <c r="M18" s="35">
        <f t="array" ref="M18">SUM(IF('SJCPIL-R 14-008-06 - Máq. 3'!$D$3:$Z$3='RESUMO DIÁRIO'!M$3,'SJCPIL-R 14-008-06 - Máq. 3'!$D18:$Z18))+SUM(IF('SJCPIL-R 14-008-06 - Máq. 1'!$D$3:$Z$3='RESUMO DIÁRIO'!M$3,'SJCPIL-R 14-008-06 - Máq. 1'!$D18:$Z18))+SUM(IF('SJCPIL-R 14-008-06 - Máq. 2'!$D$3:$Z$3='RESUMO DIÁRIO'!M$3,'SJCPIL-R 14-008-06 - Máq. 2'!$D18:$Z18))</f>
        <v>0</v>
      </c>
      <c r="N18" s="35">
        <f t="array" ref="N18">SUM(IF('SJCPIL-R 14-008-06 - Máq. 3'!$D$3:$Z$3='RESUMO DIÁRIO'!N$3,'SJCPIL-R 14-008-06 - Máq. 3'!$D18:$Z18))+SUM(IF('SJCPIL-R 14-008-06 - Máq. 1'!$D$3:$Z$3='RESUMO DIÁRIO'!N$3,'SJCPIL-R 14-008-06 - Máq. 1'!$D18:$Z18))+SUM(IF('SJCPIL-R 14-008-06 - Máq. 2'!$D$3:$Z$3='RESUMO DIÁRIO'!N$3,'SJCPIL-R 14-008-06 - Máq. 2'!$D18:$Z18))</f>
        <v>0</v>
      </c>
      <c r="O18" s="35">
        <f t="array" ref="O18">SUM(IF('SJCPIL-R 14-008-06 - Máq. 3'!$D$3:$Z$3='RESUMO DIÁRIO'!O$3,'SJCPIL-R 14-008-06 - Máq. 3'!$D18:$Z18))+SUM(IF('SJCPIL-R 14-008-06 - Máq. 1'!$D$3:$Z$3='RESUMO DIÁRIO'!O$3,'SJCPIL-R 14-008-06 - Máq. 1'!$D18:$Z18))+SUM(IF('SJCPIL-R 14-008-06 - Máq. 2'!$D$3:$Z$3='RESUMO DIÁRIO'!O$3,'SJCPIL-R 14-008-06 - Máq. 2'!$D18:$Z18))</f>
        <v>0</v>
      </c>
      <c r="P18" s="35">
        <f t="array" ref="P18">SUM(IF('SJCPIL-R 14-008-06 - Máq. 3'!$D$3:$Z$3='RESUMO DIÁRIO'!P$3,'SJCPIL-R 14-008-06 - Máq. 3'!$D18:$Z18))+SUM(IF('SJCPIL-R 14-008-06 - Máq. 1'!$D$3:$Z$3='RESUMO DIÁRIO'!P$3,'SJCPIL-R 14-008-06 - Máq. 1'!$D18:$Z18))+SUM(IF('SJCPIL-R 14-008-06 - Máq. 2'!$D$3:$Z$3='RESUMO DIÁRIO'!P$3,'SJCPIL-R 14-008-06 - Máq. 2'!$D18:$Z18))</f>
        <v>0</v>
      </c>
      <c r="Q18" s="35">
        <f t="array" ref="Q18">SUM(IF('SJCPIL-R 14-008-06 - Máq. 3'!$D$3:$Z$3='RESUMO DIÁRIO'!Q$3,'SJCPIL-R 14-008-06 - Máq. 3'!$D18:$Z18))+SUM(IF('SJCPIL-R 14-008-06 - Máq. 1'!$D$3:$Z$3='RESUMO DIÁRIO'!Q$3,'SJCPIL-R 14-008-06 - Máq. 1'!$D18:$Z18))+SUM(IF('SJCPIL-R 14-008-06 - Máq. 2'!$D$3:$Z$3='RESUMO DIÁRIO'!Q$3,'SJCPIL-R 14-008-06 - Máq. 2'!$D18:$Z18))</f>
        <v>0</v>
      </c>
      <c r="R18" s="35">
        <f t="array" ref="R18">SUM(IF('SJCPIL-R 14-008-06 - Máq. 3'!$D$3:$Z$3='RESUMO DIÁRIO'!R$3,'SJCPIL-R 14-008-06 - Máq. 3'!$D18:$Z18))+SUM(IF('SJCPIL-R 14-008-06 - Máq. 1'!$D$3:$Z$3='RESUMO DIÁRIO'!R$3,'SJCPIL-R 14-008-06 - Máq. 1'!$D18:$Z18))+SUM(IF('SJCPIL-R 14-008-06 - Máq. 2'!$D$3:$Z$3='RESUMO DIÁRIO'!R$3,'SJCPIL-R 14-008-06 - Máq. 2'!$D18:$Z18))</f>
        <v>0</v>
      </c>
      <c r="S18" s="35">
        <f t="array" ref="S18">SUM(IF('SJCPIL-R 14-008-06 - Máq. 3'!$D$3:$Z$3='RESUMO DIÁRIO'!S$3,'SJCPIL-R 14-008-06 - Máq. 3'!$D18:$Z18))+SUM(IF('SJCPIL-R 14-008-06 - Máq. 1'!$D$3:$Z$3='RESUMO DIÁRIO'!S$3,'SJCPIL-R 14-008-06 - Máq. 1'!$D18:$Z18))+SUM(IF('SJCPIL-R 14-008-06 - Máq. 2'!$D$3:$Z$3='RESUMO DIÁRIO'!S$3,'SJCPIL-R 14-008-06 - Máq. 2'!$D18:$Z18))</f>
        <v>0</v>
      </c>
      <c r="T18" s="35">
        <f t="array" ref="T18">SUM(IF('SJCPIL-R 14-008-06 - Máq. 3'!$D$3:$Z$3='RESUMO DIÁRIO'!T$3,'SJCPIL-R 14-008-06 - Máq. 3'!$D18:$Z18))+SUM(IF('SJCPIL-R 14-008-06 - Máq. 1'!$D$3:$Z$3='RESUMO DIÁRIO'!T$3,'SJCPIL-R 14-008-06 - Máq. 1'!$D18:$Z18))+SUM(IF('SJCPIL-R 14-008-06 - Máq. 2'!$D$3:$Z$3='RESUMO DIÁRIO'!T$3,'SJCPIL-R 14-008-06 - Máq. 2'!$D18:$Z18))</f>
        <v>0</v>
      </c>
      <c r="U18" s="35">
        <f t="array" ref="U18">SUM(IF('SJCPIL-R 14-008-06 - Máq. 3'!$D$3:$Z$3='RESUMO DIÁRIO'!U$3,'SJCPIL-R 14-008-06 - Máq. 3'!$D18:$Z18))+SUM(IF('SJCPIL-R 14-008-06 - Máq. 1'!$D$3:$Z$3='RESUMO DIÁRIO'!U$3,'SJCPIL-R 14-008-06 - Máq. 1'!$D18:$Z18))+SUM(IF('SJCPIL-R 14-008-06 - Máq. 2'!$D$3:$Z$3='RESUMO DIÁRIO'!U$3,'SJCPIL-R 14-008-06 - Máq. 2'!$D18:$Z18))</f>
        <v>0</v>
      </c>
      <c r="V18" s="35">
        <f t="array" ref="V18">SUM(IF('SJCPIL-R 14-008-06 - Máq. 3'!$D$3:$Z$3='RESUMO DIÁRIO'!V$3,'SJCPIL-R 14-008-06 - Máq. 3'!$D18:$Z18))+SUM(IF('SJCPIL-R 14-008-06 - Máq. 1'!$D$3:$Z$3='RESUMO DIÁRIO'!V$3,'SJCPIL-R 14-008-06 - Máq. 1'!$D18:$Z18))+SUM(IF('SJCPIL-R 14-008-06 - Máq. 2'!$D$3:$Z$3='RESUMO DIÁRIO'!V$3,'SJCPIL-R 14-008-06 - Máq. 2'!$D18:$Z18))</f>
        <v>0</v>
      </c>
      <c r="W18" s="35">
        <f t="array" ref="W18">SUM(IF('SJCPIL-R 14-008-06 - Máq. 3'!$D$3:$Z$3='RESUMO DIÁRIO'!W$3,'SJCPIL-R 14-008-06 - Máq. 3'!$D18:$Z18))+SUM(IF('SJCPIL-R 14-008-06 - Máq. 1'!$D$3:$Z$3='RESUMO DIÁRIO'!W$3,'SJCPIL-R 14-008-06 - Máq. 1'!$D18:$Z18))+SUM(IF('SJCPIL-R 14-008-06 - Máq. 2'!$D$3:$Z$3='RESUMO DIÁRIO'!W$3,'SJCPIL-R 14-008-06 - Máq. 2'!$D18:$Z18))</f>
        <v>0</v>
      </c>
      <c r="X18" s="35">
        <f t="array" ref="X18">SUM(IF('SJCPIL-R 14-008-06 - Máq. 3'!$D$3:$Z$3='RESUMO DIÁRIO'!X$3,'SJCPIL-R 14-008-06 - Máq. 3'!$D18:$Z18))+SUM(IF('SJCPIL-R 14-008-06 - Máq. 1'!$D$3:$Z$3='RESUMO DIÁRIO'!X$3,'SJCPIL-R 14-008-06 - Máq. 1'!$D18:$Z18))+SUM(IF('SJCPIL-R 14-008-06 - Máq. 2'!$D$3:$Z$3='RESUMO DIÁRIO'!X$3,'SJCPIL-R 14-008-06 - Máq. 2'!$D18:$Z18))</f>
        <v>0</v>
      </c>
      <c r="Y18" s="35">
        <f t="array" ref="Y18">SUM(IF('SJCPIL-R 14-008-06 - Máq. 3'!$D$3:$Z$3='RESUMO DIÁRIO'!Y$3,'SJCPIL-R 14-008-06 - Máq. 3'!$D18:$Z18))+SUM(IF('SJCPIL-R 14-008-06 - Máq. 1'!$D$3:$Z$3='RESUMO DIÁRIO'!Y$3,'SJCPIL-R 14-008-06 - Máq. 1'!$D18:$Z18))+SUM(IF('SJCPIL-R 14-008-06 - Máq. 2'!$D$3:$Z$3='RESUMO DIÁRIO'!Y$3,'SJCPIL-R 14-008-06 - Máq. 2'!$D18:$Z18))</f>
        <v>0</v>
      </c>
      <c r="Z18" s="35">
        <f t="array" ref="Z18">SUM(IF('SJCPIL-R 14-008-06 - Máq. 3'!$D$3:$Z$3='RESUMO DIÁRIO'!Z$3,'SJCPIL-R 14-008-06 - Máq. 3'!$D18:$Z18))+SUM(IF('SJCPIL-R 14-008-06 - Máq. 1'!$D$3:$Z$3='RESUMO DIÁRIO'!Z$3,'SJCPIL-R 14-008-06 - Máq. 1'!$D18:$Z18))+SUM(IF('SJCPIL-R 14-008-06 - Máq. 2'!$D$3:$Z$3='RESUMO DIÁRIO'!Z$3,'SJCPIL-R 14-008-06 - Máq. 2'!$D18:$Z18))</f>
        <v>0</v>
      </c>
      <c r="AA18" s="35">
        <f t="array" ref="AA18">SUM(IF('SJCPIL-R 14-008-06 - Máq. 3'!$D$3:$Z$3='RESUMO DIÁRIO'!AA$3,'SJCPIL-R 14-008-06 - Máq. 3'!$D18:$Z18))+SUM(IF('SJCPIL-R 14-008-06 - Máq. 1'!$D$3:$Z$3='RESUMO DIÁRIO'!AA$3,'SJCPIL-R 14-008-06 - Máq. 1'!$D18:$Z18))+SUM(IF('SJCPIL-R 14-008-06 - Máq. 2'!$D$3:$Z$3='RESUMO DIÁRIO'!AA$3,'SJCPIL-R 14-008-06 - Máq. 2'!$D18:$Z18))</f>
        <v>0</v>
      </c>
      <c r="AB18" s="35">
        <f t="array" ref="AB18">SUM(IF('SJCPIL-R 14-008-06 - Máq. 3'!$D$3:$Z$3='RESUMO DIÁRIO'!AB$3,'SJCPIL-R 14-008-06 - Máq. 3'!$D18:$Z18))+SUM(IF('SJCPIL-R 14-008-06 - Máq. 1'!$D$3:$Z$3='RESUMO DIÁRIO'!AB$3,'SJCPIL-R 14-008-06 - Máq. 1'!$D18:$Z18))+SUM(IF('SJCPIL-R 14-008-06 - Máq. 2'!$D$3:$Z$3='RESUMO DIÁRIO'!AB$3,'SJCPIL-R 14-008-06 - Máq. 2'!$D18:$Z18))</f>
        <v>0</v>
      </c>
      <c r="AC18" s="35">
        <f t="array" ref="AC18">SUM(IF('SJCPIL-R 14-008-06 - Máq. 3'!$D$3:$Z$3='RESUMO DIÁRIO'!AC$3,'SJCPIL-R 14-008-06 - Máq. 3'!$D18:$Z18))+SUM(IF('SJCPIL-R 14-008-06 - Máq. 1'!$D$3:$Z$3='RESUMO DIÁRIO'!AC$3,'SJCPIL-R 14-008-06 - Máq. 1'!$D18:$Z18))+SUM(IF('SJCPIL-R 14-008-06 - Máq. 2'!$D$3:$Z$3='RESUMO DIÁRIO'!AC$3,'SJCPIL-R 14-008-06 - Máq. 2'!$D18:$Z18))</f>
        <v>0</v>
      </c>
      <c r="AD18" s="35">
        <f t="array" ref="AD18">SUM(IF('SJCPIL-R 14-008-06 - Máq. 3'!$D$3:$Z$3='RESUMO DIÁRIO'!AD$3,'SJCPIL-R 14-008-06 - Máq. 3'!$D18:$Z18))+SUM(IF('SJCPIL-R 14-008-06 - Máq. 1'!$D$3:$Z$3='RESUMO DIÁRIO'!AD$3,'SJCPIL-R 14-008-06 - Máq. 1'!$D18:$Z18))+SUM(IF('SJCPIL-R 14-008-06 - Máq. 2'!$D$3:$Z$3='RESUMO DIÁRIO'!AD$3,'SJCPIL-R 14-008-06 - Máq. 2'!$D18:$Z18))</f>
        <v>0</v>
      </c>
      <c r="AE18" s="35">
        <f t="array" ref="AE18">SUM(IF('SJCPIL-R 14-008-06 - Máq. 3'!$D$3:$Z$3='RESUMO DIÁRIO'!AE$3,'SJCPIL-R 14-008-06 - Máq. 3'!$D18:$Z18))+SUM(IF('SJCPIL-R 14-008-06 - Máq. 1'!$D$3:$Z$3='RESUMO DIÁRIO'!AE$3,'SJCPIL-R 14-008-06 - Máq. 1'!$D18:$Z18))+SUM(IF('SJCPIL-R 14-008-06 - Máq. 2'!$D$3:$Z$3='RESUMO DIÁRIO'!AE$3,'SJCPIL-R 14-008-06 - Máq. 2'!$D18:$Z18))</f>
        <v>0</v>
      </c>
      <c r="AF18" s="35">
        <f t="array" ref="AF18">SUM(IF('SJCPIL-R 14-008-06 - Máq. 3'!$D$3:$Z$3='RESUMO DIÁRIO'!AF$3,'SJCPIL-R 14-008-06 - Máq. 3'!$D18:$Z18))+SUM(IF('SJCPIL-R 14-008-06 - Máq. 1'!$D$3:$Z$3='RESUMO DIÁRIO'!AF$3,'SJCPIL-R 14-008-06 - Máq. 1'!$D18:$Z18))+SUM(IF('SJCPIL-R 14-008-06 - Máq. 2'!$D$3:$Z$3='RESUMO DIÁRIO'!AF$3,'SJCPIL-R 14-008-06 - Máq. 2'!$D18:$Z18))</f>
        <v>0</v>
      </c>
      <c r="AG18" s="35">
        <f t="array" ref="AG18">SUM(IF('SJCPIL-R 14-008-06 - Máq. 3'!$D$3:$Z$3='RESUMO DIÁRIO'!AG$3,'SJCPIL-R 14-008-06 - Máq. 3'!$D18:$Z18))+SUM(IF('SJCPIL-R 14-008-06 - Máq. 1'!$D$3:$Z$3='RESUMO DIÁRIO'!AG$3,'SJCPIL-R 14-008-06 - Máq. 1'!$D18:$Z18))+SUM(IF('SJCPIL-R 14-008-06 - Máq. 2'!$D$3:$Z$3='RESUMO DIÁRIO'!AG$3,'SJCPIL-R 14-008-06 - Máq. 2'!$D18:$Z18))</f>
        <v>0</v>
      </c>
      <c r="AH18" s="35">
        <f t="array" ref="AH18">SUM(IF('SJCPIL-R 14-008-06 - Máq. 3'!$D$3:$Z$3='RESUMO DIÁRIO'!AH$3,'SJCPIL-R 14-008-06 - Máq. 3'!$D18:$Z18))+SUM(IF('SJCPIL-R 14-008-06 - Máq. 1'!$D$3:$Z$3='RESUMO DIÁRIO'!AH$3,'SJCPIL-R 14-008-06 - Máq. 1'!$D18:$Z18))+SUM(IF('SJCPIL-R 14-008-06 - Máq. 2'!$D$3:$Z$3='RESUMO DIÁRIO'!AH$3,'SJCPIL-R 14-008-06 - Máq. 2'!$D18:$Z18))</f>
        <v>0</v>
      </c>
      <c r="AI18" s="35">
        <f t="array" ref="AI18">SUM(IF('SJCPIL-R 14-008-06 - Máq. 3'!$D$3:$Z$3='RESUMO DIÁRIO'!AI$3,'SJCPIL-R 14-008-06 - Máq. 3'!$D18:$Z18))+SUM(IF('SJCPIL-R 14-008-06 - Máq. 1'!$D$3:$Z$3='RESUMO DIÁRIO'!AI$3,'SJCPIL-R 14-008-06 - Máq. 1'!$D18:$Z18))+SUM(IF('SJCPIL-R 14-008-06 - Máq. 2'!$D$3:$Z$3='RESUMO DIÁRIO'!AI$3,'SJCPIL-R 14-008-06 - Máq. 2'!$D18:$Z18))</f>
        <v>0</v>
      </c>
      <c r="AJ18" s="37">
        <f t="shared" si="1"/>
        <v>0</v>
      </c>
      <c r="AL18" s="78"/>
      <c r="AM18" s="17" t="s">
        <v>5</v>
      </c>
      <c r="AN18" s="80" t="e">
        <f>AN17/AN4*1000000</f>
        <v>#DIV/0!</v>
      </c>
      <c r="AO18" s="80" t="e">
        <f t="shared" ref="AO18:AQ18" si="12">AO17/AO4*1000000</f>
        <v>#DIV/0!</v>
      </c>
      <c r="AP18" s="80" t="e">
        <f t="shared" si="12"/>
        <v>#DIV/0!</v>
      </c>
      <c r="AQ18" s="80" t="e">
        <f t="shared" si="12"/>
        <v>#DIV/0!</v>
      </c>
      <c r="AR18" s="80"/>
      <c r="AS18" s="15"/>
      <c r="AT18" s="15"/>
      <c r="AU18" s="15"/>
      <c r="AV18" s="17"/>
      <c r="AW18" s="38"/>
      <c r="AX18" s="38"/>
      <c r="AY18" s="38"/>
    </row>
    <row r="19" spans="1:51" s="16" customFormat="1" ht="20.100000000000001" customHeight="1">
      <c r="A19" s="125" t="s">
        <v>2</v>
      </c>
      <c r="B19" s="126"/>
      <c r="C19" s="126"/>
      <c r="D19" s="1">
        <f t="shared" ref="D19:AI19" si="13">SUM(D16:D18)</f>
        <v>0</v>
      </c>
      <c r="E19" s="1">
        <f t="shared" si="13"/>
        <v>0</v>
      </c>
      <c r="F19" s="1">
        <f t="shared" si="13"/>
        <v>0</v>
      </c>
      <c r="G19" s="1">
        <f t="shared" si="13"/>
        <v>0</v>
      </c>
      <c r="H19" s="1">
        <f t="shared" si="13"/>
        <v>0</v>
      </c>
      <c r="I19" s="1">
        <f t="shared" si="13"/>
        <v>0</v>
      </c>
      <c r="J19" s="1">
        <f t="shared" si="13"/>
        <v>0</v>
      </c>
      <c r="K19" s="1">
        <f t="shared" si="13"/>
        <v>0</v>
      </c>
      <c r="L19" s="1">
        <f t="shared" si="13"/>
        <v>0</v>
      </c>
      <c r="M19" s="1">
        <f t="shared" si="13"/>
        <v>0</v>
      </c>
      <c r="N19" s="1">
        <f t="shared" si="13"/>
        <v>0</v>
      </c>
      <c r="O19" s="1">
        <f t="shared" si="13"/>
        <v>0</v>
      </c>
      <c r="P19" s="1">
        <f t="shared" si="13"/>
        <v>0</v>
      </c>
      <c r="Q19" s="1">
        <f t="shared" si="13"/>
        <v>0</v>
      </c>
      <c r="R19" s="1">
        <f t="shared" si="13"/>
        <v>0</v>
      </c>
      <c r="S19" s="1">
        <f t="shared" si="13"/>
        <v>0</v>
      </c>
      <c r="T19" s="1">
        <f t="shared" si="13"/>
        <v>0</v>
      </c>
      <c r="U19" s="1">
        <f t="shared" si="13"/>
        <v>0</v>
      </c>
      <c r="V19" s="1">
        <f t="shared" si="13"/>
        <v>0</v>
      </c>
      <c r="W19" s="1">
        <f t="shared" si="13"/>
        <v>0</v>
      </c>
      <c r="X19" s="1">
        <f t="shared" si="13"/>
        <v>0</v>
      </c>
      <c r="Y19" s="1">
        <f t="shared" si="13"/>
        <v>0</v>
      </c>
      <c r="Z19" s="1">
        <f t="shared" si="13"/>
        <v>0</v>
      </c>
      <c r="AA19" s="1">
        <f t="shared" si="13"/>
        <v>0</v>
      </c>
      <c r="AB19" s="1">
        <f t="shared" si="13"/>
        <v>0</v>
      </c>
      <c r="AC19" s="1">
        <f t="shared" si="13"/>
        <v>0</v>
      </c>
      <c r="AD19" s="1">
        <f t="shared" si="13"/>
        <v>0</v>
      </c>
      <c r="AE19" s="1">
        <f t="shared" si="13"/>
        <v>0</v>
      </c>
      <c r="AF19" s="1">
        <f t="shared" si="13"/>
        <v>0</v>
      </c>
      <c r="AG19" s="1">
        <f t="shared" si="13"/>
        <v>0</v>
      </c>
      <c r="AH19" s="1">
        <f t="shared" si="13"/>
        <v>0</v>
      </c>
      <c r="AI19" s="1">
        <f t="shared" si="13"/>
        <v>0</v>
      </c>
      <c r="AJ19" s="4">
        <f t="shared" si="1"/>
        <v>0</v>
      </c>
      <c r="AL19" s="78"/>
      <c r="AM19" s="78"/>
      <c r="AN19" s="78"/>
      <c r="AO19" s="78"/>
      <c r="AQ19"/>
      <c r="AR19"/>
      <c r="AS19"/>
      <c r="AT19"/>
      <c r="AU19"/>
      <c r="AV19" s="78"/>
    </row>
    <row r="20" spans="1:51" s="16" customFormat="1" ht="20.100000000000001" customHeight="1" thickBot="1">
      <c r="A20" s="127" t="s">
        <v>5</v>
      </c>
      <c r="B20" s="128"/>
      <c r="C20" s="128"/>
      <c r="D20" s="36" t="str">
        <f t="shared" ref="D20:AJ20" si="14">IF(ISERR(D19/D5),"",D19/D5*1000000)</f>
        <v/>
      </c>
      <c r="E20" s="35" t="str">
        <f t="shared" si="14"/>
        <v/>
      </c>
      <c r="F20" s="35" t="str">
        <f t="shared" si="14"/>
        <v/>
      </c>
      <c r="G20" s="35" t="str">
        <f t="shared" si="14"/>
        <v/>
      </c>
      <c r="H20" s="35" t="str">
        <f t="shared" si="14"/>
        <v/>
      </c>
      <c r="I20" s="35" t="str">
        <f t="shared" si="14"/>
        <v/>
      </c>
      <c r="J20" s="35" t="str">
        <f t="shared" si="14"/>
        <v/>
      </c>
      <c r="K20" s="35" t="str">
        <f t="shared" si="14"/>
        <v/>
      </c>
      <c r="L20" s="35" t="str">
        <f t="shared" si="14"/>
        <v/>
      </c>
      <c r="M20" s="35" t="str">
        <f t="shared" si="14"/>
        <v/>
      </c>
      <c r="N20" s="35" t="str">
        <f t="shared" si="14"/>
        <v/>
      </c>
      <c r="O20" s="35" t="str">
        <f t="shared" si="14"/>
        <v/>
      </c>
      <c r="P20" s="35" t="str">
        <f t="shared" si="14"/>
        <v/>
      </c>
      <c r="Q20" s="35" t="str">
        <f t="shared" si="14"/>
        <v/>
      </c>
      <c r="R20" s="35" t="str">
        <f t="shared" si="14"/>
        <v/>
      </c>
      <c r="S20" s="35" t="str">
        <f t="shared" si="14"/>
        <v/>
      </c>
      <c r="T20" s="35" t="str">
        <f t="shared" si="14"/>
        <v/>
      </c>
      <c r="U20" s="35" t="str">
        <f t="shared" si="14"/>
        <v/>
      </c>
      <c r="V20" s="35" t="str">
        <f t="shared" si="14"/>
        <v/>
      </c>
      <c r="W20" s="35" t="str">
        <f t="shared" si="14"/>
        <v/>
      </c>
      <c r="X20" s="35" t="str">
        <f t="shared" si="14"/>
        <v/>
      </c>
      <c r="Y20" s="35" t="str">
        <f t="shared" si="14"/>
        <v/>
      </c>
      <c r="Z20" s="35" t="str">
        <f t="shared" si="14"/>
        <v/>
      </c>
      <c r="AA20" s="35" t="str">
        <f t="shared" si="14"/>
        <v/>
      </c>
      <c r="AB20" s="35" t="str">
        <f t="shared" si="14"/>
        <v/>
      </c>
      <c r="AC20" s="35" t="str">
        <f t="shared" si="14"/>
        <v/>
      </c>
      <c r="AD20" s="35" t="str">
        <f t="shared" si="14"/>
        <v/>
      </c>
      <c r="AE20" s="35" t="str">
        <f t="shared" si="14"/>
        <v/>
      </c>
      <c r="AF20" s="35" t="str">
        <f t="shared" si="14"/>
        <v/>
      </c>
      <c r="AG20" s="35" t="str">
        <f t="shared" si="14"/>
        <v/>
      </c>
      <c r="AH20" s="35" t="str">
        <f t="shared" si="14"/>
        <v/>
      </c>
      <c r="AI20" s="35" t="str">
        <f t="shared" si="14"/>
        <v/>
      </c>
      <c r="AJ20" s="37" t="str">
        <f t="shared" si="14"/>
        <v/>
      </c>
      <c r="AL20" s="78"/>
      <c r="AM20" s="78"/>
      <c r="AN20" s="78"/>
      <c r="AO20" s="78"/>
      <c r="AQ20" s="78"/>
      <c r="AR20" s="78"/>
      <c r="AS20" s="78"/>
      <c r="AT20" s="78"/>
      <c r="AU20" s="78"/>
      <c r="AV20" s="78"/>
    </row>
    <row r="21" spans="1:51" ht="30" customHeight="1">
      <c r="A21" s="110"/>
      <c r="B21" s="19"/>
      <c r="C21" s="20"/>
      <c r="D21" s="113">
        <f>D37</f>
        <v>0</v>
      </c>
      <c r="E21" s="113">
        <f t="shared" ref="E21:AI21" si="15">E37</f>
        <v>0</v>
      </c>
      <c r="F21" s="113">
        <f t="shared" si="15"/>
        <v>0</v>
      </c>
      <c r="G21" s="113">
        <f t="shared" si="15"/>
        <v>0</v>
      </c>
      <c r="H21" s="113">
        <f t="shared" si="15"/>
        <v>0</v>
      </c>
      <c r="I21" s="113">
        <f t="shared" si="15"/>
        <v>0</v>
      </c>
      <c r="J21" s="113">
        <f t="shared" si="15"/>
        <v>0</v>
      </c>
      <c r="K21" s="113">
        <f t="shared" si="15"/>
        <v>0</v>
      </c>
      <c r="L21" s="113">
        <f t="shared" si="15"/>
        <v>0</v>
      </c>
      <c r="M21" s="113">
        <f t="shared" si="15"/>
        <v>0</v>
      </c>
      <c r="N21" s="113">
        <f t="shared" si="15"/>
        <v>0</v>
      </c>
      <c r="O21" s="113">
        <f t="shared" si="15"/>
        <v>0</v>
      </c>
      <c r="P21" s="113">
        <f t="shared" si="15"/>
        <v>0</v>
      </c>
      <c r="Q21" s="113">
        <f t="shared" si="15"/>
        <v>0</v>
      </c>
      <c r="R21" s="113">
        <f t="shared" si="15"/>
        <v>0</v>
      </c>
      <c r="S21" s="113">
        <f t="shared" si="15"/>
        <v>0</v>
      </c>
      <c r="T21" s="113">
        <f t="shared" si="15"/>
        <v>0</v>
      </c>
      <c r="U21" s="113">
        <f t="shared" si="15"/>
        <v>0</v>
      </c>
      <c r="V21" s="113">
        <f t="shared" si="15"/>
        <v>0</v>
      </c>
      <c r="W21" s="113">
        <f t="shared" si="15"/>
        <v>0</v>
      </c>
      <c r="X21" s="113">
        <f t="shared" si="15"/>
        <v>0</v>
      </c>
      <c r="Y21" s="113">
        <f t="shared" si="15"/>
        <v>0</v>
      </c>
      <c r="Z21" s="113">
        <f t="shared" si="15"/>
        <v>0</v>
      </c>
      <c r="AA21" s="113">
        <f t="shared" si="15"/>
        <v>0</v>
      </c>
      <c r="AB21" s="113">
        <f t="shared" si="15"/>
        <v>0</v>
      </c>
      <c r="AC21" s="47"/>
      <c r="AD21" s="47"/>
      <c r="AE21" s="47"/>
      <c r="AF21" s="113">
        <f t="shared" si="15"/>
        <v>0</v>
      </c>
      <c r="AG21" s="113">
        <f t="shared" si="15"/>
        <v>0</v>
      </c>
      <c r="AH21" s="113">
        <f t="shared" si="15"/>
        <v>0</v>
      </c>
      <c r="AI21" s="113">
        <f t="shared" si="15"/>
        <v>0</v>
      </c>
      <c r="AJ21" s="6"/>
    </row>
    <row r="22" spans="1:51" ht="30" customHeight="1">
      <c r="A22" s="110"/>
      <c r="B22" s="19"/>
      <c r="C22" s="11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48"/>
      <c r="AD22" s="48"/>
      <c r="AE22" s="48"/>
      <c r="AF22" s="114"/>
      <c r="AG22" s="114"/>
      <c r="AH22" s="114"/>
      <c r="AI22" s="114"/>
      <c r="AJ22" s="7"/>
    </row>
    <row r="23" spans="1:51" ht="30" customHeight="1">
      <c r="A23" s="110"/>
      <c r="B23" s="19"/>
      <c r="C23" s="20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48"/>
      <c r="AD23" s="48"/>
      <c r="AE23" s="48"/>
      <c r="AF23" s="114"/>
      <c r="AG23" s="114"/>
      <c r="AH23" s="114"/>
      <c r="AI23" s="114"/>
      <c r="AJ23" s="7"/>
    </row>
    <row r="24" spans="1:51" ht="30" customHeight="1">
      <c r="A24" s="110"/>
      <c r="B24" s="19"/>
      <c r="C24" s="21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  <c r="AC24" s="48"/>
      <c r="AD24" s="48"/>
      <c r="AE24" s="48"/>
      <c r="AF24" s="114"/>
      <c r="AG24" s="114"/>
      <c r="AH24" s="114"/>
      <c r="AI24" s="114"/>
      <c r="AJ24" s="7"/>
    </row>
    <row r="25" spans="1:51" ht="30" customHeight="1">
      <c r="A25" s="110"/>
      <c r="B25" s="19"/>
      <c r="C25" s="21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48"/>
      <c r="AD25" s="48"/>
      <c r="AE25" s="48"/>
      <c r="AF25" s="114"/>
      <c r="AG25" s="114"/>
      <c r="AH25" s="114"/>
      <c r="AI25" s="114"/>
      <c r="AJ25" s="7"/>
    </row>
    <row r="26" spans="1:51" ht="30" customHeight="1">
      <c r="A26" s="110"/>
      <c r="B26" s="19"/>
      <c r="C26" s="21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48"/>
      <c r="AD26" s="48"/>
      <c r="AE26" s="48"/>
      <c r="AF26" s="114"/>
      <c r="AG26" s="114"/>
      <c r="AH26" s="114"/>
      <c r="AI26" s="114"/>
      <c r="AJ26" s="7"/>
    </row>
    <row r="27" spans="1:51" ht="30" customHeight="1">
      <c r="A27" s="110"/>
      <c r="B27" s="19"/>
      <c r="C27" s="21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48"/>
      <c r="AD27" s="48"/>
      <c r="AE27" s="48"/>
      <c r="AF27" s="114"/>
      <c r="AG27" s="114"/>
      <c r="AH27" s="114"/>
      <c r="AI27" s="114"/>
      <c r="AJ27" s="7"/>
    </row>
    <row r="28" spans="1:51" ht="30" customHeight="1">
      <c r="A28" s="110"/>
      <c r="B28" s="19"/>
      <c r="C28" s="21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48"/>
      <c r="AD28" s="48"/>
      <c r="AE28" s="48"/>
      <c r="AF28" s="114"/>
      <c r="AG28" s="114"/>
      <c r="AH28" s="114"/>
      <c r="AI28" s="114"/>
      <c r="AJ28" s="7"/>
    </row>
    <row r="29" spans="1:51" ht="30" customHeight="1">
      <c r="A29" s="110"/>
      <c r="B29" s="19"/>
      <c r="C29" s="21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48"/>
      <c r="AD29" s="48"/>
      <c r="AE29" s="48"/>
      <c r="AF29" s="114"/>
      <c r="AG29" s="114"/>
      <c r="AH29" s="114"/>
      <c r="AI29" s="114"/>
      <c r="AJ29" s="7"/>
    </row>
    <row r="30" spans="1:51" ht="30" customHeight="1" thickBot="1">
      <c r="A30" s="110"/>
      <c r="B30" s="19"/>
      <c r="C30" s="21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49"/>
      <c r="AD30" s="49"/>
      <c r="AE30" s="49"/>
      <c r="AF30" s="115"/>
      <c r="AG30" s="115"/>
      <c r="AH30" s="115"/>
      <c r="AI30" s="115"/>
      <c r="AJ30" s="7"/>
    </row>
    <row r="31" spans="1:51" ht="26.25" customHeight="1">
      <c r="A31" s="22" t="s">
        <v>8</v>
      </c>
      <c r="B31" s="23"/>
      <c r="C31" s="23"/>
      <c r="D31" s="23"/>
      <c r="E31" s="23"/>
      <c r="F31" s="23"/>
      <c r="G31" s="23"/>
      <c r="H31" s="23"/>
      <c r="I31" s="23"/>
      <c r="J31" s="23"/>
      <c r="K31" s="6"/>
      <c r="L31" s="22" t="s">
        <v>9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6"/>
      <c r="X31" s="22" t="s">
        <v>12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6"/>
    </row>
    <row r="32" spans="1:51" ht="13.5" thickBot="1">
      <c r="A32" s="24" t="s">
        <v>10</v>
      </c>
      <c r="B32" s="25"/>
      <c r="C32" s="25"/>
      <c r="D32" s="25"/>
      <c r="E32" s="25"/>
      <c r="F32" s="25"/>
      <c r="G32" s="25"/>
      <c r="H32" s="25"/>
      <c r="I32" s="25"/>
      <c r="J32" s="25"/>
      <c r="K32" s="26"/>
      <c r="L32" s="24" t="s">
        <v>10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6"/>
      <c r="X32" s="24" t="s">
        <v>10</v>
      </c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6"/>
    </row>
    <row r="34" spans="1:37">
      <c r="A34" t="s">
        <v>11</v>
      </c>
      <c r="D34">
        <f>'SJCPIL-R 14-008-06 - Máq. 1'!$D$36</f>
        <v>600</v>
      </c>
      <c r="E34">
        <f>D34</f>
        <v>600</v>
      </c>
      <c r="F34">
        <f t="shared" ref="F34:AK34" si="16">E34</f>
        <v>600</v>
      </c>
      <c r="G34">
        <f t="shared" si="16"/>
        <v>600</v>
      </c>
      <c r="H34">
        <f t="shared" si="16"/>
        <v>600</v>
      </c>
      <c r="I34">
        <f t="shared" si="16"/>
        <v>600</v>
      </c>
      <c r="J34">
        <f t="shared" si="16"/>
        <v>600</v>
      </c>
      <c r="K34">
        <f t="shared" si="16"/>
        <v>600</v>
      </c>
      <c r="L34">
        <f t="shared" si="16"/>
        <v>600</v>
      </c>
      <c r="M34">
        <f t="shared" si="16"/>
        <v>600</v>
      </c>
      <c r="N34">
        <f t="shared" si="16"/>
        <v>600</v>
      </c>
      <c r="O34">
        <f t="shared" si="16"/>
        <v>600</v>
      </c>
      <c r="P34">
        <f t="shared" si="16"/>
        <v>600</v>
      </c>
      <c r="Q34">
        <f t="shared" si="16"/>
        <v>600</v>
      </c>
      <c r="R34">
        <f t="shared" si="16"/>
        <v>600</v>
      </c>
      <c r="S34">
        <f t="shared" si="16"/>
        <v>600</v>
      </c>
      <c r="T34">
        <f t="shared" si="16"/>
        <v>600</v>
      </c>
      <c r="U34">
        <f t="shared" si="16"/>
        <v>600</v>
      </c>
      <c r="V34">
        <f t="shared" si="16"/>
        <v>600</v>
      </c>
      <c r="W34">
        <f t="shared" si="16"/>
        <v>600</v>
      </c>
      <c r="X34">
        <f t="shared" si="16"/>
        <v>600</v>
      </c>
      <c r="Y34">
        <f t="shared" si="16"/>
        <v>600</v>
      </c>
      <c r="Z34">
        <f t="shared" si="16"/>
        <v>600</v>
      </c>
      <c r="AA34">
        <f t="shared" si="16"/>
        <v>600</v>
      </c>
      <c r="AB34">
        <f t="shared" si="16"/>
        <v>600</v>
      </c>
      <c r="AF34">
        <f>AB34</f>
        <v>600</v>
      </c>
      <c r="AG34">
        <f t="shared" si="16"/>
        <v>600</v>
      </c>
      <c r="AH34">
        <f t="shared" si="16"/>
        <v>600</v>
      </c>
      <c r="AI34">
        <f t="shared" si="16"/>
        <v>600</v>
      </c>
      <c r="AJ34">
        <f t="shared" si="16"/>
        <v>600</v>
      </c>
      <c r="AK34">
        <f t="shared" si="16"/>
        <v>600</v>
      </c>
    </row>
    <row r="36" spans="1:37">
      <c r="C36" s="15" t="s">
        <v>13</v>
      </c>
      <c r="D36" s="15">
        <f t="shared" ref="D36:AI36" si="17">D3</f>
        <v>1</v>
      </c>
      <c r="E36" s="15">
        <f t="shared" si="17"/>
        <v>2</v>
      </c>
      <c r="F36" s="15">
        <f t="shared" si="17"/>
        <v>3</v>
      </c>
      <c r="G36" s="15">
        <f t="shared" si="17"/>
        <v>4</v>
      </c>
      <c r="H36" s="15">
        <f t="shared" si="17"/>
        <v>5</v>
      </c>
      <c r="I36" s="15">
        <f t="shared" si="17"/>
        <v>6</v>
      </c>
      <c r="J36" s="15">
        <f t="shared" si="17"/>
        <v>7</v>
      </c>
      <c r="K36" s="15">
        <f t="shared" si="17"/>
        <v>8</v>
      </c>
      <c r="L36" s="15">
        <f t="shared" si="17"/>
        <v>9</v>
      </c>
      <c r="M36" s="15">
        <f t="shared" si="17"/>
        <v>10</v>
      </c>
      <c r="N36" s="15">
        <f t="shared" si="17"/>
        <v>11</v>
      </c>
      <c r="O36" s="15">
        <f t="shared" si="17"/>
        <v>12</v>
      </c>
      <c r="P36" s="15">
        <f t="shared" si="17"/>
        <v>13</v>
      </c>
      <c r="Q36" s="15">
        <f t="shared" si="17"/>
        <v>14</v>
      </c>
      <c r="R36" s="15">
        <f t="shared" si="17"/>
        <v>15</v>
      </c>
      <c r="S36" s="15">
        <f t="shared" si="17"/>
        <v>16</v>
      </c>
      <c r="T36" s="15">
        <f t="shared" si="17"/>
        <v>17</v>
      </c>
      <c r="U36" s="15">
        <f t="shared" si="17"/>
        <v>18</v>
      </c>
      <c r="V36" s="15">
        <f t="shared" si="17"/>
        <v>19</v>
      </c>
      <c r="W36" s="15">
        <f t="shared" si="17"/>
        <v>20</v>
      </c>
      <c r="X36" s="15">
        <f t="shared" si="17"/>
        <v>21</v>
      </c>
      <c r="Y36" s="15">
        <f t="shared" si="17"/>
        <v>22</v>
      </c>
      <c r="Z36" s="15">
        <f t="shared" si="17"/>
        <v>23</v>
      </c>
      <c r="AA36" s="15">
        <f t="shared" si="17"/>
        <v>24</v>
      </c>
      <c r="AB36" s="15">
        <f t="shared" si="17"/>
        <v>25</v>
      </c>
      <c r="AC36" s="15"/>
      <c r="AD36" s="15"/>
      <c r="AE36" s="15"/>
      <c r="AF36" s="15">
        <f t="shared" si="17"/>
        <v>29</v>
      </c>
      <c r="AG36" s="15">
        <f t="shared" si="17"/>
        <v>30</v>
      </c>
      <c r="AH36" s="15">
        <f t="shared" si="17"/>
        <v>31</v>
      </c>
      <c r="AI36" s="15">
        <f t="shared" si="17"/>
        <v>32</v>
      </c>
    </row>
    <row r="37" spans="1:37" ht="150" customHeight="1">
      <c r="C37" s="27" t="s">
        <v>14</v>
      </c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2"/>
      <c r="AG37" s="2"/>
      <c r="AH37" s="2"/>
      <c r="AI37" s="2"/>
    </row>
    <row r="38" spans="1:37">
      <c r="I38" s="28"/>
    </row>
    <row r="39" spans="1:37">
      <c r="I39" s="19"/>
    </row>
    <row r="40" spans="1:37">
      <c r="I40" s="19"/>
    </row>
    <row r="41" spans="1:37">
      <c r="I41" s="19"/>
    </row>
    <row r="43" spans="1:37" ht="19.5">
      <c r="H43" s="29"/>
    </row>
  </sheetData>
  <sheetProtection password="CE4F" sheet="1" objects="1" scenarios="1" selectLockedCells="1"/>
  <mergeCells count="41">
    <mergeCell ref="L21:L30"/>
    <mergeCell ref="M21:M30"/>
    <mergeCell ref="N21:N30"/>
    <mergeCell ref="S21:S30"/>
    <mergeCell ref="T21:T30"/>
    <mergeCell ref="X21:X30"/>
    <mergeCell ref="Y21:Y30"/>
    <mergeCell ref="U21:U30"/>
    <mergeCell ref="V21:V30"/>
    <mergeCell ref="W21:W30"/>
    <mergeCell ref="K21:K30"/>
    <mergeCell ref="AF1:AJ1"/>
    <mergeCell ref="AQ2:AV2"/>
    <mergeCell ref="AJ3:AJ4"/>
    <mergeCell ref="I21:I30"/>
    <mergeCell ref="AI21:AI30"/>
    <mergeCell ref="O21:O30"/>
    <mergeCell ref="AB21:AB30"/>
    <mergeCell ref="AF21:AF30"/>
    <mergeCell ref="AG21:AG30"/>
    <mergeCell ref="AH21:AH30"/>
    <mergeCell ref="Z21:Z30"/>
    <mergeCell ref="AA21:AA30"/>
    <mergeCell ref="P21:P30"/>
    <mergeCell ref="Q21:Q30"/>
    <mergeCell ref="R21:R30"/>
    <mergeCell ref="A4:A16"/>
    <mergeCell ref="B4:C4"/>
    <mergeCell ref="B5:C5"/>
    <mergeCell ref="B6:B16"/>
    <mergeCell ref="J21:J30"/>
    <mergeCell ref="A17:C17"/>
    <mergeCell ref="A18:C18"/>
    <mergeCell ref="A19:C19"/>
    <mergeCell ref="A20:C20"/>
    <mergeCell ref="A21:A30"/>
    <mergeCell ref="D21:D30"/>
    <mergeCell ref="E21:E30"/>
    <mergeCell ref="F21:F30"/>
    <mergeCell ref="G21:G30"/>
    <mergeCell ref="H21:H30"/>
  </mergeCells>
  <phoneticPr fontId="19" type="noConversion"/>
  <printOptions horizontalCentered="1" verticalCentered="1" gridLines="1" gridLinesSet="0"/>
  <pageMargins left="0.19685039370078741" right="0.19685039370078741" top="0.51181102362204722" bottom="0.39370078740157483" header="7.874015748031496E-2" footer="0.19685039370078741"/>
  <pageSetup paperSize="9" scale="63" orientation="landscape" r:id="rId1"/>
  <headerFooter alignWithMargins="0">
    <oddFooter>&amp;RJ:\DADOS\PIL\PUB\QUALIDADE\Formularios\BLINDAGEM\SJCPIL-R 14-008-01.pdf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/>
  <dimension ref="A1"/>
  <sheetViews>
    <sheetView tabSelected="1" workbookViewId="0"/>
  </sheetViews>
  <sheetFormatPr defaultRowHeight="12.75"/>
  <sheetData/>
  <sheetProtection password="CE4F"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11</vt:i4>
      </vt:variant>
    </vt:vector>
  </HeadingPairs>
  <TitlesOfParts>
    <vt:vector size="17" baseType="lpstr">
      <vt:lpstr>Instruções de Uso</vt:lpstr>
      <vt:lpstr>SJCPIL-R 14-008-06 - Máq. 1</vt:lpstr>
      <vt:lpstr>SJCPIL-R 14-008-06 - Máq. 2</vt:lpstr>
      <vt:lpstr>SJCPIL-R 14-008-06 - Máq. 3</vt:lpstr>
      <vt:lpstr>RESUMO DIÁRIO</vt:lpstr>
      <vt:lpstr>Pareto</vt:lpstr>
      <vt:lpstr>'RESUMO DIÁRIO'!Area_de_impressao</vt:lpstr>
      <vt:lpstr>'SJCPIL-R 14-008-06 - Máq. 1'!Area_de_impressao</vt:lpstr>
      <vt:lpstr>'SJCPIL-R 14-008-06 - Máq. 2'!Area_de_impressao</vt:lpstr>
      <vt:lpstr>'SJCPIL-R 14-008-06 - Máq. 3'!Area_de_impressao</vt:lpstr>
      <vt:lpstr>FALHAS_TOTAL_M1D</vt:lpstr>
      <vt:lpstr>FALHAS_TOTAL_M2D</vt:lpstr>
      <vt:lpstr>FALHAS_TOTAL_M3D</vt:lpstr>
      <vt:lpstr>PROD_TOTAL_M1D</vt:lpstr>
      <vt:lpstr>PROD_TOTAL_M2D</vt:lpstr>
      <vt:lpstr>PROD_TOTAL_M3D</vt:lpstr>
      <vt:lpstr>TARGET_BLD_UM_1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otorquati</dc:creator>
  <cp:lastModifiedBy>Osvaldo Martins Torquati</cp:lastModifiedBy>
  <cp:lastPrinted>2021-05-24T11:15:45Z</cp:lastPrinted>
  <dcterms:created xsi:type="dcterms:W3CDTF">2014-02-10T12:28:33Z</dcterms:created>
  <dcterms:modified xsi:type="dcterms:W3CDTF">2022-02-21T10:45:47Z</dcterms:modified>
</cp:coreProperties>
</file>