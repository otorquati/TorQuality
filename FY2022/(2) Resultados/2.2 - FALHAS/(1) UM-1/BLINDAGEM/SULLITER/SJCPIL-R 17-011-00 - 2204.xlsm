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1) UM-1\BLINDAGEM\SULLITER\"/>
    </mc:Choice>
  </mc:AlternateContent>
  <xr:revisionPtr revIDLastSave="0" documentId="13_ncr:1_{DA9A10D8-2A95-49F0-A361-30743C226FC9}" xr6:coauthVersionLast="47" xr6:coauthVersionMax="47" xr10:uidLastSave="{00000000-0000-0000-0000-000000000000}"/>
  <workbookProtection workbookPassword="CF0F" lockStructure="1"/>
  <bookViews>
    <workbookView xWindow="-120" yWindow="-120" windowWidth="29040" windowHeight="16440" xr2:uid="{00000000-000D-0000-FFFF-FFFF00000000}"/>
  </bookViews>
  <sheets>
    <sheet name="Maq. 1" sheetId="2" r:id="rId1"/>
  </sheets>
  <externalReferences>
    <externalReference r:id="rId2"/>
    <externalReference r:id="rId3"/>
  </externalReferences>
  <definedNames>
    <definedName name="_xlnm.Print_Area" localSheetId="0">'Maq. 1'!$A$1:$AB$26</definedName>
    <definedName name="FALHAS_TOTAL_M1D" localSheetId="0">'Maq. 1'!$AB$11</definedName>
    <definedName name="FALHAS_TOTAL_M2D">#REF!</definedName>
    <definedName name="FALHAS_TOTAL_M4D">#REF!</definedName>
    <definedName name="PERIODO">'Maq. 1'!$W$2</definedName>
    <definedName name="PROD_TOTAL_M1D">'Maq. 1'!$AB$5</definedName>
    <definedName name="PROD_TOTAL_M2D">#REF!</definedName>
    <definedName name="PROD_TOTAL_M3D">#REF!</definedName>
    <definedName name="TARGET_SULLITER">'[1]SJCPIL 16-006-05'!$L$31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2" l="1"/>
  <c r="Z2" i="2"/>
  <c r="L11" i="2" l="1"/>
  <c r="AB10" i="2" l="1"/>
  <c r="AB9" i="2"/>
  <c r="AB8" i="2"/>
  <c r="AB7" i="2"/>
  <c r="AB29" i="2" l="1"/>
  <c r="AA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AA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A11" i="2"/>
  <c r="AA12" i="2" s="1"/>
  <c r="Z11" i="2"/>
  <c r="Z12" i="2" s="1"/>
  <c r="Y11" i="2"/>
  <c r="Y12" i="2" s="1"/>
  <c r="X11" i="2"/>
  <c r="X12" i="2" s="1"/>
  <c r="W11" i="2"/>
  <c r="W12" i="2" s="1"/>
  <c r="V11" i="2"/>
  <c r="V12" i="2" s="1"/>
  <c r="U11" i="2"/>
  <c r="U12" i="2" s="1"/>
  <c r="T11" i="2"/>
  <c r="T12" i="2" s="1"/>
  <c r="S11" i="2"/>
  <c r="S12" i="2" s="1"/>
  <c r="R11" i="2"/>
  <c r="R12" i="2" s="1"/>
  <c r="Q11" i="2"/>
  <c r="Q12" i="2" s="1"/>
  <c r="P11" i="2"/>
  <c r="P12" i="2" s="1"/>
  <c r="O11" i="2"/>
  <c r="O12" i="2" s="1"/>
  <c r="N11" i="2"/>
  <c r="N12" i="2" s="1"/>
  <c r="M11" i="2"/>
  <c r="M12" i="2" s="1"/>
  <c r="L12" i="2"/>
  <c r="K11" i="2"/>
  <c r="K12" i="2" s="1"/>
  <c r="J11" i="2"/>
  <c r="J12" i="2" s="1"/>
  <c r="I11" i="2"/>
  <c r="I12" i="2" s="1"/>
  <c r="H11" i="2"/>
  <c r="H12" i="2" s="1"/>
  <c r="G11" i="2"/>
  <c r="G12" i="2" s="1"/>
  <c r="F11" i="2"/>
  <c r="F12" i="2" s="1"/>
  <c r="E11" i="2"/>
  <c r="E12" i="2" s="1"/>
  <c r="D11" i="2"/>
  <c r="D12" i="2" s="1"/>
  <c r="C11" i="2"/>
  <c r="C12" i="2" s="1"/>
  <c r="AB6" i="2"/>
  <c r="AB5" i="2"/>
  <c r="AB11" i="2" l="1"/>
  <c r="AB12" i="2" s="1"/>
</calcChain>
</file>

<file path=xl/sharedStrings.xml><?xml version="1.0" encoding="utf-8"?>
<sst xmlns="http://schemas.openxmlformats.org/spreadsheetml/2006/main" count="26" uniqueCount="24">
  <si>
    <t>MÁQ. Nº: 1</t>
  </si>
  <si>
    <t>TURNO:</t>
  </si>
  <si>
    <t>DIA</t>
  </si>
  <si>
    <t>TOTAL</t>
  </si>
  <si>
    <t>PRODUÇÃO</t>
  </si>
  <si>
    <t>TOTAL GERAL</t>
  </si>
  <si>
    <t>ppm</t>
  </si>
  <si>
    <t>Inspetor:</t>
  </si>
  <si>
    <t>Produção:</t>
  </si>
  <si>
    <t>Controle da Qualidade</t>
  </si>
  <si>
    <t>Data:</t>
  </si>
  <si>
    <t>Objetivo</t>
  </si>
  <si>
    <t>Data</t>
  </si>
  <si>
    <t>Ocorrências</t>
  </si>
  <si>
    <t>AMASSADO</t>
  </si>
  <si>
    <t>RISCADO</t>
  </si>
  <si>
    <t>MANCHADO</t>
  </si>
  <si>
    <t>CHAPA INVERTIDA</t>
  </si>
  <si>
    <t>FORA DE ESQUADRO</t>
  </si>
  <si>
    <t>Visto Supervisor</t>
  </si>
  <si>
    <t>Visto CQ</t>
  </si>
  <si>
    <t>FALHAS DA BLINDAGEM UM-1 - SULLITER</t>
  </si>
  <si>
    <t>,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</si>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</sst>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1" x14ac:knownFonts="1">
    <font>
      <sz val="10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b/>
      <sz val="2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6"/>
      <name val="Arial"/>
      <family val="2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3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9" xfId="0" applyFont="1" applyBorder="1" applyAlignment="1" applyProtection="1">
      <alignment vertical="center"/>
      <protection locked="0"/>
    </xf>
    <xf numFmtId="0" fontId="5" fillId="0" borderId="10" xfId="0" applyFont="1" applyBorder="1" applyAlignment="1">
      <alignment horizontal="center"/>
    </xf>
    <xf numFmtId="0" fontId="5" fillId="0" borderId="0" xfId="0" applyFont="1"/>
    <xf numFmtId="1" fontId="1" fillId="0" borderId="14" xfId="0" applyNumberFormat="1" applyFont="1" applyBorder="1" applyAlignment="1" applyProtection="1">
      <alignment horizontal="center" vertical="center" shrinkToFit="1"/>
      <protection locked="0"/>
    </xf>
    <xf numFmtId="1" fontId="1" fillId="0" borderId="15" xfId="0" applyNumberFormat="1" applyFont="1" applyBorder="1" applyAlignment="1" applyProtection="1">
      <alignment horizontal="center" vertical="center" shrinkToFit="1"/>
      <protection locked="0"/>
    </xf>
    <xf numFmtId="1" fontId="1" fillId="0" borderId="16" xfId="0" applyNumberFormat="1" applyFont="1" applyBorder="1" applyAlignment="1" applyProtection="1">
      <alignment horizontal="center" vertical="center" shrinkToFit="1"/>
      <protection locked="0"/>
    </xf>
    <xf numFmtId="0" fontId="5" fillId="0" borderId="17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" fontId="5" fillId="0" borderId="25" xfId="0" applyNumberFormat="1" applyFont="1" applyBorder="1" applyAlignment="1">
      <alignment horizontal="center" vertical="center" shrinkToFit="1"/>
    </xf>
    <xf numFmtId="1" fontId="5" fillId="0" borderId="11" xfId="0" applyNumberFormat="1" applyFont="1" applyBorder="1" applyAlignment="1" applyProtection="1">
      <alignment horizontal="center" vertical="center" shrinkToFit="1"/>
      <protection locked="0"/>
    </xf>
    <xf numFmtId="1" fontId="5" fillId="0" borderId="31" xfId="0" applyNumberFormat="1" applyFont="1" applyBorder="1" applyAlignment="1">
      <alignment horizontal="center" vertical="center" shrinkToFit="1"/>
    </xf>
    <xf numFmtId="1" fontId="5" fillId="0" borderId="18" xfId="0" applyNumberFormat="1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shrinkToFit="1"/>
    </xf>
    <xf numFmtId="1" fontId="5" fillId="0" borderId="15" xfId="0" applyNumberFormat="1" applyFont="1" applyBorder="1" applyAlignment="1">
      <alignment horizontal="center" shrinkToFit="1"/>
    </xf>
    <xf numFmtId="1" fontId="5" fillId="0" borderId="16" xfId="0" applyNumberFormat="1" applyFont="1" applyBorder="1" applyAlignment="1">
      <alignment horizontal="center" shrinkToFit="1"/>
    </xf>
    <xf numFmtId="1" fontId="5" fillId="0" borderId="17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Continuous" vertical="center"/>
    </xf>
    <xf numFmtId="0" fontId="0" fillId="0" borderId="0" xfId="0" applyAlignment="1">
      <alignment horizontal="right" vertical="center"/>
    </xf>
    <xf numFmtId="0" fontId="7" fillId="0" borderId="37" xfId="0" applyFont="1" applyBorder="1" applyAlignment="1">
      <alignment horizontal="left" vertical="center"/>
    </xf>
    <xf numFmtId="0" fontId="1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shrinkToFit="1"/>
    </xf>
    <xf numFmtId="0" fontId="5" fillId="0" borderId="38" xfId="0" applyFont="1" applyBorder="1"/>
    <xf numFmtId="0" fontId="5" fillId="0" borderId="39" xfId="0" applyFont="1" applyBorder="1" applyAlignment="1">
      <alignment horizontal="center" shrinkToFit="1"/>
    </xf>
    <xf numFmtId="0" fontId="6" fillId="0" borderId="0" xfId="0" applyFont="1" applyAlignment="1">
      <alignment horizontal="left" vertical="center"/>
    </xf>
    <xf numFmtId="0" fontId="7" fillId="0" borderId="11" xfId="0" applyFont="1" applyBorder="1" applyAlignment="1">
      <alignment horizontal="center"/>
    </xf>
    <xf numFmtId="0" fontId="0" fillId="0" borderId="11" xfId="0" applyBorder="1"/>
    <xf numFmtId="0" fontId="7" fillId="0" borderId="11" xfId="0" applyFont="1" applyBorder="1" applyAlignment="1">
      <alignment horizontal="center" vertical="center" textRotation="90"/>
    </xf>
    <xf numFmtId="0" fontId="0" fillId="0" borderId="11" xfId="0" applyBorder="1" applyAlignment="1" applyProtection="1">
      <alignment horizontal="center" textRotation="90"/>
      <protection locked="0"/>
    </xf>
    <xf numFmtId="0" fontId="0" fillId="0" borderId="11" xfId="0" applyBorder="1" applyAlignment="1" applyProtection="1">
      <alignment textRotation="90"/>
      <protection locked="0"/>
    </xf>
    <xf numFmtId="0" fontId="0" fillId="0" borderId="11" xfId="0" applyBorder="1" applyAlignment="1">
      <alignment textRotation="90"/>
    </xf>
    <xf numFmtId="1" fontId="5" fillId="0" borderId="33" xfId="0" applyNumberFormat="1" applyFont="1" applyBorder="1" applyAlignment="1" applyProtection="1">
      <alignment horizontal="center" vertical="center" shrinkToFit="1"/>
      <protection locked="0"/>
    </xf>
    <xf numFmtId="1" fontId="5" fillId="0" borderId="29" xfId="0" applyNumberFormat="1" applyFont="1" applyBorder="1" applyAlignment="1" applyProtection="1">
      <alignment horizontal="center" vertical="center" shrinkToFit="1"/>
      <protection locked="0"/>
    </xf>
    <xf numFmtId="1" fontId="5" fillId="0" borderId="35" xfId="0" applyNumberFormat="1" applyFont="1" applyBorder="1" applyAlignment="1">
      <alignment horizontal="center" vertical="center" shrinkToFit="1"/>
    </xf>
    <xf numFmtId="1" fontId="0" fillId="0" borderId="14" xfId="0" applyNumberFormat="1" applyBorder="1" applyAlignment="1" applyProtection="1">
      <alignment horizontal="center" vertical="center" shrinkToFit="1"/>
      <protection locked="0"/>
    </xf>
    <xf numFmtId="1" fontId="0" fillId="0" borderId="15" xfId="0" applyNumberFormat="1" applyBorder="1" applyAlignment="1" applyProtection="1">
      <alignment horizontal="center" vertical="center" shrinkToFit="1"/>
      <protection locked="0"/>
    </xf>
    <xf numFmtId="164" fontId="0" fillId="0" borderId="11" xfId="0" applyNumberFormat="1" applyBorder="1"/>
    <xf numFmtId="0" fontId="5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1" fontId="5" fillId="0" borderId="30" xfId="0" applyNumberFormat="1" applyFont="1" applyBorder="1" applyAlignment="1" applyProtection="1">
      <alignment horizontal="center" vertical="center" shrinkToFit="1"/>
      <protection locked="0"/>
    </xf>
    <xf numFmtId="1" fontId="5" fillId="0" borderId="24" xfId="0" applyNumberFormat="1" applyFont="1" applyBorder="1" applyAlignment="1" applyProtection="1">
      <alignment horizontal="center" vertical="center" shrinkToFit="1"/>
      <protection locked="0"/>
    </xf>
    <xf numFmtId="1" fontId="5" fillId="0" borderId="34" xfId="0" applyNumberFormat="1" applyFont="1" applyBorder="1" applyAlignment="1" applyProtection="1">
      <alignment horizontal="center" vertical="center" shrinkToFit="1"/>
      <protection locked="0"/>
    </xf>
    <xf numFmtId="1" fontId="8" fillId="0" borderId="29" xfId="0" applyNumberFormat="1" applyFont="1" applyBorder="1" applyAlignment="1" applyProtection="1">
      <alignment horizontal="center" vertical="center" shrinkToFit="1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1" fillId="0" borderId="28" xfId="0" applyFont="1" applyBorder="1" applyAlignment="1" applyProtection="1">
      <alignment horizontal="center" vertical="center"/>
      <protection locked="0"/>
    </xf>
    <xf numFmtId="0" fontId="1" fillId="0" borderId="29" xfId="0" applyFont="1" applyBorder="1" applyAlignment="1" applyProtection="1">
      <alignment horizontal="center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32" xfId="0" applyFont="1" applyBorder="1" applyAlignment="1" applyProtection="1">
      <alignment horizontal="center" vertical="center"/>
      <protection locked="0"/>
    </xf>
    <xf numFmtId="0" fontId="1" fillId="0" borderId="33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shrinkToFit="1"/>
    </xf>
    <xf numFmtId="0" fontId="5" fillId="0" borderId="1" xfId="0" applyFont="1" applyBorder="1" applyAlignment="1">
      <alignment horizontal="center" shrinkToFit="1"/>
    </xf>
    <xf numFmtId="0" fontId="5" fillId="0" borderId="19" xfId="0" applyFont="1" applyBorder="1" applyAlignment="1">
      <alignment horizontal="center" vertical="center" textRotation="90"/>
    </xf>
    <xf numFmtId="0" fontId="0" fillId="0" borderId="7" xfId="0" applyBorder="1"/>
    <xf numFmtId="0" fontId="5" fillId="0" borderId="15" xfId="0" applyFont="1" applyBorder="1" applyAlignment="1">
      <alignment horizontal="center" vertical="center" textRotation="90"/>
    </xf>
    <xf numFmtId="0" fontId="0" fillId="0" borderId="13" xfId="0" applyBorder="1"/>
    <xf numFmtId="1" fontId="0" fillId="0" borderId="15" xfId="0" applyNumberFormat="1" applyFont="1" applyBorder="1" applyAlignment="1" applyProtection="1">
      <alignment horizontal="center" vertical="center" shrinkToFit="1"/>
      <protection locked="0"/>
    </xf>
    <xf numFmtId="0" fontId="6" fillId="0" borderId="6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textRotation="90"/>
    </xf>
    <xf numFmtId="0" fontId="5" fillId="0" borderId="0" xfId="0" applyFont="1" applyAlignment="1">
      <alignment horizontal="center" vertical="center" textRotation="90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0" fontId="10" fillId="0" borderId="2" xfId="0" quotePrefix="1" applyFont="1" applyBorder="1" applyAlignment="1">
      <alignment horizontal="center" vertical="center" wrapText="1"/>
    </xf>
    <xf numFmtId="0" fontId="10" fillId="0" borderId="3" xfId="0" quotePrefix="1" applyFont="1" applyBorder="1" applyAlignment="1">
      <alignment horizontal="center" vertical="center" wrapText="1"/>
    </xf>
    <xf numFmtId="0" fontId="10" fillId="0" borderId="4" xfId="0" quotePrefix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vertical="center"/>
    </xf>
    <xf numFmtId="0" fontId="0" fillId="0" borderId="43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3501957609408E-2"/>
          <c:y val="4.2606620571498499E-2"/>
          <c:w val="0.85754541949112284"/>
          <c:h val="0.91729547818637946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'Maq. 1'!$C$12:$AA$12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8-4B3F-9247-E15962660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105704"/>
        <c:axId val="222102568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'Maq. 1'!$C$27</c:f>
              <c:numCache>
                <c:formatCode>General</c:formatCode>
                <c:ptCount val="1"/>
                <c:pt idx="0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8-4B3F-9247-E15962660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02960"/>
        <c:axId val="222104528"/>
      </c:scatterChart>
      <c:catAx>
        <c:axId val="222105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2102568"/>
        <c:crosses val="autoZero"/>
        <c:auto val="1"/>
        <c:lblAlgn val="ctr"/>
        <c:lblOffset val="100"/>
        <c:noMultiLvlLbl val="0"/>
      </c:catAx>
      <c:valAx>
        <c:axId val="222102568"/>
        <c:scaling>
          <c:orientation val="minMax"/>
          <c:max val="6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FALHAS (ppm)</a:t>
                </a:r>
              </a:p>
            </c:rich>
          </c:tx>
          <c:layout>
            <c:manualLayout>
              <c:xMode val="edge"/>
              <c:yMode val="edge"/>
              <c:x val="2.3094694732509476E-2"/>
              <c:y val="0.385965856941809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2105704"/>
        <c:crosses val="autoZero"/>
        <c:crossBetween val="between"/>
      </c:valAx>
      <c:valAx>
        <c:axId val="2221045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2102960"/>
        <c:crosses val="max"/>
        <c:crossBetween val="midCat"/>
      </c:valAx>
      <c:valAx>
        <c:axId val="222102960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222104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133350</xdr:rowOff>
    </xdr:from>
    <xdr:to>
      <xdr:col>2</xdr:col>
      <xdr:colOff>381000</xdr:colOff>
      <xdr:row>2</xdr:row>
      <xdr:rowOff>114300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04775" y="133350"/>
          <a:ext cx="2019300" cy="590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pt-BR" sz="2000" b="0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1</xdr:col>
      <xdr:colOff>12700</xdr:colOff>
      <xdr:row>12</xdr:row>
      <xdr:rowOff>60325</xdr:rowOff>
    </xdr:from>
    <xdr:to>
      <xdr:col>28</xdr:col>
      <xdr:colOff>0</xdr:colOff>
      <xdr:row>22</xdr:row>
      <xdr:rowOff>0</xdr:rowOff>
    </xdr:to>
    <xdr:graphicFrame macro="">
      <xdr:nvGraphicFramePr>
        <xdr:cNvPr id="3" name="Gráfico 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0</xdr:row>
          <xdr:rowOff>76200</xdr:rowOff>
        </xdr:from>
        <xdr:to>
          <xdr:col>22</xdr:col>
          <xdr:colOff>38100</xdr:colOff>
          <xdr:row>1</xdr:row>
          <xdr:rowOff>200025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200025</xdr:rowOff>
        </xdr:from>
        <xdr:to>
          <xdr:col>22</xdr:col>
          <xdr:colOff>190500</xdr:colOff>
          <xdr:row>2</xdr:row>
          <xdr:rowOff>28575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NOTURNO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19/(1)%20Quality%20Business%20Plan/1.3%20-%20Medi&#231;&#227;o%20e%20Monitoramento/SJCPIL%2016-006-05%20-%20FY2019%20Medi&#231;&#227;o%20e%20Monitorament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5"/>
    </sheetNames>
    <sheetDataSet>
      <sheetData sheetId="0">
        <row r="31">
          <cell r="L31">
            <v>400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1">
          <cell r="Y31">
            <v>330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1:AB30"/>
  <sheetViews>
    <sheetView showZeros="0" tabSelected="1" topLeftCell="A14" zoomScale="80" zoomScaleNormal="80" zoomScaleSheetLayoutView="50" workbookViewId="0">
      <selection activeCell="F30" sqref="F30"/>
    </sheetView>
  </sheetViews>
  <sheetFormatPr defaultColWidth="11.42578125" defaultRowHeight="12.75" x14ac:dyDescent="0.2"/>
  <cols>
    <col min="1" max="1" width="3.85546875" customWidth="1"/>
    <col min="2" max="2" width="22.28515625" bestFit="1" customWidth="1"/>
    <col min="3" max="27" width="9.140625" customWidth="1"/>
    <col min="28" max="28" width="16.7109375" customWidth="1"/>
  </cols>
  <sheetData>
    <row r="1" spans="1:28" ht="13.5" thickBot="1" x14ac:dyDescent="0.25"/>
    <row r="2" spans="1:28" ht="34.5" customHeight="1" thickBot="1" x14ac:dyDescent="0.25">
      <c r="C2" s="1" t="s">
        <v>21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96" t="s">
        <v>0</v>
      </c>
      <c r="Q2" s="96"/>
      <c r="R2" s="96"/>
      <c r="S2" s="3"/>
      <c r="T2" s="4" t="s">
        <v>1</v>
      </c>
      <c r="V2" s="5"/>
      <c r="W2" s="91" t="s">
        <v>23</v>
      </c>
      <c r="X2" s="92"/>
      <c r="Y2" s="93"/>
      <c r="Z2" s="94" t="str">
        <f ca="1">MID(CELL("nome.arquivo"),SEARCH(".xl",CELL("nome.arquivo"))-2,2)&amp;" / 20"&amp;MID(CELL("nome.arquivo"),SEARCH(".xl",CELL("nome.arquivo"))-4,2)</f>
        <v>03 / 2022</v>
      </c>
      <c r="AA2" s="94"/>
      <c r="AB2" s="95"/>
    </row>
    <row r="3" spans="1:28" ht="24.75" customHeight="1" thickBot="1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6"/>
      <c r="Q3" s="7"/>
      <c r="T3" s="2"/>
      <c r="U3" s="8"/>
      <c r="V3" s="52"/>
      <c r="W3" s="9"/>
      <c r="X3" s="9"/>
      <c r="Y3" s="9"/>
      <c r="Z3" s="9"/>
      <c r="AA3" s="9"/>
      <c r="AB3" s="10"/>
    </row>
    <row r="4" spans="1:28" s="13" customFormat="1" ht="30" customHeight="1" x14ac:dyDescent="0.2">
      <c r="A4" s="85" t="s">
        <v>2</v>
      </c>
      <c r="B4" s="86"/>
      <c r="C4" s="57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9"/>
      <c r="Y4" s="59"/>
      <c r="Z4" s="59"/>
      <c r="AA4" s="11"/>
      <c r="AB4" s="12" t="s">
        <v>3</v>
      </c>
    </row>
    <row r="5" spans="1:28" s="18" customFormat="1" ht="30" customHeight="1" thickBot="1" x14ac:dyDescent="0.25">
      <c r="A5" s="87" t="s">
        <v>4</v>
      </c>
      <c r="B5" s="88"/>
      <c r="C5" s="48"/>
      <c r="D5" s="49"/>
      <c r="E5" s="14"/>
      <c r="F5" s="14"/>
      <c r="G5" s="15"/>
      <c r="H5" s="15"/>
      <c r="I5" s="74"/>
      <c r="J5" s="49"/>
      <c r="K5" s="15"/>
      <c r="L5" s="15"/>
      <c r="M5" s="15"/>
      <c r="N5" s="15"/>
      <c r="O5" s="15"/>
      <c r="P5" s="49"/>
      <c r="Q5" s="15"/>
      <c r="R5" s="15"/>
      <c r="S5" s="15"/>
      <c r="T5" s="15"/>
      <c r="U5" s="15"/>
      <c r="V5" s="15"/>
      <c r="W5" s="15"/>
      <c r="X5" s="16"/>
      <c r="Y5" s="16"/>
      <c r="Z5" s="16"/>
      <c r="AA5" s="16"/>
      <c r="AB5" s="17">
        <f>SUM(C5:AA5)</f>
        <v>0</v>
      </c>
    </row>
    <row r="6" spans="1:28" s="18" customFormat="1" ht="30" customHeight="1" x14ac:dyDescent="0.2">
      <c r="A6" s="89" t="s">
        <v>14</v>
      </c>
      <c r="B6" s="90"/>
      <c r="C6" s="60"/>
      <c r="D6" s="61"/>
      <c r="E6" s="46"/>
      <c r="F6" s="56"/>
      <c r="G6" s="56"/>
      <c r="H6" s="56"/>
      <c r="I6" s="46"/>
      <c r="J6" s="46"/>
      <c r="K6" s="5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53"/>
      <c r="AB6" s="21">
        <f t="shared" ref="AB6:AB11" si="0">SUM(C6:AA6)</f>
        <v>0</v>
      </c>
    </row>
    <row r="7" spans="1:28" s="18" customFormat="1" ht="30" customHeight="1" x14ac:dyDescent="0.2">
      <c r="A7" s="89" t="s">
        <v>15</v>
      </c>
      <c r="B7" s="90"/>
      <c r="C7" s="62"/>
      <c r="D7" s="63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54"/>
      <c r="AB7" s="19">
        <f t="shared" si="0"/>
        <v>0</v>
      </c>
    </row>
    <row r="8" spans="1:28" s="18" customFormat="1" ht="30" customHeight="1" x14ac:dyDescent="0.2">
      <c r="A8" s="89" t="s">
        <v>16</v>
      </c>
      <c r="B8" s="90"/>
      <c r="C8" s="62"/>
      <c r="D8" s="63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54"/>
      <c r="AB8" s="19">
        <f t="shared" si="0"/>
        <v>0</v>
      </c>
    </row>
    <row r="9" spans="1:28" s="18" customFormat="1" ht="30" customHeight="1" x14ac:dyDescent="0.2">
      <c r="A9" s="97" t="s">
        <v>17</v>
      </c>
      <c r="B9" s="98"/>
      <c r="C9" s="64"/>
      <c r="D9" s="6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55"/>
      <c r="AB9" s="47">
        <f t="shared" si="0"/>
        <v>0</v>
      </c>
    </row>
    <row r="10" spans="1:28" s="18" customFormat="1" ht="30" customHeight="1" thickBot="1" x14ac:dyDescent="0.25">
      <c r="A10" s="79" t="s">
        <v>18</v>
      </c>
      <c r="B10" s="80"/>
      <c r="C10" s="64"/>
      <c r="D10" s="6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55"/>
      <c r="AB10" s="47">
        <f t="shared" si="0"/>
        <v>0</v>
      </c>
    </row>
    <row r="11" spans="1:28" s="18" customFormat="1" ht="30" customHeight="1" x14ac:dyDescent="0.2">
      <c r="A11" s="75" t="s">
        <v>5</v>
      </c>
      <c r="B11" s="81"/>
      <c r="C11" s="22">
        <f t="shared" ref="C11:AA11" si="1">SUM(C6:C10)</f>
        <v>0</v>
      </c>
      <c r="D11" s="23">
        <f t="shared" si="1"/>
        <v>0</v>
      </c>
      <c r="E11" s="23">
        <f t="shared" si="1"/>
        <v>0</v>
      </c>
      <c r="F11" s="23">
        <f t="shared" si="1"/>
        <v>0</v>
      </c>
      <c r="G11" s="23">
        <f t="shared" si="1"/>
        <v>0</v>
      </c>
      <c r="H11" s="23">
        <f t="shared" si="1"/>
        <v>0</v>
      </c>
      <c r="I11" s="23">
        <f t="shared" si="1"/>
        <v>0</v>
      </c>
      <c r="J11" s="23">
        <f t="shared" si="1"/>
        <v>0</v>
      </c>
      <c r="K11" s="23">
        <f t="shared" si="1"/>
        <v>0</v>
      </c>
      <c r="L11" s="23">
        <f t="shared" si="1"/>
        <v>0</v>
      </c>
      <c r="M11" s="23">
        <f t="shared" si="1"/>
        <v>0</v>
      </c>
      <c r="N11" s="23">
        <f t="shared" si="1"/>
        <v>0</v>
      </c>
      <c r="O11" s="23">
        <f t="shared" si="1"/>
        <v>0</v>
      </c>
      <c r="P11" s="23">
        <f t="shared" si="1"/>
        <v>0</v>
      </c>
      <c r="Q11" s="23">
        <f t="shared" si="1"/>
        <v>0</v>
      </c>
      <c r="R11" s="23">
        <f t="shared" si="1"/>
        <v>0</v>
      </c>
      <c r="S11" s="23">
        <f t="shared" si="1"/>
        <v>0</v>
      </c>
      <c r="T11" s="23">
        <f t="shared" si="1"/>
        <v>0</v>
      </c>
      <c r="U11" s="23">
        <f t="shared" si="1"/>
        <v>0</v>
      </c>
      <c r="V11" s="23">
        <f t="shared" si="1"/>
        <v>0</v>
      </c>
      <c r="W11" s="23">
        <f t="shared" si="1"/>
        <v>0</v>
      </c>
      <c r="X11" s="23">
        <f t="shared" si="1"/>
        <v>0</v>
      </c>
      <c r="Y11" s="23">
        <f t="shared" si="1"/>
        <v>0</v>
      </c>
      <c r="Z11" s="23">
        <f t="shared" si="1"/>
        <v>0</v>
      </c>
      <c r="AA11" s="24">
        <f t="shared" si="1"/>
        <v>0</v>
      </c>
      <c r="AB11" s="25">
        <f t="shared" si="0"/>
        <v>0</v>
      </c>
    </row>
    <row r="12" spans="1:28" s="18" customFormat="1" ht="30" customHeight="1" thickBot="1" x14ac:dyDescent="0.25">
      <c r="A12" s="77" t="s">
        <v>6</v>
      </c>
      <c r="B12" s="82"/>
      <c r="C12" s="26" t="str">
        <f t="shared" ref="C12:AB12" si="2">IF(ISERR(C11/C5),"",C11/C5*1000000)</f>
        <v/>
      </c>
      <c r="D12" s="27" t="str">
        <f t="shared" si="2"/>
        <v/>
      </c>
      <c r="E12" s="27" t="str">
        <f t="shared" si="2"/>
        <v/>
      </c>
      <c r="F12" s="27" t="str">
        <f t="shared" si="2"/>
        <v/>
      </c>
      <c r="G12" s="27" t="str">
        <f t="shared" si="2"/>
        <v/>
      </c>
      <c r="H12" s="27" t="str">
        <f t="shared" si="2"/>
        <v/>
      </c>
      <c r="I12" s="27" t="str">
        <f t="shared" si="2"/>
        <v/>
      </c>
      <c r="J12" s="27" t="str">
        <f t="shared" si="2"/>
        <v/>
      </c>
      <c r="K12" s="27" t="str">
        <f t="shared" si="2"/>
        <v/>
      </c>
      <c r="L12" s="27" t="str">
        <f t="shared" si="2"/>
        <v/>
      </c>
      <c r="M12" s="27" t="str">
        <f t="shared" si="2"/>
        <v/>
      </c>
      <c r="N12" s="27" t="str">
        <f t="shared" si="2"/>
        <v/>
      </c>
      <c r="O12" s="27" t="str">
        <f t="shared" si="2"/>
        <v/>
      </c>
      <c r="P12" s="27" t="str">
        <f t="shared" si="2"/>
        <v/>
      </c>
      <c r="Q12" s="27" t="str">
        <f t="shared" si="2"/>
        <v/>
      </c>
      <c r="R12" s="27" t="str">
        <f t="shared" si="2"/>
        <v/>
      </c>
      <c r="S12" s="27" t="str">
        <f t="shared" si="2"/>
        <v/>
      </c>
      <c r="T12" s="27" t="str">
        <f t="shared" si="2"/>
        <v/>
      </c>
      <c r="U12" s="27" t="str">
        <f t="shared" si="2"/>
        <v/>
      </c>
      <c r="V12" s="27" t="str">
        <f t="shared" si="2"/>
        <v/>
      </c>
      <c r="W12" s="27" t="str">
        <f t="shared" si="2"/>
        <v/>
      </c>
      <c r="X12" s="27" t="str">
        <f t="shared" si="2"/>
        <v/>
      </c>
      <c r="Y12" s="27" t="str">
        <f t="shared" si="2"/>
        <v/>
      </c>
      <c r="Z12" s="27" t="str">
        <f t="shared" si="2"/>
        <v/>
      </c>
      <c r="AA12" s="28" t="str">
        <f t="shared" si="2"/>
        <v/>
      </c>
      <c r="AB12" s="29" t="str">
        <f t="shared" si="2"/>
        <v/>
      </c>
    </row>
    <row r="13" spans="1:28" ht="60" customHeight="1" x14ac:dyDescent="0.2">
      <c r="A13" s="83"/>
      <c r="B13" s="7"/>
      <c r="C13" s="84">
        <f>C30</f>
        <v>0</v>
      </c>
      <c r="D13" s="84">
        <f t="shared" ref="D13:AA13" si="3">D30</f>
        <v>0</v>
      </c>
      <c r="E13" s="84">
        <f t="shared" si="3"/>
        <v>0</v>
      </c>
      <c r="F13" s="84" t="str">
        <f t="shared" si="3"/>
        <v>,</v>
      </c>
      <c r="G13" s="84">
        <f t="shared" si="3"/>
        <v>0</v>
      </c>
      <c r="H13" s="84">
        <f t="shared" si="3"/>
        <v>0</v>
      </c>
      <c r="I13" s="84">
        <f t="shared" si="3"/>
        <v>0</v>
      </c>
      <c r="J13" s="84">
        <f t="shared" si="3"/>
        <v>0</v>
      </c>
      <c r="K13" s="84">
        <f t="shared" si="3"/>
        <v>0</v>
      </c>
      <c r="L13" s="84">
        <f t="shared" si="3"/>
        <v>0</v>
      </c>
      <c r="M13" s="84">
        <f t="shared" si="3"/>
        <v>0</v>
      </c>
      <c r="N13" s="84">
        <f t="shared" si="3"/>
        <v>0</v>
      </c>
      <c r="O13" s="84">
        <f t="shared" si="3"/>
        <v>0</v>
      </c>
      <c r="P13" s="84">
        <f t="shared" si="3"/>
        <v>0</v>
      </c>
      <c r="Q13" s="84">
        <f t="shared" si="3"/>
        <v>0</v>
      </c>
      <c r="R13" s="84">
        <f t="shared" si="3"/>
        <v>0</v>
      </c>
      <c r="S13" s="84">
        <f t="shared" si="3"/>
        <v>0</v>
      </c>
      <c r="T13" s="84">
        <f t="shared" si="3"/>
        <v>0</v>
      </c>
      <c r="U13" s="84">
        <f t="shared" si="3"/>
        <v>0</v>
      </c>
      <c r="V13" s="84">
        <f t="shared" si="3"/>
        <v>0</v>
      </c>
      <c r="W13" s="84">
        <f t="shared" si="3"/>
        <v>0</v>
      </c>
      <c r="X13" s="51"/>
      <c r="Y13" s="51"/>
      <c r="Z13" s="51"/>
      <c r="AA13" s="84">
        <f t="shared" si="3"/>
        <v>0</v>
      </c>
      <c r="AB13" s="30"/>
    </row>
    <row r="14" spans="1:28" ht="60" customHeight="1" x14ac:dyDescent="0.2">
      <c r="A14" s="83"/>
      <c r="B14" s="31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51"/>
      <c r="Y14" s="51"/>
      <c r="Z14" s="51"/>
      <c r="AA14" s="84"/>
      <c r="AB14" s="30"/>
    </row>
    <row r="15" spans="1:28" ht="60" customHeight="1" x14ac:dyDescent="0.2">
      <c r="A15" s="83"/>
      <c r="B15" s="32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51"/>
      <c r="Y15" s="51"/>
      <c r="Z15" s="51"/>
      <c r="AA15" s="84"/>
      <c r="AB15" s="30"/>
    </row>
    <row r="16" spans="1:28" ht="60" customHeight="1" x14ac:dyDescent="0.2">
      <c r="A16" s="83"/>
      <c r="B16" s="52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51"/>
      <c r="Y16" s="51"/>
      <c r="Z16" s="51"/>
      <c r="AA16" s="84"/>
      <c r="AB16" s="30"/>
    </row>
    <row r="17" spans="1:28" ht="60" customHeight="1" x14ac:dyDescent="0.2">
      <c r="A17" s="83"/>
      <c r="B17" s="52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51"/>
      <c r="Y17" s="51"/>
      <c r="Z17" s="51"/>
      <c r="AA17" s="84"/>
      <c r="AB17" s="30"/>
    </row>
    <row r="18" spans="1:28" ht="60" customHeight="1" x14ac:dyDescent="0.2">
      <c r="A18" s="83"/>
      <c r="B18" s="52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51"/>
      <c r="Y18" s="51"/>
      <c r="Z18" s="51"/>
      <c r="AA18" s="84"/>
      <c r="AB18" s="30"/>
    </row>
    <row r="19" spans="1:28" ht="60" customHeight="1" x14ac:dyDescent="0.2">
      <c r="A19" s="83"/>
      <c r="B19" s="52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51"/>
      <c r="Y19" s="51"/>
      <c r="Z19" s="51"/>
      <c r="AA19" s="84"/>
      <c r="AB19" s="30"/>
    </row>
    <row r="20" spans="1:28" ht="60" customHeight="1" x14ac:dyDescent="0.2">
      <c r="A20" s="83"/>
      <c r="B20" s="52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51"/>
      <c r="Y20" s="51"/>
      <c r="Z20" s="51"/>
      <c r="AA20" s="84"/>
      <c r="AB20" s="30"/>
    </row>
    <row r="21" spans="1:28" ht="60" customHeight="1" x14ac:dyDescent="0.2">
      <c r="A21" s="83"/>
      <c r="B21" s="52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51"/>
      <c r="Y21" s="51"/>
      <c r="Z21" s="51"/>
      <c r="AA21" s="84"/>
      <c r="AB21" s="30"/>
    </row>
    <row r="22" spans="1:28" ht="60" customHeight="1" thickBot="1" x14ac:dyDescent="0.25">
      <c r="A22" s="83"/>
      <c r="B22" s="52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51"/>
      <c r="Y22" s="51"/>
      <c r="Z22" s="51"/>
      <c r="AA22" s="84"/>
      <c r="AB22" s="30"/>
    </row>
    <row r="23" spans="1:28" ht="18" customHeight="1" x14ac:dyDescent="0.2">
      <c r="A23" s="75" t="s">
        <v>19</v>
      </c>
      <c r="B23" s="76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1"/>
    </row>
    <row r="24" spans="1:28" ht="18" customHeight="1" thickBot="1" x14ac:dyDescent="0.25">
      <c r="A24" s="77" t="s">
        <v>20</v>
      </c>
      <c r="B24" s="78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3"/>
    </row>
    <row r="25" spans="1:28" s="13" customFormat="1" ht="29.25" customHeight="1" x14ac:dyDescent="0.2">
      <c r="A25" s="66" t="s">
        <v>7</v>
      </c>
      <c r="B25" s="67"/>
      <c r="C25" s="68"/>
      <c r="D25" s="68"/>
      <c r="E25" s="68"/>
      <c r="F25" s="68"/>
      <c r="G25" s="68"/>
      <c r="H25" s="68"/>
      <c r="I25" s="66" t="s">
        <v>8</v>
      </c>
      <c r="K25" s="68"/>
      <c r="M25" s="68"/>
      <c r="N25" s="68"/>
      <c r="O25" s="68"/>
      <c r="Q25" s="69"/>
      <c r="R25" s="66" t="s">
        <v>9</v>
      </c>
      <c r="S25" s="68"/>
      <c r="U25" s="68"/>
      <c r="V25" s="68"/>
      <c r="W25" s="68"/>
      <c r="X25" s="68"/>
      <c r="Y25" s="68"/>
      <c r="Z25" s="68"/>
      <c r="AA25" s="68"/>
      <c r="AB25" s="69"/>
    </row>
    <row r="26" spans="1:28" s="13" customFormat="1" ht="16.5" thickBot="1" x14ac:dyDescent="0.25">
      <c r="A26" s="33" t="s">
        <v>10</v>
      </c>
      <c r="B26" s="34"/>
      <c r="C26" s="35"/>
      <c r="D26" s="35"/>
      <c r="E26" s="35"/>
      <c r="F26" s="35"/>
      <c r="G26" s="35"/>
      <c r="H26" s="35"/>
      <c r="I26" s="33" t="s">
        <v>10</v>
      </c>
      <c r="J26" s="36"/>
      <c r="K26" s="35"/>
      <c r="L26" s="36"/>
      <c r="M26" s="35"/>
      <c r="N26" s="35"/>
      <c r="O26" s="35"/>
      <c r="P26" s="36"/>
      <c r="Q26" s="37"/>
      <c r="R26" s="33" t="s">
        <v>10</v>
      </c>
      <c r="S26" s="35"/>
      <c r="T26" s="36"/>
      <c r="U26" s="35"/>
      <c r="V26" s="35"/>
      <c r="W26" s="35"/>
      <c r="X26" s="35"/>
      <c r="Y26" s="35"/>
      <c r="Z26" s="35"/>
      <c r="AA26" s="35"/>
      <c r="AB26" s="37"/>
    </row>
    <row r="27" spans="1:28" ht="24" customHeight="1" x14ac:dyDescent="0.2">
      <c r="A27" s="38" t="s">
        <v>11</v>
      </c>
      <c r="B27" s="38"/>
      <c r="C27">
        <f>'[2]SJCPIL 16-006-08'!$Y$31</f>
        <v>330</v>
      </c>
    </row>
    <row r="29" spans="1:28" ht="15.75" x14ac:dyDescent="0.25">
      <c r="B29" s="39" t="s">
        <v>12</v>
      </c>
      <c r="C29" s="50">
        <f t="shared" ref="C29:AB29" si="4">C4</f>
        <v>0</v>
      </c>
      <c r="D29" s="50">
        <f t="shared" si="4"/>
        <v>0</v>
      </c>
      <c r="E29" s="50">
        <f t="shared" si="4"/>
        <v>0</v>
      </c>
      <c r="F29" s="50">
        <f t="shared" si="4"/>
        <v>0</v>
      </c>
      <c r="G29" s="50">
        <f t="shared" si="4"/>
        <v>0</v>
      </c>
      <c r="H29" s="50">
        <f t="shared" si="4"/>
        <v>0</v>
      </c>
      <c r="I29" s="50">
        <f t="shared" si="4"/>
        <v>0</v>
      </c>
      <c r="J29" s="50">
        <f t="shared" si="4"/>
        <v>0</v>
      </c>
      <c r="K29" s="50">
        <f t="shared" si="4"/>
        <v>0</v>
      </c>
      <c r="L29" s="50">
        <f t="shared" si="4"/>
        <v>0</v>
      </c>
      <c r="M29" s="50">
        <f t="shared" si="4"/>
        <v>0</v>
      </c>
      <c r="N29" s="50">
        <f t="shared" si="4"/>
        <v>0</v>
      </c>
      <c r="O29" s="50">
        <f t="shared" si="4"/>
        <v>0</v>
      </c>
      <c r="P29" s="50">
        <f t="shared" si="4"/>
        <v>0</v>
      </c>
      <c r="Q29" s="50">
        <f t="shared" si="4"/>
        <v>0</v>
      </c>
      <c r="R29" s="50">
        <f t="shared" si="4"/>
        <v>0</v>
      </c>
      <c r="S29" s="50">
        <f t="shared" si="4"/>
        <v>0</v>
      </c>
      <c r="T29" s="50">
        <f t="shared" si="4"/>
        <v>0</v>
      </c>
      <c r="U29" s="50">
        <f t="shared" si="4"/>
        <v>0</v>
      </c>
      <c r="V29" s="50">
        <f t="shared" si="4"/>
        <v>0</v>
      </c>
      <c r="W29" s="50">
        <f t="shared" si="4"/>
        <v>0</v>
      </c>
      <c r="X29" s="50"/>
      <c r="Y29" s="50"/>
      <c r="Z29" s="50"/>
      <c r="AA29" s="50">
        <f t="shared" si="4"/>
        <v>0</v>
      </c>
      <c r="AB29" s="40" t="str">
        <f t="shared" si="4"/>
        <v>TOTAL</v>
      </c>
    </row>
    <row r="30" spans="1:28" ht="157.5" customHeight="1" x14ac:dyDescent="0.2">
      <c r="B30" s="41" t="s">
        <v>13</v>
      </c>
      <c r="C30" s="42"/>
      <c r="D30" s="42"/>
      <c r="E30" s="42"/>
      <c r="F30" s="42" t="s">
        <v>22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3"/>
      <c r="U30" s="43"/>
      <c r="V30" s="43"/>
      <c r="W30" s="43"/>
      <c r="X30" s="43"/>
      <c r="Y30" s="43"/>
      <c r="Z30" s="43"/>
      <c r="AA30" s="43"/>
      <c r="AB30" s="44"/>
    </row>
  </sheetData>
  <sheetProtection algorithmName="SHA-512" hashValue="WdlXgT/2q1C/X1IIMqLtQGLgq0nrLNORlXS5kzxzDPXk+A0ODXvC/p5l9EU8nH+kPxy1YBpUUuQI8Iixxz9shA==" saltValue="pnKMzLWPzXwIUcX8AUmWlw==" spinCount="100000" sheet="1" objects="1" scenarios="1" selectLockedCells="1"/>
  <mergeCells count="37">
    <mergeCell ref="W2:Y2"/>
    <mergeCell ref="Z2:AB2"/>
    <mergeCell ref="P2:R2"/>
    <mergeCell ref="A9:B9"/>
    <mergeCell ref="AA13:AA22"/>
    <mergeCell ref="P13:P22"/>
    <mergeCell ref="Q13:Q22"/>
    <mergeCell ref="R13:R22"/>
    <mergeCell ref="S13:S22"/>
    <mergeCell ref="T13:T22"/>
    <mergeCell ref="U13:U22"/>
    <mergeCell ref="L13:L22"/>
    <mergeCell ref="M13:M22"/>
    <mergeCell ref="N13:N22"/>
    <mergeCell ref="V13:V22"/>
    <mergeCell ref="W13:W22"/>
    <mergeCell ref="C13:C22"/>
    <mergeCell ref="H13:H22"/>
    <mergeCell ref="I13:I22"/>
    <mergeCell ref="A4:B4"/>
    <mergeCell ref="A5:B5"/>
    <mergeCell ref="A6:B6"/>
    <mergeCell ref="A7:B7"/>
    <mergeCell ref="A8:B8"/>
    <mergeCell ref="O13:O22"/>
    <mergeCell ref="D13:D22"/>
    <mergeCell ref="E13:E22"/>
    <mergeCell ref="F13:F22"/>
    <mergeCell ref="J13:J22"/>
    <mergeCell ref="K13:K22"/>
    <mergeCell ref="G13:G22"/>
    <mergeCell ref="A23:B23"/>
    <mergeCell ref="A24:B24"/>
    <mergeCell ref="A10:B10"/>
    <mergeCell ref="A11:B11"/>
    <mergeCell ref="A12:B12"/>
    <mergeCell ref="A13:A22"/>
  </mergeCells>
  <printOptions horizontalCentered="1" gridLines="1" gridLinesSet="0"/>
  <pageMargins left="0.19685039370078741" right="0.19685039370078741" top="0.59055118110236227" bottom="0.59055118110236227" header="0.27559055118110237" footer="0.19685039370078741"/>
  <pageSetup paperSize="9" scale="50" orientation="landscape" r:id="rId1"/>
  <headerFooter alignWithMargins="0">
    <oddFooter>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20</xdr:col>
                    <xdr:colOff>19050</xdr:colOff>
                    <xdr:row>0</xdr:row>
                    <xdr:rowOff>76200</xdr:rowOff>
                  </from>
                  <to>
                    <xdr:col>22</xdr:col>
                    <xdr:colOff>38100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20</xdr:col>
                    <xdr:colOff>19050</xdr:colOff>
                    <xdr:row>1</xdr:row>
                    <xdr:rowOff>200025</xdr:rowOff>
                  </from>
                  <to>
                    <xdr:col>22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Maq. 1</vt:lpstr>
      <vt:lpstr>'Maq. 1'!Area_de_impressao</vt:lpstr>
      <vt:lpstr>'Maq. 1'!FALHAS_TOTAL_M1D</vt:lpstr>
      <vt:lpstr>PERIODO</vt:lpstr>
      <vt:lpstr>PROD_TOTAL_M1D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2021-10-22T16:59:46Z</cp:lastPrinted>
  <dcterms:created xsi:type="dcterms:W3CDTF">2015-07-08T19:12:53Z</dcterms:created>
  <dcterms:modified xsi:type="dcterms:W3CDTF">2022-02-21T10:46:37Z</dcterms:modified>
</cp:coreProperties>
</file>