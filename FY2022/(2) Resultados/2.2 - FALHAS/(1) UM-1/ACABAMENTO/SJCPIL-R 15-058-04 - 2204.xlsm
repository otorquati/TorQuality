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ACABAMENTO\"/>
    </mc:Choice>
  </mc:AlternateContent>
  <xr:revisionPtr revIDLastSave="0" documentId="13_ncr:1_{93315345-5568-4C14-A64C-04A8ED682821}" xr6:coauthVersionLast="47" xr6:coauthVersionMax="47" xr10:uidLastSave="{00000000-0000-0000-0000-000000000000}"/>
  <bookViews>
    <workbookView xWindow="-120" yWindow="-120" windowWidth="29040" windowHeight="16440" activeTab="4" xr2:uid="{00000000-000D-0000-FFFF-FFFF00000000}"/>
  </bookViews>
  <sheets>
    <sheet name="Instruções de Uso" sheetId="5" r:id="rId1"/>
    <sheet name="SJCPIL-R 15-058-04 - D" sheetId="1" r:id="rId2"/>
    <sheet name="SJCPIL-R 15-058-04 - N" sheetId="4" r:id="rId3"/>
    <sheet name="Resumo de Falhas" sheetId="2" r:id="rId4"/>
    <sheet name="Total por Defeito" sheetId="3" r:id="rId5"/>
  </sheets>
  <externalReferences>
    <externalReference r:id="rId6"/>
  </externalReferences>
  <definedNames>
    <definedName name="_xlnm.Print_Area" localSheetId="1">'SJCPIL-R 15-058-04 - D'!$A$1:$AF$38</definedName>
    <definedName name="_xlnm.Print_Area" localSheetId="2">'SJCPIL-R 15-058-04 - N'!$A$1:$AF$38</definedName>
    <definedName name="_xlnm.Print_Area" localSheetId="4">'Total por Defeito'!$A$1:$P$46</definedName>
    <definedName name="F7.58" localSheetId="2">'SJCPIL-R 15-058-04 - N'!$A$1</definedName>
    <definedName name="F7.58">'SJCPIL-R 15-058-04 - D'!$A$1</definedName>
    <definedName name="produtos">'Resumo de Falhas'!$C$1:$L$1</definedName>
    <definedName name="TARGET">'SJCPIL-R 15-058-04 - D'!$B$39</definedName>
    <definedName name="TOTAL_ACB_UM1">'Resumo de Falhas'!$D$44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9" i="1" l="1"/>
  <c r="AE1" i="1"/>
  <c r="L41" i="1" l="1"/>
  <c r="D41" i="1"/>
  <c r="E41" i="1"/>
  <c r="F41" i="1"/>
  <c r="G41" i="1"/>
  <c r="B39" i="4"/>
  <c r="F45" i="2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C21" i="2" a="1"/>
  <c r="C21" i="2" s="1"/>
  <c r="F44" i="2"/>
  <c r="AE1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4" i="4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4" i="1"/>
  <c r="H41" i="1"/>
  <c r="J41" i="1"/>
  <c r="K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B5" i="4"/>
  <c r="A34" i="4"/>
  <c r="J5" i="4"/>
  <c r="J5" i="1"/>
  <c r="B32" i="1"/>
  <c r="B33" i="1" s="1"/>
  <c r="L38" i="2" a="1"/>
  <c r="L38" i="2" s="1"/>
  <c r="K38" i="2" a="1"/>
  <c r="K38" i="2" s="1"/>
  <c r="J38" i="2" a="1"/>
  <c r="J38" i="2" s="1"/>
  <c r="I38" i="2" a="1"/>
  <c r="I38" i="2" s="1"/>
  <c r="H38" i="2" a="1"/>
  <c r="H38" i="2" s="1"/>
  <c r="G38" i="2" a="1"/>
  <c r="G38" i="2" s="1"/>
  <c r="F38" i="2" a="1"/>
  <c r="F38" i="2" s="1"/>
  <c r="E38" i="2" a="1"/>
  <c r="E38" i="2" s="1"/>
  <c r="D38" i="2" a="1"/>
  <c r="D38" i="2" s="1"/>
  <c r="C38" i="2" a="1"/>
  <c r="C38" i="2" s="1"/>
  <c r="L37" i="2" a="1"/>
  <c r="L37" i="2" s="1"/>
  <c r="K37" i="2" a="1"/>
  <c r="K37" i="2" s="1"/>
  <c r="J37" i="2" a="1"/>
  <c r="J37" i="2" s="1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D37" i="2" a="1"/>
  <c r="D37" i="2" s="1"/>
  <c r="C37" i="2" a="1"/>
  <c r="C37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D36" i="2" a="1"/>
  <c r="D36" i="2" s="1"/>
  <c r="C36" i="2" a="1"/>
  <c r="C36" i="2" s="1"/>
  <c r="L35" i="2" a="1"/>
  <c r="L35" i="2" s="1"/>
  <c r="K35" i="2" a="1"/>
  <c r="K35" i="2" s="1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D35" i="2" a="1"/>
  <c r="D35" i="2" s="1"/>
  <c r="C35" i="2" a="1"/>
  <c r="C35" i="2" s="1"/>
  <c r="L34" i="2" a="1"/>
  <c r="L34" i="2" s="1"/>
  <c r="K34" i="2" a="1"/>
  <c r="K34" i="2" s="1"/>
  <c r="J34" i="2" a="1"/>
  <c r="J34" i="2" s="1"/>
  <c r="I34" i="2" a="1"/>
  <c r="I34" i="2" s="1"/>
  <c r="H34" i="2" a="1"/>
  <c r="H34" i="2" s="1"/>
  <c r="G34" i="2" a="1"/>
  <c r="G34" i="2" s="1"/>
  <c r="F34" i="2" a="1"/>
  <c r="F34" i="2" s="1"/>
  <c r="E34" i="2" a="1"/>
  <c r="E34" i="2" s="1"/>
  <c r="D34" i="2" a="1"/>
  <c r="D34" i="2" s="1"/>
  <c r="C34" i="2" a="1"/>
  <c r="C34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D33" i="2" a="1"/>
  <c r="D33" i="2" s="1"/>
  <c r="C33" i="2" a="1"/>
  <c r="C33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D32" i="2" a="1"/>
  <c r="D32" i="2" s="1"/>
  <c r="C32" i="2" a="1"/>
  <c r="C32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D31" i="2" a="1"/>
  <c r="D31" i="2" s="1"/>
  <c r="C31" i="2" a="1"/>
  <c r="C31" i="2" s="1"/>
  <c r="L30" i="2" a="1"/>
  <c r="L30" i="2" s="1"/>
  <c r="K30" i="2" a="1"/>
  <c r="K30" i="2" s="1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D30" i="2" a="1"/>
  <c r="D30" i="2" s="1"/>
  <c r="C30" i="2" a="1"/>
  <c r="C30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D29" i="2" a="1"/>
  <c r="D29" i="2" s="1"/>
  <c r="C29" i="2" a="1"/>
  <c r="C29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D28" i="2" a="1"/>
  <c r="D28" i="2" s="1"/>
  <c r="C28" i="2" a="1"/>
  <c r="C28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D27" i="2" a="1"/>
  <c r="D27" i="2" s="1"/>
  <c r="C27" i="2" a="1"/>
  <c r="C27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D26" i="2" a="1"/>
  <c r="D26" i="2" s="1"/>
  <c r="C26" i="2" a="1"/>
  <c r="C26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D25" i="2" a="1"/>
  <c r="D25" i="2" s="1"/>
  <c r="C25" i="2" a="1"/>
  <c r="C25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D24" i="2" a="1"/>
  <c r="D24" i="2" s="1"/>
  <c r="C24" i="2" a="1"/>
  <c r="C24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D23" i="2" a="1"/>
  <c r="D23" i="2" s="1"/>
  <c r="C23" i="2" a="1"/>
  <c r="C23" i="2" s="1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 s="1"/>
  <c r="F22" i="2" a="1"/>
  <c r="F22" i="2" s="1"/>
  <c r="E22" i="2" a="1"/>
  <c r="E22" i="2" s="1"/>
  <c r="D22" i="2" a="1"/>
  <c r="D22" i="2" s="1"/>
  <c r="C22" i="2" a="1"/>
  <c r="C22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D19" i="2" a="1"/>
  <c r="D19" i="2" s="1"/>
  <c r="C19" i="2" a="1"/>
  <c r="C19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E18" i="2" a="1"/>
  <c r="E18" i="2" s="1"/>
  <c r="D18" i="2" a="1"/>
  <c r="D18" i="2" s="1"/>
  <c r="C18" i="2" a="1"/>
  <c r="C18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D17" i="2" a="1"/>
  <c r="D17" i="2" s="1"/>
  <c r="C17" i="2" a="1"/>
  <c r="C17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D16" i="2" a="1"/>
  <c r="D16" i="2" s="1"/>
  <c r="C16" i="2" a="1"/>
  <c r="C16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D15" i="2" a="1"/>
  <c r="D15" i="2" s="1"/>
  <c r="C15" i="2" a="1"/>
  <c r="C15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C14" i="2" a="1"/>
  <c r="C14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D13" i="2" a="1"/>
  <c r="D13" i="2" s="1"/>
  <c r="C13" i="2" a="1"/>
  <c r="C13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F12" i="2" a="1"/>
  <c r="F12" i="2" s="1"/>
  <c r="E12" i="2" a="1"/>
  <c r="E12" i="2" s="1"/>
  <c r="D12" i="2" a="1"/>
  <c r="D12" i="2" s="1"/>
  <c r="C12" i="2" a="1"/>
  <c r="C12" i="2" s="1"/>
  <c r="L11" i="2" a="1"/>
  <c r="L11" i="2" s="1"/>
  <c r="K11" i="2" a="1"/>
  <c r="K11" i="2" s="1"/>
  <c r="J11" i="2" a="1"/>
  <c r="J11" i="2" s="1"/>
  <c r="I11" i="2" a="1"/>
  <c r="I11" i="2" s="1"/>
  <c r="H11" i="2" a="1"/>
  <c r="H11" i="2" s="1"/>
  <c r="G11" i="2" a="1"/>
  <c r="G11" i="2" s="1"/>
  <c r="F11" i="2" a="1"/>
  <c r="F11" i="2" s="1"/>
  <c r="E11" i="2" a="1"/>
  <c r="E11" i="2" s="1"/>
  <c r="D11" i="2" a="1"/>
  <c r="D11" i="2" s="1"/>
  <c r="C11" i="2" a="1"/>
  <c r="C11" i="2" s="1"/>
  <c r="L10" i="2" a="1"/>
  <c r="L10" i="2" s="1"/>
  <c r="K10" i="2" a="1"/>
  <c r="K10" i="2" s="1"/>
  <c r="J10" i="2" a="1"/>
  <c r="J10" i="2" s="1"/>
  <c r="I10" i="2" a="1"/>
  <c r="I10" i="2" s="1"/>
  <c r="H10" i="2" a="1"/>
  <c r="H10" i="2" s="1"/>
  <c r="G10" i="2" a="1"/>
  <c r="G10" i="2" s="1"/>
  <c r="F10" i="2" a="1"/>
  <c r="F10" i="2" s="1"/>
  <c r="E10" i="2" a="1"/>
  <c r="E10" i="2" s="1"/>
  <c r="D10" i="2" a="1"/>
  <c r="D10" i="2" s="1"/>
  <c r="C10" i="2" a="1"/>
  <c r="C10" i="2" s="1"/>
  <c r="L9" i="2" a="1"/>
  <c r="L9" i="2" s="1"/>
  <c r="K9" i="2" a="1"/>
  <c r="K9" i="2" s="1"/>
  <c r="J9" i="2" a="1"/>
  <c r="J9" i="2" s="1"/>
  <c r="I9" i="2" a="1"/>
  <c r="I9" i="2" s="1"/>
  <c r="H9" i="2" a="1"/>
  <c r="H9" i="2" s="1"/>
  <c r="G9" i="2" a="1"/>
  <c r="G9" i="2" s="1"/>
  <c r="F9" i="2" a="1"/>
  <c r="F9" i="2" s="1"/>
  <c r="E9" i="2" a="1"/>
  <c r="E9" i="2" s="1"/>
  <c r="D9" i="2" a="1"/>
  <c r="D9" i="2" s="1"/>
  <c r="C9" i="2" a="1"/>
  <c r="C9" i="2" s="1"/>
  <c r="L8" i="2" a="1"/>
  <c r="L8" i="2" s="1"/>
  <c r="K8" i="2" a="1"/>
  <c r="K8" i="2" s="1"/>
  <c r="J8" i="2" a="1"/>
  <c r="J8" i="2" s="1"/>
  <c r="I8" i="2" a="1"/>
  <c r="I8" i="2" s="1"/>
  <c r="H8" i="2" a="1"/>
  <c r="H8" i="2" s="1"/>
  <c r="G8" i="2" a="1"/>
  <c r="G8" i="2" s="1"/>
  <c r="F8" i="2" a="1"/>
  <c r="F8" i="2" s="1"/>
  <c r="E8" i="2" a="1"/>
  <c r="E8" i="2" s="1"/>
  <c r="D8" i="2" a="1"/>
  <c r="D8" i="2" s="1"/>
  <c r="C8" i="2" a="1"/>
  <c r="C8" i="2" s="1"/>
  <c r="L7" i="2" a="1"/>
  <c r="L7" i="2" s="1"/>
  <c r="K7" i="2" a="1"/>
  <c r="K7" i="2" s="1"/>
  <c r="J7" i="2" a="1"/>
  <c r="J7" i="2" s="1"/>
  <c r="I7" i="2" a="1"/>
  <c r="I7" i="2" s="1"/>
  <c r="H7" i="2" a="1"/>
  <c r="H7" i="2" s="1"/>
  <c r="G7" i="2" a="1"/>
  <c r="G7" i="2" s="1"/>
  <c r="F7" i="2" a="1"/>
  <c r="F7" i="2" s="1"/>
  <c r="E7" i="2" a="1"/>
  <c r="E7" i="2" s="1"/>
  <c r="D7" i="2" a="1"/>
  <c r="D7" i="2" s="1"/>
  <c r="C7" i="2" a="1"/>
  <c r="C7" i="2" s="1"/>
  <c r="L6" i="2" a="1"/>
  <c r="L6" i="2" s="1"/>
  <c r="K6" i="2" a="1"/>
  <c r="K6" i="2" s="1"/>
  <c r="J6" i="2" a="1"/>
  <c r="J6" i="2" s="1"/>
  <c r="I6" i="2" a="1"/>
  <c r="I6" i="2" s="1"/>
  <c r="H6" i="2" a="1"/>
  <c r="H6" i="2" s="1"/>
  <c r="G6" i="2" a="1"/>
  <c r="G6" i="2" s="1"/>
  <c r="F6" i="2" a="1"/>
  <c r="F6" i="2" s="1"/>
  <c r="E6" i="2" a="1"/>
  <c r="E6" i="2" s="1"/>
  <c r="D6" i="2" a="1"/>
  <c r="D6" i="2" s="1"/>
  <c r="C6" i="2" a="1"/>
  <c r="C6" i="2" s="1"/>
  <c r="L5" i="2" a="1"/>
  <c r="L5" i="2" s="1"/>
  <c r="K5" i="2" a="1"/>
  <c r="K5" i="2" s="1"/>
  <c r="J5" i="2" a="1"/>
  <c r="J5" i="2" s="1"/>
  <c r="I5" i="2" a="1"/>
  <c r="I5" i="2" s="1"/>
  <c r="H5" i="2" a="1"/>
  <c r="H5" i="2" s="1"/>
  <c r="G5" i="2" a="1"/>
  <c r="G5" i="2" s="1"/>
  <c r="F5" i="2" a="1"/>
  <c r="F5" i="2" s="1"/>
  <c r="E5" i="2" a="1"/>
  <c r="E5" i="2" s="1"/>
  <c r="D5" i="2" a="1"/>
  <c r="D5" i="2" s="1"/>
  <c r="C5" i="2" a="1"/>
  <c r="C5" i="2" s="1"/>
  <c r="L4" i="2" a="1"/>
  <c r="L4" i="2" s="1"/>
  <c r="K4" i="2" a="1"/>
  <c r="K4" i="2" s="1"/>
  <c r="J4" i="2" a="1"/>
  <c r="J4" i="2" s="1"/>
  <c r="I4" i="2" a="1"/>
  <c r="I4" i="2" s="1"/>
  <c r="H4" i="2" a="1"/>
  <c r="H4" i="2" s="1"/>
  <c r="G4" i="2" a="1"/>
  <c r="G4" i="2" s="1"/>
  <c r="F4" i="2" a="1"/>
  <c r="F4" i="2" s="1"/>
  <c r="E4" i="2" a="1"/>
  <c r="E4" i="2" s="1"/>
  <c r="D4" i="2" a="1"/>
  <c r="D4" i="2" s="1"/>
  <c r="C4" i="2" a="1"/>
  <c r="C4" i="2" s="1"/>
  <c r="L3" i="2" a="1"/>
  <c r="L3" i="2" s="1"/>
  <c r="K3" i="2" a="1"/>
  <c r="K3" i="2" s="1"/>
  <c r="J3" i="2" a="1"/>
  <c r="J3" i="2" s="1"/>
  <c r="I3" i="2" a="1"/>
  <c r="I3" i="2" s="1"/>
  <c r="H3" i="2" a="1"/>
  <c r="H3" i="2" s="1"/>
  <c r="G3" i="2" a="1"/>
  <c r="G3" i="2" s="1"/>
  <c r="F3" i="2" a="1"/>
  <c r="F3" i="2" s="1"/>
  <c r="E3" i="2" a="1"/>
  <c r="E3" i="2" s="1"/>
  <c r="D3" i="2" a="1"/>
  <c r="D3" i="2" s="1"/>
  <c r="C3" i="2" a="1"/>
  <c r="C3" i="2" s="1"/>
  <c r="L2" i="2" a="1"/>
  <c r="L2" i="2" s="1"/>
  <c r="L40" i="2" s="1"/>
  <c r="K2" i="2" a="1"/>
  <c r="K2" i="2" s="1"/>
  <c r="J2" i="2" a="1"/>
  <c r="J2" i="2" s="1"/>
  <c r="I2" i="2" a="1"/>
  <c r="I2" i="2" s="1"/>
  <c r="I40" i="2" s="1"/>
  <c r="H2" i="2" a="1"/>
  <c r="H2" i="2" s="1"/>
  <c r="H40" i="2" s="1"/>
  <c r="G2" i="2" a="1"/>
  <c r="G2" i="2" s="1"/>
  <c r="F2" i="2" a="1"/>
  <c r="F2" i="2" s="1"/>
  <c r="F40" i="2" s="1"/>
  <c r="E2" i="2" a="1"/>
  <c r="E2" i="2" s="1"/>
  <c r="E40" i="2" s="1"/>
  <c r="D2" i="2" a="1"/>
  <c r="D2" i="2" s="1"/>
  <c r="D40" i="2" s="1"/>
  <c r="C2" i="2" a="1"/>
  <c r="C2" i="2" s="1"/>
  <c r="U32" i="1"/>
  <c r="U33" i="1" s="1"/>
  <c r="V32" i="1"/>
  <c r="V33" i="1" s="1"/>
  <c r="T32" i="1"/>
  <c r="T33" i="1" s="1"/>
  <c r="W32" i="1"/>
  <c r="W33" i="1" s="1"/>
  <c r="X32" i="1"/>
  <c r="X33" i="1" s="1"/>
  <c r="Y32" i="1"/>
  <c r="Y33" i="1" s="1"/>
  <c r="Z32" i="1"/>
  <c r="Z33" i="1" s="1"/>
  <c r="N32" i="1"/>
  <c r="N33" i="1" s="1"/>
  <c r="C32" i="1"/>
  <c r="C33" i="1" s="1"/>
  <c r="D32" i="1"/>
  <c r="D33" i="1" s="1"/>
  <c r="E32" i="1"/>
  <c r="F32" i="1"/>
  <c r="F33" i="1" s="1"/>
  <c r="G32" i="1"/>
  <c r="G33" i="1" s="1"/>
  <c r="H32" i="1"/>
  <c r="H33" i="1" s="1"/>
  <c r="I32" i="1"/>
  <c r="I33" i="1" s="1"/>
  <c r="J32" i="1"/>
  <c r="J33" i="1" s="1"/>
  <c r="K32" i="1"/>
  <c r="K33" i="1" s="1"/>
  <c r="L32" i="1"/>
  <c r="L33" i="1" s="1"/>
  <c r="M32" i="1"/>
  <c r="M33" i="1" s="1"/>
  <c r="O32" i="1"/>
  <c r="O33" i="1" s="1"/>
  <c r="P32" i="1"/>
  <c r="P33" i="1" s="1"/>
  <c r="Q32" i="1"/>
  <c r="Q33" i="1" s="1"/>
  <c r="R32" i="1"/>
  <c r="R33" i="1" s="1"/>
  <c r="S32" i="1"/>
  <c r="S33" i="1" s="1"/>
  <c r="AA32" i="1"/>
  <c r="AA33" i="1" s="1"/>
  <c r="AB32" i="1"/>
  <c r="AB33" i="1" s="1"/>
  <c r="AC32" i="1"/>
  <c r="AC33" i="1" s="1"/>
  <c r="AD32" i="1"/>
  <c r="AD33" i="1" s="1"/>
  <c r="AE32" i="1"/>
  <c r="AE33" i="1" s="1"/>
  <c r="B38" i="3"/>
  <c r="B27" i="3"/>
  <c r="B28" i="3"/>
  <c r="B29" i="3"/>
  <c r="B30" i="3"/>
  <c r="B31" i="3"/>
  <c r="B32" i="3"/>
  <c r="B33" i="3"/>
  <c r="B34" i="3"/>
  <c r="B35" i="3"/>
  <c r="B36" i="3"/>
  <c r="B37" i="3"/>
  <c r="AC1" i="4"/>
  <c r="E44" i="2"/>
  <c r="B32" i="4"/>
  <c r="B33" i="4" s="1"/>
  <c r="C32" i="4"/>
  <c r="C33" i="4" s="1"/>
  <c r="C5" i="1"/>
  <c r="D5" i="1"/>
  <c r="E5" i="1"/>
  <c r="F5" i="1"/>
  <c r="G5" i="1"/>
  <c r="H5" i="1"/>
  <c r="I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B5" i="1"/>
  <c r="C5" i="4"/>
  <c r="D5" i="4"/>
  <c r="E5" i="4"/>
  <c r="F5" i="4"/>
  <c r="G5" i="4"/>
  <c r="H5" i="4"/>
  <c r="I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D32" i="4"/>
  <c r="D33" i="4" s="1"/>
  <c r="E32" i="4"/>
  <c r="E33" i="4" s="1"/>
  <c r="F32" i="4"/>
  <c r="F33" i="4" s="1"/>
  <c r="G32" i="4"/>
  <c r="G33" i="4" s="1"/>
  <c r="H32" i="4"/>
  <c r="H33" i="4" s="1"/>
  <c r="I32" i="4"/>
  <c r="I33" i="4" s="1"/>
  <c r="J32" i="4"/>
  <c r="J33" i="4" s="1"/>
  <c r="K32" i="4"/>
  <c r="K33" i="4" s="1"/>
  <c r="L32" i="4"/>
  <c r="L33" i="4" s="1"/>
  <c r="M32" i="4"/>
  <c r="M33" i="4" s="1"/>
  <c r="N32" i="4"/>
  <c r="N33" i="4" s="1"/>
  <c r="O32" i="4"/>
  <c r="O33" i="4" s="1"/>
  <c r="P32" i="4"/>
  <c r="P33" i="4" s="1"/>
  <c r="Q32" i="4"/>
  <c r="Q33" i="4" s="1"/>
  <c r="R32" i="4"/>
  <c r="R33" i="4" s="1"/>
  <c r="S32" i="4"/>
  <c r="S33" i="4" s="1"/>
  <c r="T32" i="4"/>
  <c r="T33" i="4" s="1"/>
  <c r="U32" i="4"/>
  <c r="U33" i="4" s="1"/>
  <c r="V32" i="4"/>
  <c r="V33" i="4" s="1"/>
  <c r="W32" i="4"/>
  <c r="W33" i="4" s="1"/>
  <c r="X32" i="4"/>
  <c r="X33" i="4" s="1"/>
  <c r="Y32" i="4"/>
  <c r="Y33" i="4" s="1"/>
  <c r="Z32" i="4"/>
  <c r="Z33" i="4" s="1"/>
  <c r="AA32" i="4"/>
  <c r="AA33" i="4" s="1"/>
  <c r="AB32" i="4"/>
  <c r="AB33" i="4" s="1"/>
  <c r="AC32" i="4"/>
  <c r="AC33" i="4" s="1"/>
  <c r="AD32" i="4"/>
  <c r="AD33" i="4" s="1"/>
  <c r="AE32" i="4"/>
  <c r="AE33" i="4" s="1"/>
  <c r="B26" i="3"/>
  <c r="B22" i="3"/>
  <c r="B23" i="3"/>
  <c r="B25" i="3"/>
  <c r="B24" i="3"/>
  <c r="G40" i="2" l="1"/>
  <c r="J40" i="2"/>
  <c r="K40" i="2"/>
  <c r="M29" i="2"/>
  <c r="D29" i="3" s="1"/>
  <c r="M21" i="2"/>
  <c r="D2" i="3" s="1"/>
  <c r="D47" i="2"/>
  <c r="F39" i="2"/>
  <c r="C39" i="2"/>
  <c r="G39" i="2"/>
  <c r="E39" i="2"/>
  <c r="J39" i="2"/>
  <c r="H39" i="2"/>
  <c r="D39" i="2"/>
  <c r="L39" i="2"/>
  <c r="M26" i="2"/>
  <c r="D26" i="3" s="1"/>
  <c r="M31" i="2"/>
  <c r="D31" i="3" s="1"/>
  <c r="M35" i="2"/>
  <c r="D35" i="3" s="1"/>
  <c r="M36" i="2"/>
  <c r="D36" i="3" s="1"/>
  <c r="M24" i="2"/>
  <c r="D24" i="3" s="1"/>
  <c r="M27" i="2"/>
  <c r="D27" i="3" s="1"/>
  <c r="M28" i="2"/>
  <c r="D28" i="3" s="1"/>
  <c r="M32" i="2"/>
  <c r="D32" i="3" s="1"/>
  <c r="M38" i="2"/>
  <c r="D38" i="3" s="1"/>
  <c r="M22" i="2"/>
  <c r="K39" i="2"/>
  <c r="I39" i="2"/>
  <c r="M25" i="2"/>
  <c r="D25" i="3" s="1"/>
  <c r="M30" i="2"/>
  <c r="D30" i="3" s="1"/>
  <c r="M33" i="2"/>
  <c r="N33" i="2" s="1"/>
  <c r="M34" i="2"/>
  <c r="D34" i="3" s="1"/>
  <c r="M16" i="2"/>
  <c r="C35" i="3" s="1"/>
  <c r="M37" i="2"/>
  <c r="AF32" i="1"/>
  <c r="AF33" i="1" s="1"/>
  <c r="M23" i="2"/>
  <c r="D23" i="3" s="1"/>
  <c r="H20" i="2" a="1"/>
  <c r="H20" i="2" s="1"/>
  <c r="J20" i="2" a="1"/>
  <c r="J20" i="2" s="1"/>
  <c r="M3" i="2"/>
  <c r="C22" i="3" s="1"/>
  <c r="M4" i="2"/>
  <c r="M5" i="2"/>
  <c r="C24" i="3" s="1"/>
  <c r="M6" i="2"/>
  <c r="C25" i="3" s="1"/>
  <c r="M7" i="2"/>
  <c r="M8" i="2"/>
  <c r="M9" i="2"/>
  <c r="C28" i="3" s="1"/>
  <c r="M10" i="2"/>
  <c r="C29" i="3" s="1"/>
  <c r="M11" i="2"/>
  <c r="M12" i="2"/>
  <c r="C31" i="3" s="1"/>
  <c r="M13" i="2"/>
  <c r="M14" i="2"/>
  <c r="C33" i="3" s="1"/>
  <c r="M15" i="2"/>
  <c r="C34" i="3" s="1"/>
  <c r="M17" i="2"/>
  <c r="C36" i="3" s="1"/>
  <c r="M18" i="2"/>
  <c r="M19" i="2"/>
  <c r="C38" i="3" s="1"/>
  <c r="M2" i="2"/>
  <c r="C40" i="2"/>
  <c r="E45" i="2"/>
  <c r="C20" i="2" a="1"/>
  <c r="C20" i="2" s="1"/>
  <c r="D20" i="2" a="1"/>
  <c r="D20" i="2" s="1"/>
  <c r="L20" i="2" a="1"/>
  <c r="L20" i="2" s="1"/>
  <c r="I20" i="2" a="1"/>
  <c r="I20" i="2" s="1"/>
  <c r="F20" i="2" a="1"/>
  <c r="F20" i="2" s="1"/>
  <c r="E33" i="1"/>
  <c r="K20" i="2" a="1"/>
  <c r="K20" i="2" s="1"/>
  <c r="E20" i="2" a="1"/>
  <c r="E20" i="2" s="1"/>
  <c r="G20" i="2" a="1"/>
  <c r="G20" i="2" s="1"/>
  <c r="AF32" i="4"/>
  <c r="AF33" i="4" s="1"/>
  <c r="O27" i="2" l="1"/>
  <c r="N34" i="2"/>
  <c r="E36" i="3"/>
  <c r="F36" i="3" s="1"/>
  <c r="N24" i="2"/>
  <c r="N32" i="2"/>
  <c r="N25" i="2"/>
  <c r="N27" i="2"/>
  <c r="O30" i="2"/>
  <c r="N22" i="2"/>
  <c r="N29" i="2"/>
  <c r="J41" i="2"/>
  <c r="E29" i="3"/>
  <c r="F29" i="3" s="1"/>
  <c r="N31" i="2"/>
  <c r="N38" i="2"/>
  <c r="N35" i="2"/>
  <c r="E25" i="3"/>
  <c r="F25" i="3" s="1"/>
  <c r="E35" i="3"/>
  <c r="F35" i="3" s="1"/>
  <c r="G41" i="2"/>
  <c r="F41" i="2"/>
  <c r="E38" i="3"/>
  <c r="F38" i="3" s="1"/>
  <c r="N30" i="2"/>
  <c r="K41" i="2"/>
  <c r="L41" i="2"/>
  <c r="H41" i="2"/>
  <c r="O37" i="2"/>
  <c r="E24" i="3"/>
  <c r="F24" i="3" s="1"/>
  <c r="D33" i="3"/>
  <c r="E33" i="3" s="1"/>
  <c r="O26" i="2"/>
  <c r="N26" i="2"/>
  <c r="N28" i="2"/>
  <c r="E34" i="3"/>
  <c r="F34" i="3" s="1"/>
  <c r="E31" i="3"/>
  <c r="F31" i="3" s="1"/>
  <c r="O32" i="2"/>
  <c r="N36" i="2"/>
  <c r="E41" i="2"/>
  <c r="I41" i="2"/>
  <c r="D22" i="3"/>
  <c r="E22" i="3" s="1"/>
  <c r="F22" i="3" s="1"/>
  <c r="M39" i="2"/>
  <c r="N39" i="2" s="1"/>
  <c r="N23" i="2"/>
  <c r="D41" i="2"/>
  <c r="E28" i="3"/>
  <c r="F28" i="3" s="1"/>
  <c r="O34" i="2"/>
  <c r="O23" i="2"/>
  <c r="O29" i="2"/>
  <c r="O25" i="2"/>
  <c r="O24" i="2"/>
  <c r="O35" i="2"/>
  <c r="O33" i="2"/>
  <c r="O22" i="2"/>
  <c r="C37" i="3"/>
  <c r="D37" i="3"/>
  <c r="N37" i="2"/>
  <c r="O38" i="2"/>
  <c r="C30" i="3"/>
  <c r="E30" i="3" s="1"/>
  <c r="F30" i="3" s="1"/>
  <c r="C26" i="3"/>
  <c r="E26" i="3" s="1"/>
  <c r="F26" i="3" s="1"/>
  <c r="C32" i="3"/>
  <c r="E32" i="3" s="1"/>
  <c r="F32" i="3" s="1"/>
  <c r="O28" i="2"/>
  <c r="N9" i="2"/>
  <c r="C27" i="3"/>
  <c r="E27" i="3" s="1"/>
  <c r="F27" i="3" s="1"/>
  <c r="C23" i="3"/>
  <c r="E23" i="3" s="1"/>
  <c r="F23" i="3" s="1"/>
  <c r="N14" i="2"/>
  <c r="N13" i="2"/>
  <c r="N11" i="2"/>
  <c r="N3" i="2"/>
  <c r="N12" i="2"/>
  <c r="O36" i="2"/>
  <c r="O31" i="2"/>
  <c r="N8" i="2"/>
  <c r="N19" i="2"/>
  <c r="G44" i="2"/>
  <c r="N18" i="2"/>
  <c r="N17" i="2"/>
  <c r="C2" i="3"/>
  <c r="E2" i="3" s="1"/>
  <c r="N16" i="2"/>
  <c r="N4" i="2"/>
  <c r="N15" i="2"/>
  <c r="N7" i="2"/>
  <c r="D44" i="2"/>
  <c r="M40" i="2"/>
  <c r="M20" i="2"/>
  <c r="C41" i="2"/>
  <c r="N10" i="2"/>
  <c r="N6" i="2"/>
  <c r="N5" i="2"/>
  <c r="I25" i="3" l="1"/>
  <c r="E37" i="3"/>
  <c r="F37" i="3" s="1"/>
  <c r="I38" i="3"/>
  <c r="I24" i="3"/>
  <c r="I30" i="3"/>
  <c r="I29" i="3"/>
  <c r="I34" i="3"/>
  <c r="I28" i="3"/>
  <c r="I23" i="3"/>
  <c r="I26" i="3"/>
  <c r="I32" i="3"/>
  <c r="F33" i="3"/>
  <c r="I33" i="3"/>
  <c r="D45" i="2"/>
  <c r="D46" i="2" s="1"/>
  <c r="M41" i="2"/>
  <c r="N41" i="2" s="1"/>
  <c r="I27" i="3"/>
  <c r="I35" i="3"/>
  <c r="I36" i="3"/>
  <c r="I22" i="3"/>
  <c r="I31" i="3"/>
  <c r="G45" i="2"/>
  <c r="O39" i="2"/>
  <c r="N20" i="2"/>
  <c r="G28" i="3" l="1"/>
  <c r="H28" i="3" s="1"/>
  <c r="E9" i="3" s="1"/>
  <c r="I37" i="3"/>
  <c r="E39" i="3"/>
  <c r="I39" i="3" s="1"/>
  <c r="G23" i="3"/>
  <c r="H23" i="3" s="1"/>
  <c r="D4" i="3" s="1"/>
  <c r="G30" i="3"/>
  <c r="H30" i="3" s="1"/>
  <c r="C11" i="3" s="1"/>
  <c r="G38" i="3"/>
  <c r="H38" i="3" s="1"/>
  <c r="E19" i="3" s="1"/>
  <c r="G37" i="3"/>
  <c r="H37" i="3" s="1"/>
  <c r="D18" i="3" s="1"/>
  <c r="G22" i="3"/>
  <c r="H22" i="3" s="1"/>
  <c r="B3" i="3" s="1"/>
  <c r="G32" i="3"/>
  <c r="H32" i="3" s="1"/>
  <c r="D13" i="3" s="1"/>
  <c r="G29" i="3"/>
  <c r="H29" i="3" s="1"/>
  <c r="E10" i="3" s="1"/>
  <c r="G31" i="3"/>
  <c r="H31" i="3" s="1"/>
  <c r="C12" i="3" s="1"/>
  <c r="G27" i="3"/>
  <c r="H27" i="3" s="1"/>
  <c r="D8" i="3" s="1"/>
  <c r="G35" i="3"/>
  <c r="H35" i="3" s="1"/>
  <c r="E16" i="3" s="1"/>
  <c r="G26" i="3"/>
  <c r="H26" i="3" s="1"/>
  <c r="B7" i="3" s="1"/>
  <c r="G24" i="3"/>
  <c r="H24" i="3" s="1"/>
  <c r="B5" i="3" s="1"/>
  <c r="G34" i="3"/>
  <c r="H34" i="3" s="1"/>
  <c r="G36" i="3"/>
  <c r="H36" i="3" s="1"/>
  <c r="G25" i="3"/>
  <c r="H25" i="3" s="1"/>
  <c r="G33" i="3"/>
  <c r="H33" i="3" s="1"/>
  <c r="C9" i="3" l="1"/>
  <c r="D9" i="3"/>
  <c r="B9" i="3"/>
  <c r="C19" i="3"/>
  <c r="D3" i="3"/>
  <c r="B8" i="3"/>
  <c r="C3" i="3"/>
  <c r="C4" i="3"/>
  <c r="E8" i="3"/>
  <c r="I8" i="3" s="1"/>
  <c r="E4" i="3"/>
  <c r="F4" i="3" s="1"/>
  <c r="C8" i="3"/>
  <c r="B4" i="3"/>
  <c r="E3" i="3"/>
  <c r="F3" i="3" s="1"/>
  <c r="B19" i="3"/>
  <c r="D19" i="3"/>
  <c r="B11" i="3"/>
  <c r="D11" i="3"/>
  <c r="E11" i="3"/>
  <c r="I11" i="3" s="1"/>
  <c r="B18" i="3"/>
  <c r="C18" i="3"/>
  <c r="E18" i="3"/>
  <c r="I18" i="3" s="1"/>
  <c r="C13" i="3"/>
  <c r="D10" i="3"/>
  <c r="B13" i="3"/>
  <c r="C16" i="3"/>
  <c r="B16" i="3"/>
  <c r="C5" i="3"/>
  <c r="E5" i="3"/>
  <c r="I5" i="3" s="1"/>
  <c r="C7" i="3"/>
  <c r="C10" i="3"/>
  <c r="D7" i="3"/>
  <c r="B10" i="3"/>
  <c r="E7" i="3"/>
  <c r="I7" i="3" s="1"/>
  <c r="D5" i="3"/>
  <c r="D16" i="3"/>
  <c r="E13" i="3"/>
  <c r="F13" i="3" s="1"/>
  <c r="B12" i="3"/>
  <c r="E12" i="3"/>
  <c r="I12" i="3" s="1"/>
  <c r="D12" i="3"/>
  <c r="D14" i="3"/>
  <c r="E14" i="3"/>
  <c r="B14" i="3"/>
  <c r="C14" i="3"/>
  <c r="E6" i="3"/>
  <c r="D6" i="3"/>
  <c r="C6" i="3"/>
  <c r="B6" i="3"/>
  <c r="I16" i="3"/>
  <c r="F16" i="3"/>
  <c r="B17" i="3"/>
  <c r="D17" i="3"/>
  <c r="C17" i="3"/>
  <c r="E17" i="3"/>
  <c r="I10" i="3"/>
  <c r="F10" i="3"/>
  <c r="E15" i="3"/>
  <c r="B15" i="3"/>
  <c r="C15" i="3"/>
  <c r="D15" i="3"/>
  <c r="F19" i="3"/>
  <c r="I19" i="3"/>
  <c r="I9" i="3"/>
  <c r="F9" i="3"/>
  <c r="I4" i="3" l="1"/>
  <c r="F11" i="3"/>
  <c r="F18" i="3"/>
  <c r="F5" i="3"/>
  <c r="G3" i="3"/>
  <c r="G4" i="3" s="1"/>
  <c r="F8" i="3"/>
  <c r="I3" i="3"/>
  <c r="F7" i="3"/>
  <c r="F12" i="3"/>
  <c r="I13" i="3"/>
  <c r="I17" i="3"/>
  <c r="F17" i="3"/>
  <c r="I6" i="3"/>
  <c r="F6" i="3"/>
  <c r="I15" i="3"/>
  <c r="F15" i="3"/>
  <c r="I14" i="3"/>
  <c r="F14" i="3"/>
  <c r="G5" i="3" l="1"/>
  <c r="G6" i="3" l="1"/>
  <c r="G7" i="3" l="1"/>
  <c r="G8" i="3" l="1"/>
  <c r="G9" i="3" l="1"/>
  <c r="G10" i="3" l="1"/>
  <c r="G11" i="3" l="1"/>
  <c r="G12" i="3" l="1"/>
  <c r="G13" i="3" l="1"/>
  <c r="G14" i="3" l="1"/>
  <c r="G15" i="3" l="1"/>
  <c r="G16" i="3" l="1"/>
  <c r="G17" i="3" l="1"/>
  <c r="G18" i="3" l="1"/>
  <c r="H17" i="3" s="1"/>
  <c r="J17" i="3" s="1"/>
  <c r="G19" i="3" l="1"/>
  <c r="H19" i="3" s="1"/>
  <c r="J19" i="3" s="1"/>
  <c r="H18" i="3"/>
  <c r="J18" i="3" s="1"/>
  <c r="H3" i="3"/>
  <c r="J3" i="3" s="1"/>
  <c r="H4" i="3"/>
  <c r="J4" i="3" s="1"/>
  <c r="H5" i="3"/>
  <c r="J5" i="3" s="1"/>
  <c r="H6" i="3"/>
  <c r="J6" i="3" s="1"/>
  <c r="H7" i="3"/>
  <c r="J7" i="3" s="1"/>
  <c r="H8" i="3"/>
  <c r="J8" i="3" s="1"/>
  <c r="H9" i="3"/>
  <c r="J9" i="3" s="1"/>
  <c r="H10" i="3"/>
  <c r="J10" i="3" s="1"/>
  <c r="H11" i="3"/>
  <c r="J11" i="3" s="1"/>
  <c r="H12" i="3"/>
  <c r="J12" i="3" s="1"/>
  <c r="H13" i="3"/>
  <c r="J13" i="3" s="1"/>
  <c r="H14" i="3"/>
  <c r="J14" i="3" s="1"/>
  <c r="H15" i="3"/>
  <c r="J15" i="3" s="1"/>
  <c r="H16" i="3"/>
  <c r="J16" i="3" s="1"/>
</calcChain>
</file>

<file path=xl/sharedStrings.xml><?xml version="1.0" encoding="utf-8"?>
<sst xmlns="http://schemas.openxmlformats.org/spreadsheetml/2006/main" count="165" uniqueCount="80">
  <si>
    <t>DIA</t>
  </si>
  <si>
    <t>PRODUÇÃO</t>
  </si>
  <si>
    <t>DIURNO</t>
  </si>
  <si>
    <t>TESTADOR</t>
  </si>
  <si>
    <t>ENCAIXOTAMENTO</t>
  </si>
  <si>
    <t>SHRINK</t>
  </si>
  <si>
    <t>OUTROS</t>
  </si>
  <si>
    <t>T O T A L</t>
  </si>
  <si>
    <t>Modelo</t>
  </si>
  <si>
    <t>SH</t>
  </si>
  <si>
    <t>COL</t>
  </si>
  <si>
    <t>PH</t>
  </si>
  <si>
    <t>NP</t>
  </si>
  <si>
    <t>BIC</t>
  </si>
  <si>
    <t>Turno</t>
  </si>
  <si>
    <t>Produção</t>
  </si>
  <si>
    <t>SUBTOTAL</t>
  </si>
  <si>
    <t>NOITE</t>
  </si>
  <si>
    <t>TOTAL DE PRODUÇÃO</t>
  </si>
  <si>
    <t>TOTAL DE FALHAS</t>
  </si>
  <si>
    <t>TOTAL</t>
  </si>
  <si>
    <t>Produzido</t>
  </si>
  <si>
    <t>Falhas</t>
  </si>
  <si>
    <t>Un.</t>
  </si>
  <si>
    <t>pçs</t>
  </si>
  <si>
    <t>%</t>
  </si>
  <si>
    <t>Valor</t>
  </si>
  <si>
    <t>Total</t>
  </si>
  <si>
    <t>ppm</t>
  </si>
  <si>
    <t>GT</t>
  </si>
  <si>
    <t>Objetivo</t>
  </si>
  <si>
    <t>Diferença</t>
  </si>
  <si>
    <t>NEO</t>
  </si>
  <si>
    <t>NHT</t>
  </si>
  <si>
    <t>TRANF. CORREIA</t>
  </si>
  <si>
    <t>EMPURRADOR</t>
  </si>
  <si>
    <t>EMBALADEIRA</t>
  </si>
  <si>
    <t>ESTRELA</t>
  </si>
  <si>
    <t>Total Dia</t>
  </si>
  <si>
    <t>Total Noite</t>
  </si>
  <si>
    <t>Acumulado</t>
  </si>
  <si>
    <t>pcs</t>
  </si>
  <si>
    <t>SN</t>
  </si>
  <si>
    <t>MODELO</t>
  </si>
  <si>
    <t>Ocorrências</t>
  </si>
  <si>
    <t>Diurno</t>
  </si>
  <si>
    <t>Noturno</t>
  </si>
  <si>
    <t>it</t>
  </si>
  <si>
    <t>it.</t>
  </si>
  <si>
    <t>Operação</t>
  </si>
  <si>
    <t>Sub-Total Dia</t>
  </si>
  <si>
    <t>Sub-Total Noite</t>
  </si>
  <si>
    <t>Calculo</t>
  </si>
  <si>
    <t>Maior</t>
  </si>
  <si>
    <t>Corresp.</t>
  </si>
  <si>
    <t>Inspetor:</t>
  </si>
  <si>
    <t>Data:</t>
  </si>
  <si>
    <t>Produção:</t>
  </si>
  <si>
    <t>Controle da Qualidade:</t>
  </si>
  <si>
    <t>S/ ANEL VERMELHO</t>
  </si>
  <si>
    <t>S/ CAP</t>
  </si>
  <si>
    <t>S/ ARRUELA / ARR. DESLOCADA</t>
  </si>
  <si>
    <t>S/ BOTTOM PLATE</t>
  </si>
  <si>
    <t xml:space="preserve">S/ ARRUELA </t>
  </si>
  <si>
    <t>NOTURNO</t>
  </si>
  <si>
    <t>FALHAS NÃO RECUPERÁVEIS DO ACABAMENTO UM-1</t>
  </si>
  <si>
    <t>CHAPA RISCADA</t>
  </si>
  <si>
    <t>CHAPA MANCHADA</t>
  </si>
  <si>
    <t>Planilhas Bloqueadas após fechamento do mês:</t>
  </si>
  <si>
    <t>Senhas: PANA.AAMM.CQ</t>
  </si>
  <si>
    <t>AA - Ano com 2 digitos</t>
  </si>
  <si>
    <t>MM - Mês com 2 dígitos</t>
  </si>
  <si>
    <t>AMASSADO SUPERIOR</t>
  </si>
  <si>
    <t>AMASSADO INFERIOR</t>
  </si>
  <si>
    <t>PANK</t>
  </si>
  <si>
    <t>TRANSF. CORREIA</t>
  </si>
  <si>
    <t>Visto CQ</t>
  </si>
  <si>
    <t>Visto Supervisor</t>
  </si>
  <si>
    <t>Problemas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</si>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</sst>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"/>
  </numFmts>
  <fonts count="19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4" fontId="3" fillId="0" borderId="0"/>
    <xf numFmtId="10" fontId="4" fillId="0" borderId="0" applyFont="0" applyFill="0" applyBorder="0" applyAlignment="0" applyProtection="0"/>
    <xf numFmtId="0" fontId="5" fillId="0" borderId="0"/>
    <xf numFmtId="0" fontId="2" fillId="0" borderId="0"/>
  </cellStyleXfs>
  <cellXfs count="168">
    <xf numFmtId="0" fontId="0" fillId="0" borderId="0" xfId="0"/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3" fontId="0" fillId="0" borderId="7" xfId="0" applyNumberFormat="1" applyBorder="1"/>
    <xf numFmtId="3" fontId="0" fillId="0" borderId="8" xfId="0" applyNumberFormat="1" applyBorder="1"/>
    <xf numFmtId="3" fontId="0" fillId="0" borderId="9" xfId="0" applyNumberFormat="1" applyBorder="1"/>
    <xf numFmtId="3" fontId="0" fillId="0" borderId="10" xfId="0" applyNumberFormat="1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3" fontId="0" fillId="0" borderId="14" xfId="0" applyNumberFormat="1" applyBorder="1"/>
    <xf numFmtId="3" fontId="0" fillId="0" borderId="1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0" fillId="0" borderId="23" xfId="0" applyNumberFormat="1" applyBorder="1"/>
    <xf numFmtId="3" fontId="0" fillId="0" borderId="24" xfId="0" applyNumberFormat="1" applyBorder="1"/>
    <xf numFmtId="3" fontId="0" fillId="0" borderId="25" xfId="0" applyNumberFormat="1" applyBorder="1"/>
    <xf numFmtId="0" fontId="9" fillId="0" borderId="19" xfId="0" applyFont="1" applyBorder="1"/>
    <xf numFmtId="0" fontId="9" fillId="0" borderId="1" xfId="0" applyFont="1" applyBorder="1"/>
    <xf numFmtId="0" fontId="9" fillId="0" borderId="17" xfId="0" applyFont="1" applyBorder="1"/>
    <xf numFmtId="0" fontId="0" fillId="0" borderId="26" xfId="0" applyBorder="1" applyAlignment="1">
      <alignment horizontal="left"/>
    </xf>
    <xf numFmtId="0" fontId="7" fillId="0" borderId="27" xfId="0" applyFont="1" applyBorder="1" applyAlignment="1">
      <alignment horizontal="left" vertical="center"/>
    </xf>
    <xf numFmtId="0" fontId="7" fillId="0" borderId="28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9" fillId="0" borderId="20" xfId="0" applyFont="1" applyBorder="1"/>
    <xf numFmtId="3" fontId="9" fillId="0" borderId="31" xfId="0" applyNumberFormat="1" applyFont="1" applyBorder="1"/>
    <xf numFmtId="3" fontId="0" fillId="0" borderId="32" xfId="0" applyNumberFormat="1" applyBorder="1"/>
    <xf numFmtId="0" fontId="0" fillId="0" borderId="33" xfId="0" applyBorder="1"/>
    <xf numFmtId="0" fontId="7" fillId="0" borderId="34" xfId="0" applyFont="1" applyBorder="1" applyAlignment="1">
      <alignment horizontal="left" vertical="center"/>
    </xf>
    <xf numFmtId="0" fontId="0" fillId="0" borderId="1" xfId="0" applyBorder="1"/>
    <xf numFmtId="0" fontId="9" fillId="0" borderId="0" xfId="0" applyFont="1"/>
    <xf numFmtId="0" fontId="12" fillId="0" borderId="0" xfId="0" applyFont="1"/>
    <xf numFmtId="0" fontId="9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5" xfId="0" applyNumberFormat="1" applyBorder="1" applyAlignment="1">
      <alignment horizont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right" vertical="center"/>
    </xf>
    <xf numFmtId="0" fontId="0" fillId="2" borderId="1" xfId="0" applyFill="1" applyBorder="1"/>
    <xf numFmtId="0" fontId="10" fillId="0" borderId="19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32" xfId="0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 shrinkToFit="1"/>
      <protection locked="0"/>
    </xf>
    <xf numFmtId="0" fontId="0" fillId="0" borderId="17" xfId="0" applyBorder="1" applyAlignment="1" applyProtection="1">
      <alignment shrinkToFit="1"/>
      <protection locked="0"/>
    </xf>
    <xf numFmtId="0" fontId="0" fillId="0" borderId="17" xfId="0" applyBorder="1" applyAlignment="1" applyProtection="1">
      <alignment horizontal="center" shrinkToFit="1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1" fontId="9" fillId="0" borderId="22" xfId="0" applyNumberFormat="1" applyFont="1" applyBorder="1"/>
    <xf numFmtId="0" fontId="11" fillId="0" borderId="1" xfId="0" applyFont="1" applyBorder="1" applyAlignment="1" applyProtection="1">
      <alignment horizontal="center" vertical="center" textRotation="90" wrapText="1"/>
      <protection locked="0"/>
    </xf>
    <xf numFmtId="0" fontId="7" fillId="0" borderId="37" xfId="0" applyFont="1" applyBorder="1" applyAlignment="1">
      <alignment horizontal="left" vertical="center"/>
    </xf>
    <xf numFmtId="0" fontId="7" fillId="0" borderId="37" xfId="0" applyFont="1" applyBorder="1" applyAlignment="1">
      <alignment horizontal="left" vertical="center" wrapText="1"/>
    </xf>
    <xf numFmtId="0" fontId="2" fillId="0" borderId="0" xfId="0" applyFont="1"/>
    <xf numFmtId="0" fontId="13" fillId="0" borderId="0" xfId="0" applyFont="1" applyAlignment="1">
      <alignment horizontal="left" vertical="center"/>
    </xf>
    <xf numFmtId="0" fontId="14" fillId="0" borderId="0" xfId="0" applyFont="1"/>
    <xf numFmtId="3" fontId="14" fillId="0" borderId="0" xfId="0" applyNumberFormat="1" applyFont="1"/>
    <xf numFmtId="0" fontId="9" fillId="0" borderId="19" xfId="0" applyFont="1" applyBorder="1" applyAlignment="1">
      <alignment shrinkToFit="1"/>
    </xf>
    <xf numFmtId="0" fontId="9" fillId="0" borderId="36" xfId="0" applyFont="1" applyBorder="1"/>
    <xf numFmtId="0" fontId="0" fillId="0" borderId="17" xfId="0" applyBorder="1"/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4" fillId="0" borderId="1" xfId="0" applyFont="1" applyBorder="1" applyAlignment="1" applyProtection="1">
      <alignment horizontal="center" vertical="center" textRotation="90" wrapText="1"/>
      <protection locked="0"/>
    </xf>
    <xf numFmtId="3" fontId="0" fillId="0" borderId="31" xfId="0" applyNumberFormat="1" applyBorder="1"/>
    <xf numFmtId="3" fontId="0" fillId="0" borderId="39" xfId="0" applyNumberFormat="1" applyBorder="1"/>
    <xf numFmtId="3" fontId="0" fillId="0" borderId="40" xfId="0" applyNumberFormat="1" applyBorder="1" applyAlignment="1">
      <alignment horizontal="center"/>
    </xf>
    <xf numFmtId="3" fontId="0" fillId="0" borderId="41" xfId="0" applyNumberFormat="1" applyBorder="1" applyAlignment="1">
      <alignment horizontal="center"/>
    </xf>
    <xf numFmtId="3" fontId="0" fillId="0" borderId="42" xfId="0" applyNumberFormat="1" applyBorder="1"/>
    <xf numFmtId="0" fontId="6" fillId="0" borderId="0" xfId="0" applyFont="1" applyAlignment="1">
      <alignment horizontal="centerContinuous" vertical="center"/>
    </xf>
    <xf numFmtId="0" fontId="0" fillId="0" borderId="4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2" xfId="0" applyBorder="1" applyAlignment="1">
      <alignment horizontal="center"/>
    </xf>
    <xf numFmtId="0" fontId="7" fillId="0" borderId="37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shrinkToFit="1"/>
    </xf>
    <xf numFmtId="1" fontId="0" fillId="0" borderId="33" xfId="0" applyNumberFormat="1" applyBorder="1" applyAlignment="1">
      <alignment horizontal="center" shrinkToFi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45" xfId="0" applyBorder="1" applyAlignment="1">
      <alignment vertical="top"/>
    </xf>
    <xf numFmtId="0" fontId="0" fillId="0" borderId="46" xfId="0" applyBorder="1" applyAlignment="1">
      <alignment vertical="top"/>
    </xf>
    <xf numFmtId="0" fontId="0" fillId="0" borderId="47" xfId="0" applyBorder="1" applyAlignment="1">
      <alignment vertical="top"/>
    </xf>
    <xf numFmtId="0" fontId="0" fillId="0" borderId="44" xfId="0" applyBorder="1"/>
    <xf numFmtId="0" fontId="0" fillId="0" borderId="9" xfId="0" applyBorder="1"/>
    <xf numFmtId="0" fontId="0" fillId="0" borderId="48" xfId="0" applyBorder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/>
    </xf>
    <xf numFmtId="0" fontId="0" fillId="0" borderId="1" xfId="0" applyBorder="1" applyProtection="1">
      <protection locked="0"/>
    </xf>
    <xf numFmtId="3" fontId="0" fillId="0" borderId="0" xfId="0" applyNumberFormat="1"/>
    <xf numFmtId="0" fontId="4" fillId="0" borderId="17" xfId="0" applyFont="1" applyBorder="1" applyAlignment="1" applyProtection="1">
      <alignment shrinkToFit="1"/>
      <protection locked="0"/>
    </xf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15" fillId="4" borderId="0" xfId="6" applyFont="1" applyFill="1"/>
    <xf numFmtId="0" fontId="2" fillId="4" borderId="0" xfId="6" applyFill="1"/>
    <xf numFmtId="0" fontId="16" fillId="4" borderId="0" xfId="6" applyFont="1" applyFill="1"/>
    <xf numFmtId="0" fontId="17" fillId="4" borderId="0" xfId="6" applyFont="1" applyFill="1"/>
    <xf numFmtId="0" fontId="7" fillId="0" borderId="37" xfId="0" quotePrefix="1" applyFont="1" applyBorder="1" applyAlignment="1">
      <alignment horizontal="center" vertical="center"/>
    </xf>
    <xf numFmtId="0" fontId="7" fillId="0" borderId="34" xfId="0" quotePrefix="1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shrinkToFit="1"/>
    </xf>
    <xf numFmtId="1" fontId="0" fillId="0" borderId="54" xfId="0" applyNumberFormat="1" applyBorder="1" applyAlignment="1">
      <alignment horizontal="center" shrinkToFit="1"/>
    </xf>
    <xf numFmtId="0" fontId="8" fillId="0" borderId="52" xfId="0" applyFont="1" applyBorder="1" applyAlignment="1">
      <alignment horizontal="center" vertical="center"/>
    </xf>
    <xf numFmtId="1" fontId="0" fillId="0" borderId="19" xfId="0" applyNumberFormat="1" applyBorder="1" applyAlignment="1">
      <alignment horizontal="center" shrinkToFit="1"/>
    </xf>
    <xf numFmtId="1" fontId="0" fillId="0" borderId="36" xfId="0" applyNumberFormat="1" applyBorder="1" applyAlignment="1">
      <alignment horizontal="center" shrinkToFit="1"/>
    </xf>
    <xf numFmtId="0" fontId="8" fillId="0" borderId="53" xfId="0" applyFont="1" applyBorder="1" applyAlignment="1">
      <alignment horizontal="center" vertical="center"/>
    </xf>
    <xf numFmtId="3" fontId="4" fillId="0" borderId="33" xfId="0" applyNumberFormat="1" applyFont="1" applyBorder="1" applyAlignment="1" applyProtection="1">
      <alignment shrinkToFit="1"/>
      <protection locked="0"/>
    </xf>
    <xf numFmtId="0" fontId="9" fillId="0" borderId="36" xfId="0" applyFont="1" applyBorder="1" applyAlignment="1" applyProtection="1">
      <alignment horizontal="center"/>
      <protection locked="0"/>
    </xf>
    <xf numFmtId="0" fontId="9" fillId="2" borderId="55" xfId="0" applyFont="1" applyFill="1" applyBorder="1" applyAlignment="1">
      <alignment horizontal="center"/>
    </xf>
    <xf numFmtId="1" fontId="14" fillId="0" borderId="0" xfId="0" applyNumberFormat="1" applyFont="1"/>
    <xf numFmtId="1" fontId="2" fillId="0" borderId="0" xfId="0" applyNumberFormat="1" applyFont="1"/>
    <xf numFmtId="1" fontId="0" fillId="0" borderId="0" xfId="0" applyNumberFormat="1"/>
    <xf numFmtId="16" fontId="0" fillId="0" borderId="1" xfId="0" applyNumberFormat="1" applyBorder="1" applyProtection="1">
      <protection locked="0"/>
    </xf>
    <xf numFmtId="3" fontId="0" fillId="0" borderId="38" xfId="0" applyNumberFormat="1" applyBorder="1"/>
    <xf numFmtId="3" fontId="0" fillId="0" borderId="56" xfId="0" applyNumberFormat="1" applyBorder="1"/>
    <xf numFmtId="0" fontId="7" fillId="0" borderId="2" xfId="0" applyFont="1" applyBorder="1" applyAlignment="1">
      <alignment horizontal="left" vertical="center"/>
    </xf>
    <xf numFmtId="3" fontId="0" fillId="0" borderId="3" xfId="0" applyNumberFormat="1" applyBorder="1"/>
    <xf numFmtId="3" fontId="0" fillId="0" borderId="5" xfId="0" applyNumberFormat="1" applyBorder="1"/>
    <xf numFmtId="0" fontId="6" fillId="0" borderId="0" xfId="0" applyFont="1" applyAlignment="1" applyProtection="1">
      <alignment horizontal="centerContinuous" vertical="center"/>
    </xf>
    <xf numFmtId="16" fontId="10" fillId="0" borderId="19" xfId="0" applyNumberFormat="1" applyFont="1" applyBorder="1" applyAlignment="1" applyProtection="1">
      <alignment horizontal="center"/>
      <protection locked="0"/>
    </xf>
    <xf numFmtId="0" fontId="2" fillId="0" borderId="22" xfId="0" quotePrefix="1" applyFont="1" applyBorder="1" applyAlignment="1">
      <alignment horizontal="center" vertical="center" wrapText="1"/>
    </xf>
    <xf numFmtId="0" fontId="2" fillId="0" borderId="23" xfId="0" quotePrefix="1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textRotation="90" wrapText="1"/>
    </xf>
    <xf numFmtId="0" fontId="2" fillId="0" borderId="47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2" fillId="0" borderId="48" xfId="0" applyFont="1" applyBorder="1" applyAlignment="1">
      <alignment horizontal="center" vertical="center" textRotation="90" wrapText="1"/>
    </xf>
    <xf numFmtId="0" fontId="6" fillId="0" borderId="50" xfId="0" quotePrefix="1" applyFont="1" applyBorder="1" applyAlignment="1">
      <alignment horizontal="left" vertical="center" textRotation="90"/>
    </xf>
    <xf numFmtId="0" fontId="6" fillId="0" borderId="50" xfId="0" applyFont="1" applyBorder="1" applyAlignment="1">
      <alignment horizontal="left" vertical="center" textRotation="90"/>
    </xf>
    <xf numFmtId="0" fontId="6" fillId="0" borderId="44" xfId="0" applyFont="1" applyBorder="1" applyAlignment="1">
      <alignment horizontal="left" vertical="center" textRotation="90"/>
    </xf>
    <xf numFmtId="0" fontId="11" fillId="0" borderId="46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9" xfId="0" applyFont="1" applyBorder="1" applyAlignment="1">
      <alignment horizontal="center" vertical="center" textRotation="90" wrapText="1"/>
    </xf>
    <xf numFmtId="0" fontId="0" fillId="0" borderId="23" xfId="0" applyBorder="1" applyAlignment="1">
      <alignment horizontal="center" vertical="center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49" xfId="0" applyFont="1" applyBorder="1" applyAlignment="1">
      <alignment horizontal="center" vertical="center" textRotation="90" wrapText="1"/>
    </xf>
    <xf numFmtId="0" fontId="11" fillId="0" borderId="48" xfId="0" applyFont="1" applyBorder="1" applyAlignment="1">
      <alignment horizontal="center" vertical="center" textRotation="90" wrapText="1"/>
    </xf>
    <xf numFmtId="0" fontId="4" fillId="0" borderId="2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left"/>
    </xf>
    <xf numFmtId="0" fontId="9" fillId="0" borderId="29" xfId="0" applyFont="1" applyBorder="1" applyAlignment="1">
      <alignment horizontal="left"/>
    </xf>
    <xf numFmtId="0" fontId="9" fillId="0" borderId="37" xfId="0" applyFont="1" applyBorder="1" applyAlignment="1">
      <alignment horizontal="left"/>
    </xf>
    <xf numFmtId="0" fontId="9" fillId="0" borderId="28" xfId="0" applyFont="1" applyBorder="1" applyAlignment="1">
      <alignment horizontal="left"/>
    </xf>
    <xf numFmtId="0" fontId="0" fillId="0" borderId="21" xfId="0" applyBorder="1" applyAlignment="1">
      <alignment horizontal="center" vertical="center" textRotation="90"/>
    </xf>
    <xf numFmtId="0" fontId="0" fillId="0" borderId="15" xfId="0" applyBorder="1" applyAlignment="1">
      <alignment horizontal="center" vertical="center" textRotation="90"/>
    </xf>
    <xf numFmtId="0" fontId="0" fillId="0" borderId="38" xfId="0" applyBorder="1" applyAlignment="1">
      <alignment horizontal="center" vertical="center" textRotation="90"/>
    </xf>
    <xf numFmtId="0" fontId="0" fillId="0" borderId="24" xfId="0" applyBorder="1" applyAlignment="1">
      <alignment horizontal="center" vertical="center" textRotation="90"/>
    </xf>
    <xf numFmtId="0" fontId="7" fillId="0" borderId="52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9" fillId="0" borderId="52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0" fontId="9" fillId="2" borderId="1" xfId="0" applyFont="1" applyFill="1" applyBorder="1" applyAlignment="1">
      <alignment horizont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6" xr:uid="{00000000-0005-0000-0000-000004000000}"/>
    <cellStyle name="Percent [2]" xfId="4" xr:uid="{00000000-0005-0000-0000-000005000000}"/>
    <cellStyle name="標準_品質検査" xfId="5" xr:uid="{00000000-0005-0000-0000-000006000000}"/>
  </cellStyles>
  <dxfs count="3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527559448367494E-2"/>
          <c:y val="4.1558494265541632E-2"/>
          <c:w val="0.93390194281270389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'SJCPIL-R 15-058-04 - D'!$AF$2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'SJCPIL-R 15-058-04 - D'!$B$2:$AF$2</c:f>
              <c:strCache>
                <c:ptCount val="31"/>
                <c:pt idx="30">
                  <c:v>Total</c:v>
                </c:pt>
              </c:strCache>
            </c:strRef>
          </c:cat>
          <c:val>
            <c:numRef>
              <c:f>'SJCPIL-R 15-058-04 - D'!$B$33:$AE$33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F-4194-ABCF-2234AE92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62056"/>
        <c:axId val="389662448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15-058-04 - D'!$B$39:$AE$39</c:f>
              <c:numCache>
                <c:formatCode>0</c:formatCode>
                <c:ptCount val="30"/>
                <c:pt idx="0">
                  <c:v>610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2F-4194-ABCF-2234AE92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63624"/>
        <c:axId val="389661272"/>
      </c:scatterChart>
      <c:catAx>
        <c:axId val="389662056"/>
        <c:scaling>
          <c:orientation val="minMax"/>
        </c:scaling>
        <c:delete val="1"/>
        <c:axPos val="b"/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crossAx val="389662448"/>
        <c:crosses val="autoZero"/>
        <c:auto val="1"/>
        <c:lblAlgn val="ctr"/>
        <c:lblOffset val="100"/>
        <c:noMultiLvlLbl val="1"/>
      </c:catAx>
      <c:valAx>
        <c:axId val="389662448"/>
        <c:scaling>
          <c:orientation val="minMax"/>
          <c:max val="100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dash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9662056"/>
        <c:crosses val="autoZero"/>
        <c:crossBetween val="between"/>
      </c:valAx>
      <c:valAx>
        <c:axId val="38966127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89663624"/>
        <c:crosses val="max"/>
        <c:crossBetween val="midCat"/>
      </c:valAx>
      <c:valAx>
        <c:axId val="389663624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89661272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238255050290972E-2"/>
          <c:y val="4.1558494265541632E-2"/>
          <c:w val="0.90473264832927269"/>
          <c:h val="0.91948168562510857"/>
        </c:manualLayout>
      </c:layout>
      <c:lineChart>
        <c:grouping val="standard"/>
        <c:varyColors val="0"/>
        <c:ser>
          <c:idx val="0"/>
          <c:order val="0"/>
          <c:tx>
            <c:strRef>
              <c:f>'SJCPIL-R 15-058-04 - N'!$AF$2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solidFill>
                  <a:srgbClr val="00206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768-4B82-9D69-71ED7A89D138}"/>
              </c:ext>
            </c:extLst>
          </c:dPt>
          <c:cat>
            <c:strRef>
              <c:f>'SJCPIL-R 15-058-04 - N'!$B$2:$AF$2</c:f>
              <c:strCache>
                <c:ptCount val="31"/>
                <c:pt idx="30">
                  <c:v>Total</c:v>
                </c:pt>
              </c:strCache>
            </c:strRef>
          </c:cat>
          <c:val>
            <c:numRef>
              <c:f>'SJCPIL-R 15-058-04 - N'!$B$33:$AE$33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68-4B82-9D69-71ED7A89D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66760"/>
        <c:axId val="38966519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15-058-04 - N'!$B$39:$AE$39</c:f>
              <c:numCache>
                <c:formatCode>0</c:formatCode>
                <c:ptCount val="30"/>
                <c:pt idx="0">
                  <c:v>610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68-4B82-9D69-71ED7A89D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66368"/>
        <c:axId val="389660096"/>
      </c:scatterChart>
      <c:catAx>
        <c:axId val="389666760"/>
        <c:scaling>
          <c:orientation val="minMax"/>
        </c:scaling>
        <c:delete val="1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crossAx val="389665192"/>
        <c:crosses val="autoZero"/>
        <c:auto val="1"/>
        <c:lblAlgn val="ctr"/>
        <c:lblOffset val="100"/>
        <c:noMultiLvlLbl val="0"/>
      </c:catAx>
      <c:valAx>
        <c:axId val="389665192"/>
        <c:scaling>
          <c:orientation val="minMax"/>
          <c:max val="100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dash"/>
            </a:ln>
          </c:spPr>
        </c:minorGridlines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9666760"/>
        <c:crosses val="autoZero"/>
        <c:crossBetween val="between"/>
      </c:valAx>
      <c:valAx>
        <c:axId val="389660096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389666368"/>
        <c:crosses val="autoZero"/>
        <c:crossBetween val="midCat"/>
      </c:valAx>
      <c:valAx>
        <c:axId val="38966636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8966009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do Acabamento UM-1 - Dia</a:t>
            </a:r>
            <a:r>
              <a:rPr lang="pt-BR" baseline="0"/>
              <a:t> + Noite</a:t>
            </a:r>
            <a:r>
              <a:rPr lang="pt-BR"/>
              <a:t> </a:t>
            </a:r>
          </a:p>
        </c:rich>
      </c:tx>
      <c:layout>
        <c:manualLayout>
          <c:xMode val="edge"/>
          <c:yMode val="edge"/>
          <c:x val="0.34519867549668876"/>
          <c:y val="2.6075619295958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80132450331126E-2"/>
          <c:y val="9.302305961754781E-2"/>
          <c:w val="0.89072847682119205"/>
          <c:h val="0.66226310996839677"/>
        </c:manualLayout>
      </c:layout>
      <c:barChart>
        <c:barDir val="col"/>
        <c:grouping val="clustered"/>
        <c:varyColors val="0"/>
        <c:ser>
          <c:idx val="1"/>
          <c:order val="0"/>
          <c:tx>
            <c:v>Problemas</c:v>
          </c:tx>
          <c:spPr>
            <a:gradFill rotWithShape="0"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por Defeito'!$B$3:$B$18</c:f>
              <c:strCache>
                <c:ptCount val="16"/>
                <c:pt idx="0">
                  <c:v>OUTROS</c:v>
                </c:pt>
                <c:pt idx="1">
                  <c:v>EMBALADEIRA</c:v>
                </c:pt>
                <c:pt idx="2">
                  <c:v>EMPURRADOR</c:v>
                </c:pt>
                <c:pt idx="3">
                  <c:v>ESTRELA</c:v>
                </c:pt>
                <c:pt idx="4">
                  <c:v>TRANF. CORREIA</c:v>
                </c:pt>
                <c:pt idx="5">
                  <c:v>SHRINK</c:v>
                </c:pt>
                <c:pt idx="6">
                  <c:v>S/ BOTTOM PLATE</c:v>
                </c:pt>
                <c:pt idx="7">
                  <c:v>S/ ARRUELA / ARR. DESLOCADA</c:v>
                </c:pt>
                <c:pt idx="8">
                  <c:v>PANK</c:v>
                </c:pt>
                <c:pt idx="9">
                  <c:v>AMASSADO INFERIOR</c:v>
                </c:pt>
                <c:pt idx="10">
                  <c:v>AMASSADO SUPERIOR</c:v>
                </c:pt>
                <c:pt idx="11">
                  <c:v>CHAPA MANCHADA</c:v>
                </c:pt>
                <c:pt idx="12">
                  <c:v>CHAPA RISCADA</c:v>
                </c:pt>
                <c:pt idx="13">
                  <c:v>S/ CAP</c:v>
                </c:pt>
                <c:pt idx="14">
                  <c:v>S/ ANEL VERMELHO</c:v>
                </c:pt>
                <c:pt idx="15">
                  <c:v>ENCAIXOTAMENTO</c:v>
                </c:pt>
              </c:strCache>
            </c:strRef>
          </c:cat>
          <c:val>
            <c:numRef>
              <c:f>'Total por Defeito'!$I$3:$I$19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0-4EF9-AA98-6D3FAB5842B1}"/>
            </c:ext>
          </c:extLst>
        </c:ser>
        <c:ser>
          <c:idx val="2"/>
          <c:order val="2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1"/>
            </a:gradFill>
          </c:spPr>
          <c:invertIfNegative val="0"/>
          <c:val>
            <c:numRef>
              <c:f>'Total por Defeito'!$J$3:$J$19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9-4046-9DE0-D78A3A425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9660488"/>
        <c:axId val="389665976"/>
      </c:barChart>
      <c:lineChart>
        <c:grouping val="standard"/>
        <c:varyColors val="0"/>
        <c:ser>
          <c:idx val="0"/>
          <c:order val="1"/>
          <c:tx>
            <c:v>Acumulado%</c:v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por Defeito'!$H$3:$H$18</c:f>
              <c:numCache>
                <c:formatCode>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A0-4EF9-AA98-6D3FAB5842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9659704"/>
        <c:axId val="391084456"/>
      </c:lineChart>
      <c:catAx>
        <c:axId val="389660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96659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89665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1523178807947019E-2"/>
              <c:y val="0.3572359843546284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9660488"/>
        <c:crosses val="autoZero"/>
        <c:crossBetween val="between"/>
      </c:valAx>
      <c:catAx>
        <c:axId val="389659704"/>
        <c:scaling>
          <c:orientation val="minMax"/>
        </c:scaling>
        <c:delete val="1"/>
        <c:axPos val="b"/>
        <c:majorTickMark val="out"/>
        <c:minorTickMark val="none"/>
        <c:tickLblPos val="nextTo"/>
        <c:crossAx val="391084456"/>
        <c:crosses val="autoZero"/>
        <c:auto val="0"/>
        <c:lblAlgn val="ctr"/>
        <c:lblOffset val="100"/>
        <c:noMultiLvlLbl val="0"/>
      </c:catAx>
      <c:valAx>
        <c:axId val="391084456"/>
        <c:scaling>
          <c:orientation val="minMax"/>
          <c:max val="10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7433774834437081"/>
              <c:y val="0.3494132985658409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9659704"/>
        <c:crosses val="max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50393704" l="0.78740157480314965" r="0.78740157480314965" t="0.98425196850393704" header="0.51181102362204722" footer="0.51181102362204722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657225</xdr:colOff>
      <xdr:row>3</xdr:row>
      <xdr:rowOff>371475</xdr:rowOff>
    </xdr:from>
    <xdr:to>
      <xdr:col>31</xdr:col>
      <xdr:colOff>161925</xdr:colOff>
      <xdr:row>13</xdr:row>
      <xdr:rowOff>228600</xdr:rowOff>
    </xdr:to>
    <xdr:graphicFrame macro="">
      <xdr:nvGraphicFramePr>
        <xdr:cNvPr id="1028" name="Gráfico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28575</xdr:rowOff>
        </xdr:from>
        <xdr:to>
          <xdr:col>26</xdr:col>
          <xdr:colOff>0</xdr:colOff>
          <xdr:row>0</xdr:row>
          <xdr:rowOff>247650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171450</xdr:rowOff>
        </xdr:from>
        <xdr:to>
          <xdr:col>26</xdr:col>
          <xdr:colOff>0</xdr:colOff>
          <xdr:row>0</xdr:row>
          <xdr:rowOff>390525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4097" name="Texto 1">
          <a:extLst>
            <a:ext uri="{FF2B5EF4-FFF2-40B4-BE49-F238E27FC236}">
              <a16:creationId xmlns:a16="http://schemas.microsoft.com/office/drawing/2014/main" id="{00000000-0008-0000-0200-0000011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46685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685800</xdr:colOff>
      <xdr:row>3</xdr:row>
      <xdr:rowOff>361950</xdr:rowOff>
    </xdr:from>
    <xdr:to>
      <xdr:col>31</xdr:col>
      <xdr:colOff>657225</xdr:colOff>
      <xdr:row>13</xdr:row>
      <xdr:rowOff>219075</xdr:rowOff>
    </xdr:to>
    <xdr:graphicFrame macro="">
      <xdr:nvGraphicFramePr>
        <xdr:cNvPr id="4100" name="Gráfico 4">
          <a:extLst>
            <a:ext uri="{FF2B5EF4-FFF2-40B4-BE49-F238E27FC236}">
              <a16:creationId xmlns:a16="http://schemas.microsoft.com/office/drawing/2014/main" id="{00000000-0008-0000-02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28575</xdr:rowOff>
        </xdr:from>
        <xdr:to>
          <xdr:col>26</xdr:col>
          <xdr:colOff>0</xdr:colOff>
          <xdr:row>0</xdr:row>
          <xdr:rowOff>247650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171450</xdr:rowOff>
        </xdr:from>
        <xdr:to>
          <xdr:col>26</xdr:col>
          <xdr:colOff>0</xdr:colOff>
          <xdr:row>0</xdr:row>
          <xdr:rowOff>390525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9525</xdr:colOff>
      <xdr:row>46</xdr:row>
      <xdr:rowOff>9525</xdr:rowOff>
    </xdr:to>
    <xdr:graphicFrame macro="">
      <xdr:nvGraphicFramePr>
        <xdr:cNvPr id="3073" name="Gráfico 1">
          <a:extLs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6">
          <cell r="Y6">
            <v>610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workbookViewId="0"/>
  </sheetViews>
  <sheetFormatPr defaultColWidth="9.140625" defaultRowHeight="12.75"/>
  <cols>
    <col min="1" max="16384" width="9.140625" style="105"/>
  </cols>
  <sheetData>
    <row r="2" spans="2:19" ht="27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</row>
    <row r="7" spans="2:19" ht="18">
      <c r="N7" s="106"/>
    </row>
    <row r="8" spans="2:19" ht="18">
      <c r="N8" s="106"/>
    </row>
    <row r="9" spans="2:19" ht="18">
      <c r="H9" s="106"/>
    </row>
    <row r="11" spans="2:19" ht="18">
      <c r="H11" s="106"/>
      <c r="I11" s="106"/>
      <c r="K11" s="106"/>
      <c r="M11" s="106"/>
      <c r="N11" s="106"/>
      <c r="O11" s="106"/>
      <c r="P11" s="106"/>
      <c r="Q11" s="106"/>
      <c r="R11" s="106"/>
      <c r="S11" s="106"/>
    </row>
    <row r="12" spans="2:19" ht="18"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</row>
    <row r="13" spans="2:19" ht="18">
      <c r="B13" s="106"/>
      <c r="C13" s="106"/>
      <c r="D13" s="106"/>
      <c r="E13" s="106"/>
      <c r="F13" s="106"/>
      <c r="G13" s="106"/>
      <c r="H13" s="106"/>
      <c r="I13" s="106"/>
      <c r="K13" s="106"/>
      <c r="L13" s="106"/>
      <c r="M13" s="106"/>
      <c r="N13" s="106"/>
      <c r="O13" s="106"/>
      <c r="P13" s="106"/>
      <c r="Q13" s="106"/>
      <c r="R13" s="106"/>
      <c r="S13" s="106"/>
    </row>
    <row r="14" spans="2:19" ht="18"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</row>
    <row r="15" spans="2:19" ht="18"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</row>
    <row r="16" spans="2:19" ht="18"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</row>
    <row r="17" spans="2:14" ht="18"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</row>
    <row r="18" spans="2:14" ht="18"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</row>
    <row r="19" spans="2:14" ht="18"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</row>
    <row r="20" spans="2:14" ht="18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</row>
    <row r="21" spans="2:14" ht="18"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</row>
    <row r="22" spans="2:14" ht="18"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</row>
    <row r="23" spans="2:14" ht="18"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</row>
    <row r="24" spans="2:14" ht="18"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</row>
    <row r="25" spans="2:14" ht="18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</row>
    <row r="35" spans="2:6">
      <c r="B35" s="107" t="s">
        <v>68</v>
      </c>
      <c r="C35" s="107"/>
      <c r="D35" s="107"/>
      <c r="E35" s="107"/>
      <c r="F35" s="107"/>
    </row>
    <row r="36" spans="2:6">
      <c r="B36" s="107" t="s">
        <v>69</v>
      </c>
      <c r="C36" s="107"/>
      <c r="D36" s="107"/>
      <c r="E36" s="107"/>
      <c r="F36" s="107"/>
    </row>
    <row r="37" spans="2:6">
      <c r="B37" s="107"/>
      <c r="C37" s="107"/>
      <c r="D37" s="107"/>
      <c r="E37" s="107"/>
      <c r="F37" s="107"/>
    </row>
    <row r="38" spans="2:6">
      <c r="B38" s="107" t="s">
        <v>70</v>
      </c>
      <c r="C38" s="107"/>
      <c r="D38" s="107"/>
      <c r="E38" s="107"/>
      <c r="F38" s="107"/>
    </row>
    <row r="39" spans="2:6">
      <c r="B39" s="107" t="s">
        <v>71</v>
      </c>
      <c r="C39" s="107"/>
      <c r="D39" s="107"/>
      <c r="E39" s="107"/>
      <c r="F39" s="107"/>
    </row>
  </sheetData>
  <sheetProtection algorithmName="SHA-512" hashValue="wh3lHOjC3RI9ivN+UUEGorE2yUaCaXPEjBaGMTD4HHwuHEk6lDo+3O93YvSFJ6csu1pkfJch3/toUJNkOTKZww==" saltValue="dHbAcn+yv1QsNdibZp5mp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F42"/>
  <sheetViews>
    <sheetView showZeros="0" zoomScaleNormal="100" zoomScaleSheetLayoutView="100" workbookViewId="0">
      <selection activeCell="B2" sqref="B2"/>
    </sheetView>
  </sheetViews>
  <sheetFormatPr defaultColWidth="11.42578125" defaultRowHeight="12.75"/>
  <cols>
    <col min="1" max="1" width="22" customWidth="1"/>
    <col min="2" max="31" width="6.7109375" customWidth="1"/>
    <col min="32" max="32" width="9.28515625" customWidth="1"/>
  </cols>
  <sheetData>
    <row r="1" spans="1:32" ht="32.25" customHeight="1" thickBot="1">
      <c r="B1" s="76" t="s">
        <v>65</v>
      </c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131" t="s">
        <v>79</v>
      </c>
      <c r="AD1" s="132"/>
      <c r="AE1" s="133" t="str">
        <f ca="1">MID(CELL("nome.arquivo"),SEARCH(".xl",CELL("nome.arquivo"))-2,2)&amp;" / 20"&amp;MID(CELL("nome.arquivo"),SEARCH(".xl",CELL("nome.arquivo"))-4,2)</f>
        <v>03 / 2022</v>
      </c>
      <c r="AF1" s="134"/>
    </row>
    <row r="2" spans="1:32" ht="15" customHeight="1">
      <c r="A2" s="77" t="s">
        <v>0</v>
      </c>
      <c r="B2" s="130"/>
      <c r="C2" s="130"/>
      <c r="D2" s="130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118" t="s">
        <v>27</v>
      </c>
    </row>
    <row r="3" spans="1:32" ht="15" customHeight="1">
      <c r="A3" s="78" t="s">
        <v>43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50"/>
    </row>
    <row r="4" spans="1:32" ht="30" customHeight="1" thickBot="1">
      <c r="A4" s="79" t="s">
        <v>1</v>
      </c>
      <c r="B4" s="51"/>
      <c r="C4" s="52"/>
      <c r="D4" s="52"/>
      <c r="E4" s="52"/>
      <c r="F4" s="52"/>
      <c r="G4" s="52"/>
      <c r="H4" s="52"/>
      <c r="I4" s="52"/>
      <c r="J4" s="5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17">
        <f>SUM(B4:AE4)</f>
        <v>0</v>
      </c>
    </row>
    <row r="5" spans="1:32" ht="30" customHeight="1">
      <c r="A5" s="80" t="s">
        <v>28</v>
      </c>
      <c r="B5" s="135" t="str">
        <f>IF(B42&lt;&gt;"",B42,"")</f>
        <v/>
      </c>
      <c r="C5" s="135" t="str">
        <f t="shared" ref="C5:AF5" si="0">IF(C42&lt;&gt;"",C42,"")</f>
        <v/>
      </c>
      <c r="D5" s="135" t="str">
        <f t="shared" si="0"/>
        <v/>
      </c>
      <c r="E5" s="135" t="str">
        <f t="shared" si="0"/>
        <v/>
      </c>
      <c r="F5" s="135" t="str">
        <f t="shared" si="0"/>
        <v/>
      </c>
      <c r="G5" s="135" t="str">
        <f t="shared" si="0"/>
        <v/>
      </c>
      <c r="H5" s="135" t="str">
        <f t="shared" si="0"/>
        <v/>
      </c>
      <c r="I5" s="135" t="str">
        <f>IF(J42&lt;&gt;"",J42,"")</f>
        <v/>
      </c>
      <c r="J5" s="135" t="str">
        <f>IF(K42&lt;&gt;"",K42,"")</f>
        <v/>
      </c>
      <c r="K5" s="135" t="str">
        <f t="shared" si="0"/>
        <v/>
      </c>
      <c r="L5" s="135" t="str">
        <f t="shared" si="0"/>
        <v/>
      </c>
      <c r="M5" s="135" t="str">
        <f t="shared" si="0"/>
        <v/>
      </c>
      <c r="N5" s="135" t="str">
        <f t="shared" si="0"/>
        <v/>
      </c>
      <c r="O5" s="135" t="str">
        <f t="shared" si="0"/>
        <v/>
      </c>
      <c r="P5" s="135" t="str">
        <f t="shared" si="0"/>
        <v/>
      </c>
      <c r="Q5" s="135" t="str">
        <f t="shared" si="0"/>
        <v/>
      </c>
      <c r="R5" s="135" t="str">
        <f t="shared" si="0"/>
        <v/>
      </c>
      <c r="S5" s="135" t="str">
        <f t="shared" si="0"/>
        <v/>
      </c>
      <c r="T5" s="135" t="str">
        <f t="shared" si="0"/>
        <v/>
      </c>
      <c r="U5" s="135" t="str">
        <f t="shared" si="0"/>
        <v/>
      </c>
      <c r="V5" s="135" t="str">
        <f t="shared" si="0"/>
        <v/>
      </c>
      <c r="W5" s="135" t="str">
        <f t="shared" si="0"/>
        <v/>
      </c>
      <c r="X5" s="135" t="str">
        <f t="shared" si="0"/>
        <v/>
      </c>
      <c r="Y5" s="135" t="str">
        <f t="shared" si="0"/>
        <v/>
      </c>
      <c r="Z5" s="135" t="str">
        <f t="shared" si="0"/>
        <v/>
      </c>
      <c r="AA5" s="135" t="str">
        <f t="shared" si="0"/>
        <v/>
      </c>
      <c r="AB5" s="135" t="str">
        <f t="shared" si="0"/>
        <v/>
      </c>
      <c r="AC5" s="135" t="str">
        <f t="shared" si="0"/>
        <v/>
      </c>
      <c r="AD5" s="135" t="str">
        <f t="shared" si="0"/>
        <v/>
      </c>
      <c r="AE5" s="135" t="str">
        <f t="shared" si="0"/>
        <v/>
      </c>
      <c r="AF5" s="138" t="str">
        <f t="shared" si="0"/>
        <v/>
      </c>
    </row>
    <row r="6" spans="1:32" ht="30" customHeight="1">
      <c r="A6" s="141" t="s">
        <v>2</v>
      </c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9"/>
    </row>
    <row r="7" spans="1:32" ht="30" customHeight="1">
      <c r="A7" s="142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9"/>
    </row>
    <row r="8" spans="1:32" ht="30" customHeight="1">
      <c r="A8" s="142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9"/>
    </row>
    <row r="9" spans="1:32" ht="30" customHeight="1">
      <c r="A9" s="142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9"/>
    </row>
    <row r="10" spans="1:32" ht="30" customHeight="1">
      <c r="A10" s="142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9"/>
    </row>
    <row r="11" spans="1:32" ht="30" customHeight="1">
      <c r="A11" s="142"/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9"/>
    </row>
    <row r="12" spans="1:32" ht="30" customHeight="1">
      <c r="A12" s="142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9"/>
    </row>
    <row r="13" spans="1:32" ht="30" customHeight="1">
      <c r="A13" s="142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9"/>
    </row>
    <row r="14" spans="1:32" ht="30" customHeight="1" thickBot="1">
      <c r="A14" s="143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40"/>
    </row>
    <row r="15" spans="1:32" ht="21.95" customHeight="1">
      <c r="A15" s="81" t="s">
        <v>3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5">
        <f t="shared" ref="AF15:AF31" si="1">SUM(B15:AE15)</f>
        <v>0</v>
      </c>
    </row>
    <row r="16" spans="1:32" ht="21.95" customHeight="1">
      <c r="A16" s="82" t="s">
        <v>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7">
        <f t="shared" si="1"/>
        <v>0</v>
      </c>
    </row>
    <row r="17" spans="1:32" ht="21.95" customHeight="1">
      <c r="A17" s="82" t="s">
        <v>59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7">
        <f t="shared" si="1"/>
        <v>0</v>
      </c>
    </row>
    <row r="18" spans="1:32" ht="21.95" customHeight="1">
      <c r="A18" s="82" t="s">
        <v>60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7">
        <f t="shared" si="1"/>
        <v>0</v>
      </c>
    </row>
    <row r="19" spans="1:32" ht="21.95" customHeight="1">
      <c r="A19" s="82" t="s">
        <v>66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7">
        <f t="shared" si="1"/>
        <v>0</v>
      </c>
    </row>
    <row r="20" spans="1:32" ht="21.95" customHeight="1">
      <c r="A20" s="82" t="s">
        <v>67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7">
        <f t="shared" si="1"/>
        <v>0</v>
      </c>
    </row>
    <row r="21" spans="1:32" ht="21.95" customHeight="1">
      <c r="A21" s="82" t="s">
        <v>72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7">
        <f t="shared" si="1"/>
        <v>0</v>
      </c>
    </row>
    <row r="22" spans="1:32" ht="21.95" customHeight="1">
      <c r="A22" s="82" t="s">
        <v>73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7">
        <f t="shared" si="1"/>
        <v>0</v>
      </c>
    </row>
    <row r="23" spans="1:32" ht="21.95" customHeight="1">
      <c r="A23" s="82" t="s">
        <v>74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7">
        <f t="shared" si="1"/>
        <v>0</v>
      </c>
    </row>
    <row r="24" spans="1:32" ht="21.95" customHeight="1">
      <c r="A24" s="85" t="s">
        <v>63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7">
        <f t="shared" si="1"/>
        <v>0</v>
      </c>
    </row>
    <row r="25" spans="1:32" ht="21.95" customHeight="1">
      <c r="A25" s="82" t="s">
        <v>62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7">
        <f t="shared" si="1"/>
        <v>0</v>
      </c>
    </row>
    <row r="26" spans="1:32" ht="21.95" customHeight="1">
      <c r="A26" s="82" t="s">
        <v>5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7">
        <f t="shared" si="1"/>
        <v>0</v>
      </c>
    </row>
    <row r="27" spans="1:32" ht="21.95" customHeight="1">
      <c r="A27" s="109" t="s">
        <v>75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7">
        <f t="shared" si="1"/>
        <v>0</v>
      </c>
    </row>
    <row r="28" spans="1:32" ht="21.95" customHeight="1">
      <c r="A28" s="86" t="s">
        <v>37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7">
        <f t="shared" si="1"/>
        <v>0</v>
      </c>
    </row>
    <row r="29" spans="1:32" ht="21.95" customHeight="1">
      <c r="A29" s="86" t="s">
        <v>35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7">
        <f t="shared" si="1"/>
        <v>0</v>
      </c>
    </row>
    <row r="30" spans="1:32" ht="21.95" customHeight="1">
      <c r="A30" s="86" t="s">
        <v>36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7">
        <f t="shared" si="1"/>
        <v>0</v>
      </c>
    </row>
    <row r="31" spans="1:32" ht="21.95" customHeight="1">
      <c r="A31" s="86" t="s">
        <v>6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7">
        <f t="shared" si="1"/>
        <v>0</v>
      </c>
    </row>
    <row r="32" spans="1:32" ht="21.95" customHeight="1">
      <c r="A32" s="87" t="s">
        <v>7</v>
      </c>
      <c r="B32" s="83">
        <f>SUM(B15:B31)</f>
        <v>0</v>
      </c>
      <c r="C32" s="83">
        <f t="shared" ref="C32:AF32" si="2">SUM(C15:C31)</f>
        <v>0</v>
      </c>
      <c r="D32" s="83">
        <f t="shared" si="2"/>
        <v>0</v>
      </c>
      <c r="E32" s="83">
        <f t="shared" si="2"/>
        <v>0</v>
      </c>
      <c r="F32" s="83">
        <f t="shared" si="2"/>
        <v>0</v>
      </c>
      <c r="G32" s="83">
        <f t="shared" si="2"/>
        <v>0</v>
      </c>
      <c r="H32" s="83">
        <f t="shared" si="2"/>
        <v>0</v>
      </c>
      <c r="I32" s="83">
        <f t="shared" si="2"/>
        <v>0</v>
      </c>
      <c r="J32" s="83">
        <f t="shared" si="2"/>
        <v>0</v>
      </c>
      <c r="K32" s="83">
        <f t="shared" si="2"/>
        <v>0</v>
      </c>
      <c r="L32" s="83">
        <f t="shared" si="2"/>
        <v>0</v>
      </c>
      <c r="M32" s="83">
        <f t="shared" si="2"/>
        <v>0</v>
      </c>
      <c r="N32" s="83">
        <f t="shared" si="2"/>
        <v>0</v>
      </c>
      <c r="O32" s="83">
        <f t="shared" si="2"/>
        <v>0</v>
      </c>
      <c r="P32" s="83">
        <f t="shared" si="2"/>
        <v>0</v>
      </c>
      <c r="Q32" s="83">
        <f t="shared" si="2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2"/>
        <v>0</v>
      </c>
      <c r="W32" s="83">
        <f t="shared" si="2"/>
        <v>0</v>
      </c>
      <c r="X32" s="83">
        <f t="shared" si="2"/>
        <v>0</v>
      </c>
      <c r="Y32" s="83">
        <f t="shared" si="2"/>
        <v>0</v>
      </c>
      <c r="Z32" s="83">
        <f t="shared" si="2"/>
        <v>0</v>
      </c>
      <c r="AA32" s="83">
        <f t="shared" si="2"/>
        <v>0</v>
      </c>
      <c r="AB32" s="83">
        <f t="shared" si="2"/>
        <v>0</v>
      </c>
      <c r="AC32" s="83">
        <f t="shared" si="2"/>
        <v>0</v>
      </c>
      <c r="AD32" s="83">
        <f t="shared" si="2"/>
        <v>0</v>
      </c>
      <c r="AE32" s="83">
        <f t="shared" si="2"/>
        <v>0</v>
      </c>
      <c r="AF32" s="84">
        <f t="shared" si="2"/>
        <v>0</v>
      </c>
    </row>
    <row r="33" spans="1:32" ht="21.95" customHeight="1" thickBot="1">
      <c r="A33" s="110" t="s">
        <v>28</v>
      </c>
      <c r="B33" s="111" t="str">
        <f>IF(ISERR(B32/B4),"",B32/B4*1000000)</f>
        <v/>
      </c>
      <c r="C33" s="111" t="str">
        <f t="shared" ref="C33:AE33" si="3">IF(ISERR(C32/C4),"",C32/C4*1000000)</f>
        <v/>
      </c>
      <c r="D33" s="111" t="str">
        <f t="shared" si="3"/>
        <v/>
      </c>
      <c r="E33" s="111" t="str">
        <f t="shared" si="3"/>
        <v/>
      </c>
      <c r="F33" s="111" t="str">
        <f t="shared" si="3"/>
        <v/>
      </c>
      <c r="G33" s="111" t="str">
        <f t="shared" si="3"/>
        <v/>
      </c>
      <c r="H33" s="111" t="str">
        <f t="shared" si="3"/>
        <v/>
      </c>
      <c r="I33" s="111" t="str">
        <f t="shared" si="3"/>
        <v/>
      </c>
      <c r="J33" s="111" t="str">
        <f t="shared" si="3"/>
        <v/>
      </c>
      <c r="K33" s="111" t="str">
        <f t="shared" si="3"/>
        <v/>
      </c>
      <c r="L33" s="111" t="str">
        <f t="shared" si="3"/>
        <v/>
      </c>
      <c r="M33" s="111" t="str">
        <f t="shared" si="3"/>
        <v/>
      </c>
      <c r="N33" s="111" t="str">
        <f t="shared" si="3"/>
        <v/>
      </c>
      <c r="O33" s="111" t="str">
        <f t="shared" si="3"/>
        <v/>
      </c>
      <c r="P33" s="111" t="str">
        <f t="shared" si="3"/>
        <v/>
      </c>
      <c r="Q33" s="111" t="str">
        <f t="shared" si="3"/>
        <v/>
      </c>
      <c r="R33" s="111" t="str">
        <f t="shared" si="3"/>
        <v/>
      </c>
      <c r="S33" s="111" t="str">
        <f t="shared" si="3"/>
        <v/>
      </c>
      <c r="T33" s="111" t="str">
        <f t="shared" si="3"/>
        <v/>
      </c>
      <c r="U33" s="111" t="str">
        <f t="shared" si="3"/>
        <v/>
      </c>
      <c r="V33" s="111" t="str">
        <f t="shared" si="3"/>
        <v/>
      </c>
      <c r="W33" s="111" t="str">
        <f t="shared" si="3"/>
        <v/>
      </c>
      <c r="X33" s="111" t="str">
        <f t="shared" si="3"/>
        <v/>
      </c>
      <c r="Y33" s="111" t="str">
        <f t="shared" si="3"/>
        <v/>
      </c>
      <c r="Z33" s="111" t="str">
        <f t="shared" si="3"/>
        <v/>
      </c>
      <c r="AA33" s="111" t="str">
        <f t="shared" si="3"/>
        <v/>
      </c>
      <c r="AB33" s="111" t="str">
        <f t="shared" si="3"/>
        <v/>
      </c>
      <c r="AC33" s="111" t="str">
        <f t="shared" si="3"/>
        <v/>
      </c>
      <c r="AD33" s="111" t="str">
        <f t="shared" si="3"/>
        <v/>
      </c>
      <c r="AE33" s="111" t="str">
        <f t="shared" si="3"/>
        <v/>
      </c>
      <c r="AF33" s="112" t="str">
        <f>IF(ISERR(AF32/AF4),"",AF32/AF4*1000000)</f>
        <v/>
      </c>
    </row>
    <row r="34" spans="1:32" ht="21.95" customHeight="1">
      <c r="A34" s="113" t="s">
        <v>77</v>
      </c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5"/>
    </row>
    <row r="35" spans="1:32" ht="21.95" customHeight="1" thickBot="1">
      <c r="A35" s="116" t="s">
        <v>76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9"/>
    </row>
    <row r="36" spans="1:32" s="91" customFormat="1" ht="9" customHeight="1" thickBot="1">
      <c r="A36" s="90"/>
    </row>
    <row r="37" spans="1:32" ht="30" customHeight="1">
      <c r="A37" s="92" t="s">
        <v>55</v>
      </c>
      <c r="B37" s="93"/>
      <c r="C37" s="93"/>
      <c r="D37" s="93"/>
      <c r="E37" s="93"/>
      <c r="F37" s="93"/>
      <c r="G37" s="93"/>
      <c r="H37" s="93"/>
      <c r="I37" s="92" t="s">
        <v>57</v>
      </c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4"/>
      <c r="U37" s="92" t="s">
        <v>58</v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4"/>
    </row>
    <row r="38" spans="1:32" ht="30" customHeight="1" thickBot="1">
      <c r="A38" s="95" t="s">
        <v>56</v>
      </c>
      <c r="B38" s="96"/>
      <c r="C38" s="96"/>
      <c r="D38" s="96"/>
      <c r="E38" s="96"/>
      <c r="F38" s="96"/>
      <c r="G38" s="96"/>
      <c r="H38" s="96"/>
      <c r="I38" s="95" t="s">
        <v>56</v>
      </c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7"/>
      <c r="U38" s="95" t="s">
        <v>56</v>
      </c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7"/>
    </row>
    <row r="39" spans="1:32">
      <c r="A39" t="s">
        <v>30</v>
      </c>
      <c r="B39" s="98">
        <f>'[1]SJCPIL 16-006-08'!$Y$6</f>
        <v>610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</row>
    <row r="41" spans="1:32">
      <c r="A41" s="38" t="s">
        <v>44</v>
      </c>
      <c r="B41" s="123">
        <v>3</v>
      </c>
      <c r="C41" s="123">
        <v>38</v>
      </c>
      <c r="D41" s="123">
        <f t="shared" ref="D41:G41" si="4">D2</f>
        <v>0</v>
      </c>
      <c r="E41" s="123">
        <f t="shared" si="4"/>
        <v>0</v>
      </c>
      <c r="F41" s="123">
        <f t="shared" si="4"/>
        <v>0</v>
      </c>
      <c r="G41" s="123">
        <f t="shared" si="4"/>
        <v>0</v>
      </c>
      <c r="H41" s="123">
        <f t="shared" ref="H41:AF41" si="5">H2</f>
        <v>0</v>
      </c>
      <c r="I41" s="123">
        <v>106</v>
      </c>
      <c r="J41" s="123">
        <f t="shared" si="5"/>
        <v>0</v>
      </c>
      <c r="K41" s="123">
        <f t="shared" si="5"/>
        <v>0</v>
      </c>
      <c r="L41" s="123">
        <f>L2</f>
        <v>0</v>
      </c>
      <c r="M41" s="123">
        <f t="shared" si="5"/>
        <v>0</v>
      </c>
      <c r="N41" s="123">
        <f t="shared" si="5"/>
        <v>0</v>
      </c>
      <c r="O41" s="123">
        <f t="shared" si="5"/>
        <v>0</v>
      </c>
      <c r="P41" s="123">
        <f t="shared" si="5"/>
        <v>0</v>
      </c>
      <c r="Q41" s="123">
        <f t="shared" si="5"/>
        <v>0</v>
      </c>
      <c r="R41" s="123">
        <f t="shared" si="5"/>
        <v>0</v>
      </c>
      <c r="S41" s="123">
        <f t="shared" si="5"/>
        <v>0</v>
      </c>
      <c r="T41" s="123">
        <f t="shared" si="5"/>
        <v>0</v>
      </c>
      <c r="U41" s="123">
        <f t="shared" si="5"/>
        <v>0</v>
      </c>
      <c r="V41" s="123">
        <f t="shared" si="5"/>
        <v>0</v>
      </c>
      <c r="W41" s="123">
        <f t="shared" si="5"/>
        <v>0</v>
      </c>
      <c r="X41" s="123">
        <f t="shared" si="5"/>
        <v>0</v>
      </c>
      <c r="Y41" s="123">
        <f t="shared" si="5"/>
        <v>0</v>
      </c>
      <c r="Z41" s="123">
        <f t="shared" si="5"/>
        <v>0</v>
      </c>
      <c r="AA41" s="123">
        <f t="shared" si="5"/>
        <v>0</v>
      </c>
      <c r="AB41" s="123">
        <f t="shared" si="5"/>
        <v>0</v>
      </c>
      <c r="AC41" s="123">
        <f t="shared" si="5"/>
        <v>0</v>
      </c>
      <c r="AD41" s="123">
        <f t="shared" si="5"/>
        <v>0</v>
      </c>
      <c r="AE41" s="123">
        <f t="shared" si="5"/>
        <v>0</v>
      </c>
      <c r="AF41" s="100" t="str">
        <f t="shared" si="5"/>
        <v>Total</v>
      </c>
    </row>
    <row r="42" spans="1:32" ht="147" customHeight="1">
      <c r="A42" s="99" t="s">
        <v>45</v>
      </c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59"/>
      <c r="V42" s="69"/>
      <c r="W42" s="59"/>
      <c r="X42" s="59"/>
      <c r="Y42" s="59"/>
      <c r="Z42" s="59"/>
      <c r="AA42" s="59"/>
      <c r="AB42" s="59"/>
      <c r="AC42" s="59"/>
      <c r="AD42" s="59"/>
      <c r="AE42" s="59"/>
      <c r="AF42" s="59"/>
    </row>
  </sheetData>
  <sheetProtection algorithmName="SHA-512" hashValue="SfcvGNW/I+jVuNA5gCfNtIZiJy1ftUGd4JtCjsGE9odgGbTkAlrclYoO1AKGK5xvo5dqCDs2pWy/AzVZ1e8ZhA==" saltValue="obLRmPM7cVH964pWZGVGlg==" spinCount="100000" sheet="1" objects="1" scenarios="1" selectLockedCells="1"/>
  <mergeCells count="34">
    <mergeCell ref="L5:L14"/>
    <mergeCell ref="A6:A14"/>
    <mergeCell ref="B5:B14"/>
    <mergeCell ref="C5:C14"/>
    <mergeCell ref="D5:D14"/>
    <mergeCell ref="E5:E14"/>
    <mergeCell ref="F5:F14"/>
    <mergeCell ref="G5:G14"/>
    <mergeCell ref="H5:H14"/>
    <mergeCell ref="I5:I14"/>
    <mergeCell ref="J5:J14"/>
    <mergeCell ref="K5:K14"/>
    <mergeCell ref="X5:X14"/>
    <mergeCell ref="M5:M14"/>
    <mergeCell ref="N5:N14"/>
    <mergeCell ref="O5:O14"/>
    <mergeCell ref="P5:P14"/>
    <mergeCell ref="Q5:Q14"/>
    <mergeCell ref="R5:R14"/>
    <mergeCell ref="S5:S14"/>
    <mergeCell ref="T5:T14"/>
    <mergeCell ref="U5:U14"/>
    <mergeCell ref="V5:V14"/>
    <mergeCell ref="W5:W14"/>
    <mergeCell ref="AC1:AD1"/>
    <mergeCell ref="AE1:AF1"/>
    <mergeCell ref="Y5:Y14"/>
    <mergeCell ref="Z5:Z14"/>
    <mergeCell ref="AA5:AA14"/>
    <mergeCell ref="AF5:AF14"/>
    <mergeCell ref="AB5:AB14"/>
    <mergeCell ref="AC5:AC14"/>
    <mergeCell ref="AD5:AD14"/>
    <mergeCell ref="AE5:AE14"/>
  </mergeCells>
  <phoneticPr fontId="0" type="noConversion"/>
  <dataValidations count="2">
    <dataValidation type="list" allowBlank="1" showInputMessage="1" showErrorMessage="1" sqref="B3:AF3" xr:uid="{00000000-0002-0000-0100-000000000000}">
      <formula1>produtos</formula1>
    </dataValidation>
    <dataValidation type="date" allowBlank="1" showInputMessage="1" showErrorMessage="1" sqref="B2:AE2" xr:uid="{564E3D77-143A-495B-87B8-DE8A4522BA9E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0" orientation="landscape" r:id="rId1"/>
  <headerFooter alignWithMargins="0">
    <oddFooter>&amp;R&amp;A</oddFooter>
  </headerFooter>
  <ignoredErrors>
    <ignoredError sqref="AF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24</xdr:col>
                    <xdr:colOff>0</xdr:colOff>
                    <xdr:row>0</xdr:row>
                    <xdr:rowOff>28575</xdr:rowOff>
                  </from>
                  <to>
                    <xdr:col>26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 moveWithCells="1">
                  <from>
                    <xdr:col>24</xdr:col>
                    <xdr:colOff>0</xdr:colOff>
                    <xdr:row>0</xdr:row>
                    <xdr:rowOff>171450</xdr:rowOff>
                  </from>
                  <to>
                    <xdr:col>26</xdr:col>
                    <xdr:colOff>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AF42"/>
  <sheetViews>
    <sheetView showZeros="0" topLeftCell="A3" zoomScaleNormal="75" zoomScaleSheetLayoutView="100" workbookViewId="0">
      <selection activeCell="B15" sqref="B15"/>
    </sheetView>
  </sheetViews>
  <sheetFormatPr defaultColWidth="11.42578125" defaultRowHeight="12.75"/>
  <cols>
    <col min="1" max="1" width="22" customWidth="1"/>
    <col min="2" max="31" width="6.7109375" customWidth="1"/>
    <col min="32" max="32" width="10.42578125" customWidth="1"/>
    <col min="33" max="36" width="4.7109375" customWidth="1"/>
  </cols>
  <sheetData>
    <row r="1" spans="1:32" ht="32.25" customHeight="1" thickBot="1">
      <c r="B1" s="129" t="s">
        <v>65</v>
      </c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151" t="str">
        <f>'SJCPIL-R 15-058-04 - D'!AC1:AF1</f>
        <v>Mês / Ano</v>
      </c>
      <c r="AD1" s="152"/>
      <c r="AE1" s="147" t="str">
        <f ca="1">'SJCPIL-R 15-058-04 - D'!AE1:AF1</f>
        <v>03 / 2022</v>
      </c>
      <c r="AF1" s="134"/>
    </row>
    <row r="2" spans="1:32" ht="15" customHeight="1">
      <c r="A2" s="77" t="s">
        <v>0</v>
      </c>
      <c r="B2" s="130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118" t="s">
        <v>27</v>
      </c>
    </row>
    <row r="3" spans="1:32" ht="15" customHeight="1">
      <c r="A3" s="78" t="s">
        <v>43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50"/>
    </row>
    <row r="4" spans="1:32" ht="30" customHeight="1" thickBot="1">
      <c r="A4" s="79" t="s">
        <v>1</v>
      </c>
      <c r="B4" s="51"/>
      <c r="C4" s="52"/>
      <c r="D4" s="52"/>
      <c r="E4" s="52"/>
      <c r="F4" s="52"/>
      <c r="G4" s="52"/>
      <c r="H4" s="52"/>
      <c r="I4" s="51"/>
      <c r="J4" s="52"/>
      <c r="K4" s="52"/>
      <c r="L4" s="52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117">
        <f>SUM(B4:AE4)</f>
        <v>0</v>
      </c>
    </row>
    <row r="5" spans="1:32" ht="30" customHeight="1">
      <c r="A5" s="80" t="s">
        <v>28</v>
      </c>
      <c r="B5" s="144">
        <f t="shared" ref="B5" si="0">B42</f>
        <v>0</v>
      </c>
      <c r="C5" s="144">
        <f t="shared" ref="C5:AF5" si="1">C42</f>
        <v>0</v>
      </c>
      <c r="D5" s="144">
        <f t="shared" si="1"/>
        <v>0</v>
      </c>
      <c r="E5" s="144">
        <f t="shared" si="1"/>
        <v>0</v>
      </c>
      <c r="F5" s="144">
        <f t="shared" si="1"/>
        <v>0</v>
      </c>
      <c r="G5" s="144">
        <f t="shared" si="1"/>
        <v>0</v>
      </c>
      <c r="H5" s="144">
        <f t="shared" si="1"/>
        <v>0</v>
      </c>
      <c r="I5" s="144">
        <f>J42</f>
        <v>0</v>
      </c>
      <c r="J5" s="144">
        <f>K42</f>
        <v>0</v>
      </c>
      <c r="K5" s="144">
        <f t="shared" si="1"/>
        <v>0</v>
      </c>
      <c r="L5" s="144">
        <f t="shared" si="1"/>
        <v>0</v>
      </c>
      <c r="M5" s="144">
        <f t="shared" si="1"/>
        <v>0</v>
      </c>
      <c r="N5" s="144">
        <f t="shared" si="1"/>
        <v>0</v>
      </c>
      <c r="O5" s="144">
        <f t="shared" si="1"/>
        <v>0</v>
      </c>
      <c r="P5" s="144">
        <f t="shared" si="1"/>
        <v>0</v>
      </c>
      <c r="Q5" s="144">
        <f t="shared" si="1"/>
        <v>0</v>
      </c>
      <c r="R5" s="144">
        <f t="shared" si="1"/>
        <v>0</v>
      </c>
      <c r="S5" s="144">
        <f t="shared" si="1"/>
        <v>0</v>
      </c>
      <c r="T5" s="144">
        <f t="shared" si="1"/>
        <v>0</v>
      </c>
      <c r="U5" s="144">
        <f t="shared" si="1"/>
        <v>0</v>
      </c>
      <c r="V5" s="144">
        <f t="shared" si="1"/>
        <v>0</v>
      </c>
      <c r="W5" s="144">
        <f t="shared" si="1"/>
        <v>0</v>
      </c>
      <c r="X5" s="144">
        <f t="shared" si="1"/>
        <v>0</v>
      </c>
      <c r="Y5" s="144">
        <f t="shared" si="1"/>
        <v>0</v>
      </c>
      <c r="Z5" s="144">
        <f t="shared" si="1"/>
        <v>0</v>
      </c>
      <c r="AA5" s="144">
        <f t="shared" si="1"/>
        <v>0</v>
      </c>
      <c r="AB5" s="144">
        <f t="shared" si="1"/>
        <v>0</v>
      </c>
      <c r="AC5" s="144">
        <f t="shared" si="1"/>
        <v>0</v>
      </c>
      <c r="AD5" s="144">
        <f t="shared" si="1"/>
        <v>0</v>
      </c>
      <c r="AE5" s="144">
        <f t="shared" si="1"/>
        <v>0</v>
      </c>
      <c r="AF5" s="148">
        <f t="shared" si="1"/>
        <v>0</v>
      </c>
    </row>
    <row r="6" spans="1:32" ht="30" customHeight="1">
      <c r="A6" s="142" t="s">
        <v>64</v>
      </c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9"/>
    </row>
    <row r="7" spans="1:32" ht="30" customHeight="1">
      <c r="A7" s="142"/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9"/>
    </row>
    <row r="8" spans="1:32" ht="30" customHeight="1">
      <c r="A8" s="142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9"/>
    </row>
    <row r="9" spans="1:32" ht="30" customHeight="1">
      <c r="A9" s="142"/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9"/>
    </row>
    <row r="10" spans="1:32" ht="30" customHeight="1">
      <c r="A10" s="142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9"/>
    </row>
    <row r="11" spans="1:32" ht="30" customHeight="1">
      <c r="A11" s="142"/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9"/>
    </row>
    <row r="12" spans="1:32" ht="30" customHeight="1">
      <c r="A12" s="142"/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9"/>
    </row>
    <row r="13" spans="1:32" ht="30" customHeight="1">
      <c r="A13" s="142"/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9"/>
    </row>
    <row r="14" spans="1:32" ht="30" customHeight="1" thickBot="1">
      <c r="A14" s="143"/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50"/>
    </row>
    <row r="15" spans="1:32" ht="21.95" customHeight="1">
      <c r="A15" s="81" t="s">
        <v>3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5">
        <f t="shared" ref="AF15:AF31" si="2">SUM(B15:AE15)</f>
        <v>0</v>
      </c>
    </row>
    <row r="16" spans="1:32" ht="21.95" customHeight="1">
      <c r="A16" s="82" t="s">
        <v>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7">
        <f t="shared" si="2"/>
        <v>0</v>
      </c>
    </row>
    <row r="17" spans="1:32" ht="21.95" customHeight="1">
      <c r="A17" s="82" t="s">
        <v>59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7">
        <f t="shared" si="2"/>
        <v>0</v>
      </c>
    </row>
    <row r="18" spans="1:32" ht="21.95" customHeight="1">
      <c r="A18" s="82" t="s">
        <v>60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7">
        <f t="shared" si="2"/>
        <v>0</v>
      </c>
    </row>
    <row r="19" spans="1:32" ht="21.95" customHeight="1">
      <c r="A19" s="82" t="s">
        <v>66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7">
        <f t="shared" si="2"/>
        <v>0</v>
      </c>
    </row>
    <row r="20" spans="1:32" ht="21.95" customHeight="1">
      <c r="A20" s="82" t="s">
        <v>67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7">
        <f t="shared" si="2"/>
        <v>0</v>
      </c>
    </row>
    <row r="21" spans="1:32" ht="21.95" customHeight="1">
      <c r="A21" s="108" t="s">
        <v>72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7">
        <f t="shared" si="2"/>
        <v>0</v>
      </c>
    </row>
    <row r="22" spans="1:32" ht="21.95" customHeight="1">
      <c r="A22" s="108" t="s">
        <v>73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7">
        <f t="shared" si="2"/>
        <v>0</v>
      </c>
    </row>
    <row r="23" spans="1:32" ht="21.95" customHeight="1">
      <c r="A23" s="108" t="s">
        <v>74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7">
        <f t="shared" si="2"/>
        <v>0</v>
      </c>
    </row>
    <row r="24" spans="1:32" ht="21.95" customHeight="1">
      <c r="A24" s="85" t="s">
        <v>63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7">
        <f t="shared" si="2"/>
        <v>0</v>
      </c>
    </row>
    <row r="25" spans="1:32" ht="21.95" customHeight="1">
      <c r="A25" s="82" t="s">
        <v>62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7">
        <f t="shared" si="2"/>
        <v>0</v>
      </c>
    </row>
    <row r="26" spans="1:32" ht="21.95" customHeight="1">
      <c r="A26" s="82" t="s">
        <v>5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7">
        <f t="shared" si="2"/>
        <v>0</v>
      </c>
    </row>
    <row r="27" spans="1:32" ht="21.95" customHeight="1">
      <c r="A27" s="109" t="s">
        <v>75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7">
        <f t="shared" si="2"/>
        <v>0</v>
      </c>
    </row>
    <row r="28" spans="1:32" ht="21.95" customHeight="1">
      <c r="A28" s="86" t="s">
        <v>37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7">
        <f t="shared" si="2"/>
        <v>0</v>
      </c>
    </row>
    <row r="29" spans="1:32" ht="21.95" customHeight="1">
      <c r="A29" s="86" t="s">
        <v>35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7">
        <f t="shared" si="2"/>
        <v>0</v>
      </c>
    </row>
    <row r="30" spans="1:32" ht="21.95" customHeight="1">
      <c r="A30" s="86" t="s">
        <v>36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7">
        <f t="shared" si="2"/>
        <v>0</v>
      </c>
    </row>
    <row r="31" spans="1:32" ht="21.95" customHeight="1">
      <c r="A31" s="86" t="s">
        <v>6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7">
        <f t="shared" si="2"/>
        <v>0</v>
      </c>
    </row>
    <row r="32" spans="1:32" ht="21.95" customHeight="1">
      <c r="A32" s="87" t="s">
        <v>7</v>
      </c>
      <c r="B32" s="83">
        <f t="shared" ref="B32:AE32" si="3">SUM(B15:B31)</f>
        <v>0</v>
      </c>
      <c r="C32" s="83">
        <f t="shared" si="3"/>
        <v>0</v>
      </c>
      <c r="D32" s="83">
        <f t="shared" si="3"/>
        <v>0</v>
      </c>
      <c r="E32" s="83">
        <f t="shared" si="3"/>
        <v>0</v>
      </c>
      <c r="F32" s="83">
        <f t="shared" si="3"/>
        <v>0</v>
      </c>
      <c r="G32" s="83">
        <f t="shared" si="3"/>
        <v>0</v>
      </c>
      <c r="H32" s="83">
        <f t="shared" si="3"/>
        <v>0</v>
      </c>
      <c r="I32" s="83">
        <f t="shared" si="3"/>
        <v>0</v>
      </c>
      <c r="J32" s="83">
        <f t="shared" si="3"/>
        <v>0</v>
      </c>
      <c r="K32" s="83">
        <f t="shared" si="3"/>
        <v>0</v>
      </c>
      <c r="L32" s="83">
        <f t="shared" si="3"/>
        <v>0</v>
      </c>
      <c r="M32" s="83">
        <f t="shared" si="3"/>
        <v>0</v>
      </c>
      <c r="N32" s="83">
        <f t="shared" si="3"/>
        <v>0</v>
      </c>
      <c r="O32" s="83">
        <f t="shared" si="3"/>
        <v>0</v>
      </c>
      <c r="P32" s="83">
        <f t="shared" si="3"/>
        <v>0</v>
      </c>
      <c r="Q32" s="83">
        <f t="shared" si="3"/>
        <v>0</v>
      </c>
      <c r="R32" s="83">
        <f t="shared" si="3"/>
        <v>0</v>
      </c>
      <c r="S32" s="83">
        <f t="shared" si="3"/>
        <v>0</v>
      </c>
      <c r="T32" s="83">
        <f t="shared" si="3"/>
        <v>0</v>
      </c>
      <c r="U32" s="83">
        <f t="shared" si="3"/>
        <v>0</v>
      </c>
      <c r="V32" s="83">
        <f t="shared" si="3"/>
        <v>0</v>
      </c>
      <c r="W32" s="83">
        <f t="shared" si="3"/>
        <v>0</v>
      </c>
      <c r="X32" s="83">
        <f t="shared" si="3"/>
        <v>0</v>
      </c>
      <c r="Y32" s="83">
        <f t="shared" si="3"/>
        <v>0</v>
      </c>
      <c r="Z32" s="83">
        <f t="shared" si="3"/>
        <v>0</v>
      </c>
      <c r="AA32" s="83">
        <f t="shared" si="3"/>
        <v>0</v>
      </c>
      <c r="AB32" s="83">
        <f t="shared" si="3"/>
        <v>0</v>
      </c>
      <c r="AC32" s="83">
        <f t="shared" si="3"/>
        <v>0</v>
      </c>
      <c r="AD32" s="83">
        <f t="shared" si="3"/>
        <v>0</v>
      </c>
      <c r="AE32" s="83">
        <f t="shared" si="3"/>
        <v>0</v>
      </c>
      <c r="AF32" s="84">
        <f t="shared" ref="AF32" si="4">SUM(AF15:AF31)</f>
        <v>0</v>
      </c>
    </row>
    <row r="33" spans="1:32" ht="21.95" customHeight="1" thickBot="1">
      <c r="A33" s="110" t="s">
        <v>28</v>
      </c>
      <c r="B33" s="111" t="str">
        <f t="shared" ref="B33:AE33" si="5">IF(ISERR(B32/B4),"",B32/B4*1000000)</f>
        <v/>
      </c>
      <c r="C33" s="111" t="str">
        <f t="shared" si="5"/>
        <v/>
      </c>
      <c r="D33" s="111" t="str">
        <f t="shared" si="5"/>
        <v/>
      </c>
      <c r="E33" s="111" t="str">
        <f t="shared" si="5"/>
        <v/>
      </c>
      <c r="F33" s="111" t="str">
        <f t="shared" si="5"/>
        <v/>
      </c>
      <c r="G33" s="111" t="str">
        <f t="shared" si="5"/>
        <v/>
      </c>
      <c r="H33" s="111" t="str">
        <f t="shared" si="5"/>
        <v/>
      </c>
      <c r="I33" s="111" t="str">
        <f t="shared" si="5"/>
        <v/>
      </c>
      <c r="J33" s="111" t="str">
        <f t="shared" si="5"/>
        <v/>
      </c>
      <c r="K33" s="111" t="str">
        <f t="shared" si="5"/>
        <v/>
      </c>
      <c r="L33" s="111" t="str">
        <f t="shared" si="5"/>
        <v/>
      </c>
      <c r="M33" s="111" t="str">
        <f t="shared" si="5"/>
        <v/>
      </c>
      <c r="N33" s="111" t="str">
        <f t="shared" si="5"/>
        <v/>
      </c>
      <c r="O33" s="111" t="str">
        <f t="shared" si="5"/>
        <v/>
      </c>
      <c r="P33" s="111" t="str">
        <f t="shared" si="5"/>
        <v/>
      </c>
      <c r="Q33" s="111" t="str">
        <f t="shared" si="5"/>
        <v/>
      </c>
      <c r="R33" s="111" t="str">
        <f t="shared" si="5"/>
        <v/>
      </c>
      <c r="S33" s="111" t="str">
        <f t="shared" si="5"/>
        <v/>
      </c>
      <c r="T33" s="111" t="str">
        <f t="shared" si="5"/>
        <v/>
      </c>
      <c r="U33" s="111" t="str">
        <f t="shared" si="5"/>
        <v/>
      </c>
      <c r="V33" s="111" t="str">
        <f t="shared" si="5"/>
        <v/>
      </c>
      <c r="W33" s="111" t="str">
        <f t="shared" si="5"/>
        <v/>
      </c>
      <c r="X33" s="111" t="str">
        <f t="shared" si="5"/>
        <v/>
      </c>
      <c r="Y33" s="111" t="str">
        <f t="shared" si="5"/>
        <v/>
      </c>
      <c r="Z33" s="111" t="str">
        <f t="shared" si="5"/>
        <v/>
      </c>
      <c r="AA33" s="111" t="str">
        <f t="shared" si="5"/>
        <v/>
      </c>
      <c r="AB33" s="111" t="str">
        <f t="shared" si="5"/>
        <v/>
      </c>
      <c r="AC33" s="111" t="str">
        <f t="shared" si="5"/>
        <v/>
      </c>
      <c r="AD33" s="111" t="str">
        <f t="shared" si="5"/>
        <v/>
      </c>
      <c r="AE33" s="111" t="str">
        <f t="shared" si="5"/>
        <v/>
      </c>
      <c r="AF33" s="112" t="str">
        <f>IF(ISERR(AF32/AF4),"",AF32/AF4*1000000)</f>
        <v/>
      </c>
    </row>
    <row r="34" spans="1:32" ht="21.95" customHeight="1">
      <c r="A34" s="113" t="str">
        <f>'SJCPIL-R 15-058-04 - D'!A34</f>
        <v>Visto Supervisor</v>
      </c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5"/>
    </row>
    <row r="35" spans="1:32" ht="21.95" customHeight="1" thickBot="1">
      <c r="A35" s="116" t="s">
        <v>76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9"/>
    </row>
    <row r="36" spans="1:32" s="91" customFormat="1" ht="9" customHeight="1" thickBot="1">
      <c r="A36" s="90"/>
    </row>
    <row r="37" spans="1:32" ht="30" customHeight="1">
      <c r="A37" s="92" t="s">
        <v>55</v>
      </c>
      <c r="B37" s="93"/>
      <c r="C37" s="93"/>
      <c r="D37" s="93"/>
      <c r="E37" s="93"/>
      <c r="F37" s="93"/>
      <c r="G37" s="93"/>
      <c r="H37" s="93"/>
      <c r="I37" s="92" t="s">
        <v>57</v>
      </c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4"/>
      <c r="U37" s="92" t="s">
        <v>58</v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4"/>
    </row>
    <row r="38" spans="1:32" ht="30" customHeight="1" thickBot="1">
      <c r="A38" s="95" t="s">
        <v>56</v>
      </c>
      <c r="B38" s="96"/>
      <c r="C38" s="96"/>
      <c r="D38" s="96"/>
      <c r="E38" s="96"/>
      <c r="F38" s="96"/>
      <c r="G38" s="96"/>
      <c r="H38" s="96"/>
      <c r="I38" s="95" t="s">
        <v>56</v>
      </c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7"/>
      <c r="U38" s="95" t="s">
        <v>56</v>
      </c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7"/>
    </row>
    <row r="39" spans="1:32">
      <c r="A39" t="s">
        <v>30</v>
      </c>
      <c r="B39" s="98">
        <f>'SJCPIL-R 15-058-04 - D'!B39</f>
        <v>610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</row>
    <row r="41" spans="1:32">
      <c r="A41" s="38" t="s">
        <v>44</v>
      </c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</row>
    <row r="42" spans="1:32" ht="105" customHeight="1">
      <c r="A42" s="99" t="s">
        <v>46</v>
      </c>
      <c r="B42" s="103"/>
      <c r="C42" s="69"/>
      <c r="D42" s="69"/>
      <c r="E42" s="69"/>
      <c r="F42" s="69"/>
      <c r="G42" s="69"/>
      <c r="H42" s="69"/>
      <c r="I42" s="69"/>
      <c r="J42" s="69"/>
      <c r="K42" s="59"/>
      <c r="L42" s="59"/>
      <c r="M42" s="70"/>
      <c r="N42" s="59"/>
      <c r="O42" s="69"/>
      <c r="P42" s="69"/>
      <c r="Q42" s="59"/>
      <c r="R42" s="59"/>
      <c r="S42" s="69"/>
      <c r="T42" s="69"/>
      <c r="U42" s="59"/>
      <c r="V42" s="69"/>
      <c r="W42" s="59"/>
      <c r="X42" s="59"/>
      <c r="Y42" s="59"/>
      <c r="Z42" s="59"/>
      <c r="AA42" s="59"/>
      <c r="AB42" s="59"/>
      <c r="AC42" s="59"/>
      <c r="AD42" s="59"/>
      <c r="AE42" s="59"/>
      <c r="AF42" s="59"/>
    </row>
  </sheetData>
  <sheetProtection algorithmName="SHA-512" hashValue="ugRHD0Yp/y2vWXVWVW1zfsevfu4tMIsm/swXmdTX3chVdleQWvKwV+Ed0E/3XsJ4ZJl7DLcjdWggEQHiQVf6RQ==" saltValue="82k98UNYxG4rNDyDRW2pWA==" spinCount="100000" sheet="1" objects="1" scenarios="1" selectLockedCells="1"/>
  <mergeCells count="34">
    <mergeCell ref="Y5:Y14"/>
    <mergeCell ref="R5:R14"/>
    <mergeCell ref="S5:S14"/>
    <mergeCell ref="T5:T14"/>
    <mergeCell ref="AC1:AD1"/>
    <mergeCell ref="X5:X14"/>
    <mergeCell ref="U5:U14"/>
    <mergeCell ref="V5:V14"/>
    <mergeCell ref="W5:W14"/>
    <mergeCell ref="AE1:AF1"/>
    <mergeCell ref="Z5:Z14"/>
    <mergeCell ref="AA5:AA14"/>
    <mergeCell ref="AF5:AF14"/>
    <mergeCell ref="AB5:AB14"/>
    <mergeCell ref="AC5:AC14"/>
    <mergeCell ref="AD5:AD14"/>
    <mergeCell ref="AE5:AE14"/>
    <mergeCell ref="A6:A14"/>
    <mergeCell ref="B5:B14"/>
    <mergeCell ref="C5:C14"/>
    <mergeCell ref="D5:D14"/>
    <mergeCell ref="E5:E14"/>
    <mergeCell ref="F5:F14"/>
    <mergeCell ref="G5:G14"/>
    <mergeCell ref="H5:H14"/>
    <mergeCell ref="I5:I14"/>
    <mergeCell ref="N5:N14"/>
    <mergeCell ref="J5:J14"/>
    <mergeCell ref="K5:K14"/>
    <mergeCell ref="O5:O14"/>
    <mergeCell ref="P5:P14"/>
    <mergeCell ref="Q5:Q14"/>
    <mergeCell ref="L5:L14"/>
    <mergeCell ref="M5:M14"/>
  </mergeCells>
  <phoneticPr fontId="0" type="noConversion"/>
  <dataValidations count="2">
    <dataValidation type="list" allowBlank="1" showInputMessage="1" showErrorMessage="1" sqref="B3:AF3" xr:uid="{00000000-0002-0000-0200-000000000000}">
      <formula1>produtos</formula1>
    </dataValidation>
    <dataValidation type="date" allowBlank="1" showInputMessage="1" showErrorMessage="1" sqref="B2:AE2" xr:uid="{D8DBB438-C84A-48CE-8769-8CA9D7917A04}">
      <formula1>44287</formula1>
      <formula2>44651</formula2>
    </dataValidation>
  </dataValidations>
  <printOptions horizontalCentered="1" verticalCentered="1" gridLines="1" gridLinesSet="0"/>
  <pageMargins left="0.27559055118110237" right="0.27559055118110237" top="0.39370078740157483" bottom="0.39370078740157483" header="0.27559055118110237" footer="0.27559055118110237"/>
  <pageSetup paperSize="9" scale="60" orientation="landscape" r:id="rId1"/>
  <headerFooter alignWithMargins="0">
    <oddFooter>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24</xdr:col>
                    <xdr:colOff>0</xdr:colOff>
                    <xdr:row>0</xdr:row>
                    <xdr:rowOff>28575</xdr:rowOff>
                  </from>
                  <to>
                    <xdr:col>26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24</xdr:col>
                    <xdr:colOff>0</xdr:colOff>
                    <xdr:row>0</xdr:row>
                    <xdr:rowOff>171450</xdr:rowOff>
                  </from>
                  <to>
                    <xdr:col>26</xdr:col>
                    <xdr:colOff>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98">
    <pageSetUpPr fitToPage="1"/>
  </sheetPr>
  <dimension ref="A1:O47"/>
  <sheetViews>
    <sheetView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F46" sqref="F46"/>
    </sheetView>
  </sheetViews>
  <sheetFormatPr defaultRowHeight="12.75"/>
  <cols>
    <col min="1" max="1" width="6.28515625" bestFit="1" customWidth="1"/>
    <col min="2" max="2" width="19.7109375" bestFit="1" customWidth="1"/>
    <col min="3" max="3" width="11.7109375" bestFit="1" customWidth="1"/>
    <col min="4" max="4" width="10.140625" bestFit="1" customWidth="1"/>
    <col min="5" max="5" width="9.28515625" bestFit="1" customWidth="1"/>
    <col min="6" max="6" width="10.140625" bestFit="1" customWidth="1"/>
    <col min="7" max="7" width="9.7109375" bestFit="1" customWidth="1"/>
    <col min="8" max="8" width="9.28515625" bestFit="1" customWidth="1"/>
    <col min="9" max="9" width="10.140625" bestFit="1" customWidth="1"/>
    <col min="10" max="12" width="9.28515625" bestFit="1" customWidth="1"/>
    <col min="13" max="13" width="11.7109375" bestFit="1" customWidth="1"/>
    <col min="14" max="14" width="9.28515625" bestFit="1" customWidth="1"/>
  </cols>
  <sheetData>
    <row r="1" spans="1:14" ht="13.5" thickBot="1">
      <c r="A1" s="1" t="s">
        <v>14</v>
      </c>
      <c r="B1" s="2" t="s">
        <v>8</v>
      </c>
      <c r="C1" s="2" t="s">
        <v>9</v>
      </c>
      <c r="D1" s="2" t="s">
        <v>10</v>
      </c>
      <c r="E1" s="2" t="s">
        <v>11</v>
      </c>
      <c r="F1" s="2">
        <v>1250</v>
      </c>
      <c r="G1" s="2" t="s">
        <v>33</v>
      </c>
      <c r="H1" s="2" t="s">
        <v>32</v>
      </c>
      <c r="I1" s="2" t="s">
        <v>12</v>
      </c>
      <c r="J1" s="2" t="s">
        <v>13</v>
      </c>
      <c r="K1" s="2" t="s">
        <v>29</v>
      </c>
      <c r="L1" s="3" t="s">
        <v>42</v>
      </c>
      <c r="M1" s="4" t="s">
        <v>27</v>
      </c>
      <c r="N1" s="5" t="s">
        <v>28</v>
      </c>
    </row>
    <row r="2" spans="1:14" ht="13.5" thickBot="1">
      <c r="A2" s="157" t="s">
        <v>0</v>
      </c>
      <c r="B2" s="29" t="s">
        <v>15</v>
      </c>
      <c r="C2" s="6">
        <f t="array" ref="C2">SUM(IF('SJCPIL-R 15-058-04 - D'!$B3:$AE3='Resumo de Falhas'!C1,'SJCPIL-R 15-058-04 - D'!$B4:$AE4))</f>
        <v>0</v>
      </c>
      <c r="D2" s="6">
        <f t="array" ref="D2">SUM(IF('SJCPIL-R 15-058-04 - D'!$B3:$AE3='Resumo de Falhas'!D1,'SJCPIL-R 15-058-04 - D'!$B4:$AE4))</f>
        <v>0</v>
      </c>
      <c r="E2" s="6">
        <f t="array" ref="E2">SUM(IF('SJCPIL-R 15-058-04 - D'!$B3:$AE3='Resumo de Falhas'!E1,'SJCPIL-R 15-058-04 - D'!$B4:$AE4))</f>
        <v>0</v>
      </c>
      <c r="F2" s="6">
        <f t="array" ref="F2">SUM(IF('SJCPIL-R 15-058-04 - D'!$B3:$AE3='Resumo de Falhas'!F1,'SJCPIL-R 15-058-04 - D'!$B4:$AE4))</f>
        <v>0</v>
      </c>
      <c r="G2" s="6">
        <f t="array" ref="G2">SUM(IF('SJCPIL-R 15-058-04 - D'!$B3:$AE3='Resumo de Falhas'!G1,'SJCPIL-R 15-058-04 - D'!$B4:$AE4))</f>
        <v>0</v>
      </c>
      <c r="H2" s="6">
        <f t="array" ref="H2">SUM(IF('SJCPIL-R 15-058-04 - D'!$B3:$AE3='Resumo de Falhas'!H1,'SJCPIL-R 15-058-04 - D'!$B4:$AE4))</f>
        <v>0</v>
      </c>
      <c r="I2" s="6">
        <f t="array" ref="I2">SUM(IF('SJCPIL-R 15-058-04 - D'!$B3:$AE3='Resumo de Falhas'!I1,'SJCPIL-R 15-058-04 - D'!$B4:$AE4))</f>
        <v>0</v>
      </c>
      <c r="J2" s="7">
        <f t="array" ref="J2">SUM(IF('SJCPIL-R 15-058-04 - D'!$B3:$AE3='Resumo de Falhas'!J1,'SJCPIL-R 15-058-04 - D'!$B4:$AE4))</f>
        <v>0</v>
      </c>
      <c r="K2" s="6">
        <f t="array" ref="K2">SUM(IF('SJCPIL-R 15-058-04 - D'!$B3:$AE3='Resumo de Falhas'!K1,'SJCPIL-R 15-058-04 - D'!$B4:$AE4))</f>
        <v>0</v>
      </c>
      <c r="L2" s="8">
        <f t="array" ref="L2">SUM(IF('SJCPIL-R 15-058-04 - D'!$B3:$AE3='Resumo de Falhas'!L1,'SJCPIL-R 15-058-04 - D'!$B4:$AE4))</f>
        <v>0</v>
      </c>
      <c r="M2" s="75">
        <f>SUM(C2:L2)</f>
        <v>0</v>
      </c>
      <c r="N2" s="9"/>
    </row>
    <row r="3" spans="1:14">
      <c r="A3" s="158"/>
      <c r="B3" s="30" t="s">
        <v>3</v>
      </c>
      <c r="C3" s="10">
        <f t="array" ref="C3">SUM(IF('SJCPIL-R 15-058-04 - D'!$B$3:$AE$3='Resumo de Falhas'!C$1,'SJCPIL-R 15-058-04 - D'!$B15:$AE15))</f>
        <v>0</v>
      </c>
      <c r="D3" s="10">
        <f t="array" ref="D3">SUM(IF('SJCPIL-R 15-058-04 - D'!$B$3:$AE$3='Resumo de Falhas'!D$1,'SJCPIL-R 15-058-04 - D'!$B15:$AE15))</f>
        <v>0</v>
      </c>
      <c r="E3" s="10">
        <f t="array" ref="E3">SUM(IF('SJCPIL-R 15-058-04 - D'!$B$3:$AE$3='Resumo de Falhas'!E$1,'SJCPIL-R 15-058-04 - D'!$B15:$AE15))</f>
        <v>0</v>
      </c>
      <c r="F3" s="10">
        <f t="array" ref="F3">SUM(IF('SJCPIL-R 15-058-04 - D'!$B$3:$AE$3='Resumo de Falhas'!F$1,'SJCPIL-R 15-058-04 - D'!$B15:$AE15))</f>
        <v>0</v>
      </c>
      <c r="G3" s="10">
        <f t="array" ref="G3">SUM(IF('SJCPIL-R 15-058-04 - D'!$B$3:$AE$3='Resumo de Falhas'!G$1,'SJCPIL-R 15-058-04 - D'!$B15:$AE15))</f>
        <v>0</v>
      </c>
      <c r="H3" s="10">
        <f t="array" ref="H3">SUM(IF('SJCPIL-R 15-058-04 - D'!$B$3:$AE$3='Resumo de Falhas'!H$1,'SJCPIL-R 15-058-04 - D'!$B15:$AE15))</f>
        <v>0</v>
      </c>
      <c r="I3" s="10">
        <f t="array" ref="I3">SUM(IF('SJCPIL-R 15-058-04 - D'!$B$3:$AE$3='Resumo de Falhas'!I$1,'SJCPIL-R 15-058-04 - D'!$B15:$AE15))</f>
        <v>0</v>
      </c>
      <c r="J3" s="10">
        <f t="array" ref="J3">SUM(IF('SJCPIL-R 15-058-04 - D'!$B$3:$AE$3='Resumo de Falhas'!J$1,'SJCPIL-R 15-058-04 - D'!$B15:$AE15))</f>
        <v>0</v>
      </c>
      <c r="K3" s="10">
        <f t="array" ref="K3">SUM(IF('SJCPIL-R 15-058-04 - D'!$B$3:$AE$3='Resumo de Falhas'!K$1,'SJCPIL-R 15-058-04 - D'!$B15:$AE15))</f>
        <v>0</v>
      </c>
      <c r="L3" s="11">
        <f t="array" ref="L3">SUM(IF('SJCPIL-R 15-058-04 - D'!$B$3:$AE$3='Resumo de Falhas'!L$1,'SJCPIL-R 15-058-04 - D'!$B15:$AE15))</f>
        <v>0</v>
      </c>
      <c r="M3" s="21">
        <f t="shared" ref="M3:M41" si="0">SUM(C3:L3)</f>
        <v>0</v>
      </c>
      <c r="N3" s="13" t="e">
        <f t="shared" ref="N3:N8" si="1">M3/M$2*1000000</f>
        <v>#DIV/0!</v>
      </c>
    </row>
    <row r="4" spans="1:14">
      <c r="A4" s="158"/>
      <c r="B4" s="31" t="s">
        <v>4</v>
      </c>
      <c r="C4" s="14">
        <f t="array" ref="C4">SUM(IF('SJCPIL-R 15-058-04 - D'!$B$3:$AE$3='Resumo de Falhas'!C$1,'SJCPIL-R 15-058-04 - D'!$B16:$AE16))</f>
        <v>0</v>
      </c>
      <c r="D4" s="14">
        <f t="array" ref="D4">SUM(IF('SJCPIL-R 15-058-04 - D'!$B$3:$AE$3='Resumo de Falhas'!D$1,'SJCPIL-R 15-058-04 - D'!$B16:$AE16))</f>
        <v>0</v>
      </c>
      <c r="E4" s="14">
        <f t="array" ref="E4">SUM(IF('SJCPIL-R 15-058-04 - D'!$B$3:$AE$3='Resumo de Falhas'!E$1,'SJCPIL-R 15-058-04 - D'!$B16:$AE16))</f>
        <v>0</v>
      </c>
      <c r="F4" s="14">
        <f t="array" ref="F4">SUM(IF('SJCPIL-R 15-058-04 - D'!$B$3:$AE$3='Resumo de Falhas'!F$1,'SJCPIL-R 15-058-04 - D'!$B16:$AE16))</f>
        <v>0</v>
      </c>
      <c r="G4" s="14">
        <f t="array" ref="G4">SUM(IF('SJCPIL-R 15-058-04 - D'!$B$3:$AE$3='Resumo de Falhas'!G$1,'SJCPIL-R 15-058-04 - D'!$B16:$AE16))</f>
        <v>0</v>
      </c>
      <c r="H4" s="14">
        <f t="array" ref="H4">SUM(IF('SJCPIL-R 15-058-04 - D'!$B$3:$AE$3='Resumo de Falhas'!H$1,'SJCPIL-R 15-058-04 - D'!$B16:$AE16))</f>
        <v>0</v>
      </c>
      <c r="I4" s="14">
        <f t="array" ref="I4">SUM(IF('SJCPIL-R 15-058-04 - D'!$B$3:$AE$3='Resumo de Falhas'!I$1,'SJCPIL-R 15-058-04 - D'!$B16:$AE16))</f>
        <v>0</v>
      </c>
      <c r="J4" s="14">
        <f t="array" ref="J4">SUM(IF('SJCPIL-R 15-058-04 - D'!$B$3:$AE$3='Resumo de Falhas'!J$1,'SJCPIL-R 15-058-04 - D'!$B16:$AE16))</f>
        <v>0</v>
      </c>
      <c r="K4" s="14">
        <f t="array" ref="K4">SUM(IF('SJCPIL-R 15-058-04 - D'!$B$3:$AE$3='Resumo de Falhas'!K$1,'SJCPIL-R 15-058-04 - D'!$B16:$AE16))</f>
        <v>0</v>
      </c>
      <c r="L4" s="71">
        <f t="array" ref="L4">SUM(IF('SJCPIL-R 15-058-04 - D'!$B$3:$AE$3='Resumo de Falhas'!L$1,'SJCPIL-R 15-058-04 - D'!$B16:$AE16))</f>
        <v>0</v>
      </c>
      <c r="M4" s="15">
        <f t="shared" si="0"/>
        <v>0</v>
      </c>
      <c r="N4" s="16" t="e">
        <f t="shared" si="1"/>
        <v>#DIV/0!</v>
      </c>
    </row>
    <row r="5" spans="1:14">
      <c r="A5" s="158"/>
      <c r="B5" s="60" t="s">
        <v>59</v>
      </c>
      <c r="C5" s="14">
        <f t="array" ref="C5">SUM(IF('SJCPIL-R 15-058-04 - D'!$B$3:$AE$3='Resumo de Falhas'!C$1,'SJCPIL-R 15-058-04 - D'!$B17:$AE17))</f>
        <v>0</v>
      </c>
      <c r="D5" s="14">
        <f t="array" ref="D5">SUM(IF('SJCPIL-R 15-058-04 - D'!$B$3:$AE$3='Resumo de Falhas'!D$1,'SJCPIL-R 15-058-04 - D'!$B17:$AE17))</f>
        <v>0</v>
      </c>
      <c r="E5" s="14">
        <f t="array" ref="E5">SUM(IF('SJCPIL-R 15-058-04 - D'!$B$3:$AE$3='Resumo de Falhas'!E$1,'SJCPIL-R 15-058-04 - D'!$B17:$AE17))</f>
        <v>0</v>
      </c>
      <c r="F5" s="14">
        <f t="array" ref="F5">SUM(IF('SJCPIL-R 15-058-04 - D'!$B$3:$AE$3='Resumo de Falhas'!F$1,'SJCPIL-R 15-058-04 - D'!$B17:$AE17))</f>
        <v>0</v>
      </c>
      <c r="G5" s="14">
        <f t="array" ref="G5">SUM(IF('SJCPIL-R 15-058-04 - D'!$B$3:$AE$3='Resumo de Falhas'!G$1,'SJCPIL-R 15-058-04 - D'!$B17:$AE17))</f>
        <v>0</v>
      </c>
      <c r="H5" s="14">
        <f t="array" ref="H5">SUM(IF('SJCPIL-R 15-058-04 - D'!$B$3:$AE$3='Resumo de Falhas'!H$1,'SJCPIL-R 15-058-04 - D'!$B17:$AE17))</f>
        <v>0</v>
      </c>
      <c r="I5" s="14">
        <f t="array" ref="I5">SUM(IF('SJCPIL-R 15-058-04 - D'!$B$3:$AE$3='Resumo de Falhas'!I$1,'SJCPIL-R 15-058-04 - D'!$B17:$AE17))</f>
        <v>0</v>
      </c>
      <c r="J5" s="14">
        <f t="array" ref="J5">SUM(IF('SJCPIL-R 15-058-04 - D'!$B$3:$AE$3='Resumo de Falhas'!J$1,'SJCPIL-R 15-058-04 - D'!$B17:$AE17))</f>
        <v>0</v>
      </c>
      <c r="K5" s="14">
        <f t="array" ref="K5">SUM(IF('SJCPIL-R 15-058-04 - D'!$B$3:$AE$3='Resumo de Falhas'!K$1,'SJCPIL-R 15-058-04 - D'!$B17:$AE17))</f>
        <v>0</v>
      </c>
      <c r="L5" s="71">
        <f t="array" ref="L5">SUM(IF('SJCPIL-R 15-058-04 - D'!$B$3:$AE$3='Resumo de Falhas'!L$1,'SJCPIL-R 15-058-04 - D'!$B17:$AE17))</f>
        <v>0</v>
      </c>
      <c r="M5" s="15">
        <f t="shared" si="0"/>
        <v>0</v>
      </c>
      <c r="N5" s="16" t="e">
        <f t="shared" si="1"/>
        <v>#DIV/0!</v>
      </c>
    </row>
    <row r="6" spans="1:14">
      <c r="A6" s="158"/>
      <c r="B6" s="60" t="s">
        <v>60</v>
      </c>
      <c r="C6" s="14">
        <f t="array" ref="C6">SUM(IF('SJCPIL-R 15-058-04 - D'!$B$3:$AE$3='Resumo de Falhas'!C$1,'SJCPIL-R 15-058-04 - D'!$B18:$AE18))</f>
        <v>0</v>
      </c>
      <c r="D6" s="14">
        <f t="array" ref="D6">SUM(IF('SJCPIL-R 15-058-04 - D'!$B$3:$AE$3='Resumo de Falhas'!D$1,'SJCPIL-R 15-058-04 - D'!$B18:$AE18))</f>
        <v>0</v>
      </c>
      <c r="E6" s="14">
        <f t="array" ref="E6">SUM(IF('SJCPIL-R 15-058-04 - D'!$B$3:$AE$3='Resumo de Falhas'!E$1,'SJCPIL-R 15-058-04 - D'!$B18:$AE18))</f>
        <v>0</v>
      </c>
      <c r="F6" s="14">
        <f t="array" ref="F6">SUM(IF('SJCPIL-R 15-058-04 - D'!$B$3:$AE$3='Resumo de Falhas'!F$1,'SJCPIL-R 15-058-04 - D'!$B18:$AE18))</f>
        <v>0</v>
      </c>
      <c r="G6" s="14">
        <f t="array" ref="G6">SUM(IF('SJCPIL-R 15-058-04 - D'!$B$3:$AE$3='Resumo de Falhas'!G$1,'SJCPIL-R 15-058-04 - D'!$B18:$AE18))</f>
        <v>0</v>
      </c>
      <c r="H6" s="14">
        <f t="array" ref="H6">SUM(IF('SJCPIL-R 15-058-04 - D'!$B$3:$AE$3='Resumo de Falhas'!H$1,'SJCPIL-R 15-058-04 - D'!$B18:$AE18))</f>
        <v>0</v>
      </c>
      <c r="I6" s="14">
        <f t="array" ref="I6">SUM(IF('SJCPIL-R 15-058-04 - D'!$B$3:$AE$3='Resumo de Falhas'!I$1,'SJCPIL-R 15-058-04 - D'!$B18:$AE18))</f>
        <v>0</v>
      </c>
      <c r="J6" s="14">
        <f t="array" ref="J6">SUM(IF('SJCPIL-R 15-058-04 - D'!$B$3:$AE$3='Resumo de Falhas'!J$1,'SJCPIL-R 15-058-04 - D'!$B18:$AE18))</f>
        <v>0</v>
      </c>
      <c r="K6" s="14">
        <f t="array" ref="K6">SUM(IF('SJCPIL-R 15-058-04 - D'!$B$3:$AE$3='Resumo de Falhas'!K$1,'SJCPIL-R 15-058-04 - D'!$B18:$AE18))</f>
        <v>0</v>
      </c>
      <c r="L6" s="71">
        <f t="array" ref="L6">SUM(IF('SJCPIL-R 15-058-04 - D'!$B$3:$AE$3='Resumo de Falhas'!L$1,'SJCPIL-R 15-058-04 - D'!$B18:$AE18))</f>
        <v>0</v>
      </c>
      <c r="M6" s="15">
        <f t="shared" si="0"/>
        <v>0</v>
      </c>
      <c r="N6" s="16" t="e">
        <f t="shared" si="1"/>
        <v>#DIV/0!</v>
      </c>
    </row>
    <row r="7" spans="1:14">
      <c r="A7" s="158"/>
      <c r="B7" s="60" t="s">
        <v>66</v>
      </c>
      <c r="C7" s="14">
        <f t="array" ref="C7">SUM(IF('SJCPIL-R 15-058-04 - D'!$B$3:$AE$3='Resumo de Falhas'!C$1,'SJCPIL-R 15-058-04 - D'!$B19:$AE19))</f>
        <v>0</v>
      </c>
      <c r="D7" s="14">
        <f t="array" ref="D7">SUM(IF('SJCPIL-R 15-058-04 - D'!$B$3:$AE$3='Resumo de Falhas'!D$1,'SJCPIL-R 15-058-04 - D'!$B19:$AE19))</f>
        <v>0</v>
      </c>
      <c r="E7" s="14">
        <f t="array" ref="E7">SUM(IF('SJCPIL-R 15-058-04 - D'!$B$3:$AE$3='Resumo de Falhas'!E$1,'SJCPIL-R 15-058-04 - D'!$B19:$AE19))</f>
        <v>0</v>
      </c>
      <c r="F7" s="14">
        <f t="array" ref="F7">SUM(IF('SJCPIL-R 15-058-04 - D'!$B$3:$AE$3='Resumo de Falhas'!F$1,'SJCPIL-R 15-058-04 - D'!$B19:$AE19))</f>
        <v>0</v>
      </c>
      <c r="G7" s="14">
        <f t="array" ref="G7">SUM(IF('SJCPIL-R 15-058-04 - D'!$B$3:$AE$3='Resumo de Falhas'!G$1,'SJCPIL-R 15-058-04 - D'!$B19:$AE19))</f>
        <v>0</v>
      </c>
      <c r="H7" s="14">
        <f t="array" ref="H7">SUM(IF('SJCPIL-R 15-058-04 - D'!$B$3:$AE$3='Resumo de Falhas'!H$1,'SJCPIL-R 15-058-04 - D'!$B19:$AE19))</f>
        <v>0</v>
      </c>
      <c r="I7" s="14">
        <f t="array" ref="I7">SUM(IF('SJCPIL-R 15-058-04 - D'!$B$3:$AE$3='Resumo de Falhas'!I$1,'SJCPIL-R 15-058-04 - D'!$B19:$AE19))</f>
        <v>0</v>
      </c>
      <c r="J7" s="14">
        <f t="array" ref="J7">SUM(IF('SJCPIL-R 15-058-04 - D'!$B$3:$AE$3='Resumo de Falhas'!J$1,'SJCPIL-R 15-058-04 - D'!$B19:$AE19))</f>
        <v>0</v>
      </c>
      <c r="K7" s="14">
        <f t="array" ref="K7">SUM(IF('SJCPIL-R 15-058-04 - D'!$B$3:$AE$3='Resumo de Falhas'!K$1,'SJCPIL-R 15-058-04 - D'!$B19:$AE19))</f>
        <v>0</v>
      </c>
      <c r="L7" s="71">
        <f t="array" ref="L7">SUM(IF('SJCPIL-R 15-058-04 - D'!$B$3:$AE$3='Resumo de Falhas'!L$1,'SJCPIL-R 15-058-04 - D'!$B19:$AE19))</f>
        <v>0</v>
      </c>
      <c r="M7" s="15">
        <f t="shared" si="0"/>
        <v>0</v>
      </c>
      <c r="N7" s="16" t="e">
        <f t="shared" si="1"/>
        <v>#DIV/0!</v>
      </c>
    </row>
    <row r="8" spans="1:14">
      <c r="A8" s="158"/>
      <c r="B8" s="60" t="s">
        <v>67</v>
      </c>
      <c r="C8" s="14">
        <f t="array" ref="C8">SUM(IF('SJCPIL-R 15-058-04 - D'!$B$3:$AE$3='Resumo de Falhas'!C$1,'SJCPIL-R 15-058-04 - D'!$B20:$AE20))</f>
        <v>0</v>
      </c>
      <c r="D8" s="14">
        <f t="array" ref="D8">SUM(IF('SJCPIL-R 15-058-04 - D'!$B$3:$AE$3='Resumo de Falhas'!D$1,'SJCPIL-R 15-058-04 - D'!$B20:$AE20))</f>
        <v>0</v>
      </c>
      <c r="E8" s="14">
        <f t="array" ref="E8">SUM(IF('SJCPIL-R 15-058-04 - D'!$B$3:$AE$3='Resumo de Falhas'!E$1,'SJCPIL-R 15-058-04 - D'!$B20:$AE20))</f>
        <v>0</v>
      </c>
      <c r="F8" s="14">
        <f t="array" ref="F8">SUM(IF('SJCPIL-R 15-058-04 - D'!$B$3:$AE$3='Resumo de Falhas'!F$1,'SJCPIL-R 15-058-04 - D'!$B20:$AE20))</f>
        <v>0</v>
      </c>
      <c r="G8" s="14">
        <f t="array" ref="G8">SUM(IF('SJCPIL-R 15-058-04 - D'!$B$3:$AE$3='Resumo de Falhas'!G$1,'SJCPIL-R 15-058-04 - D'!$B20:$AE20))</f>
        <v>0</v>
      </c>
      <c r="H8" s="14">
        <f t="array" ref="H8">SUM(IF('SJCPIL-R 15-058-04 - D'!$B$3:$AE$3='Resumo de Falhas'!H$1,'SJCPIL-R 15-058-04 - D'!$B20:$AE20))</f>
        <v>0</v>
      </c>
      <c r="I8" s="14">
        <f t="array" ref="I8">SUM(IF('SJCPIL-R 15-058-04 - D'!$B$3:$AE$3='Resumo de Falhas'!I$1,'SJCPIL-R 15-058-04 - D'!$B20:$AE20))</f>
        <v>0</v>
      </c>
      <c r="J8" s="14">
        <f t="array" ref="J8">SUM(IF('SJCPIL-R 15-058-04 - D'!$B$3:$AE$3='Resumo de Falhas'!J$1,'SJCPIL-R 15-058-04 - D'!$B20:$AE20))</f>
        <v>0</v>
      </c>
      <c r="K8" s="14">
        <f t="array" ref="K8">SUM(IF('SJCPIL-R 15-058-04 - D'!$B$3:$AE$3='Resumo de Falhas'!K$1,'SJCPIL-R 15-058-04 - D'!$B20:$AE20))</f>
        <v>0</v>
      </c>
      <c r="L8" s="71">
        <f t="array" ref="L8">SUM(IF('SJCPIL-R 15-058-04 - D'!$B$3:$AE$3='Resumo de Falhas'!L$1,'SJCPIL-R 15-058-04 - D'!$B20:$AE20))</f>
        <v>0</v>
      </c>
      <c r="M8" s="15">
        <f t="shared" si="0"/>
        <v>0</v>
      </c>
      <c r="N8" s="16" t="e">
        <f t="shared" si="1"/>
        <v>#DIV/0!</v>
      </c>
    </row>
    <row r="9" spans="1:14">
      <c r="A9" s="158"/>
      <c r="B9" s="60" t="s">
        <v>72</v>
      </c>
      <c r="C9" s="14">
        <f t="array" ref="C9">SUM(IF('SJCPIL-R 15-058-04 - D'!$B$3:$AE$3='Resumo de Falhas'!C$1,'SJCPIL-R 15-058-04 - D'!$B21:$AE21))</f>
        <v>0</v>
      </c>
      <c r="D9" s="14">
        <f t="array" ref="D9">SUM(IF('SJCPIL-R 15-058-04 - D'!$B$3:$AE$3='Resumo de Falhas'!D$1,'SJCPIL-R 15-058-04 - D'!$B21:$AE21))</f>
        <v>0</v>
      </c>
      <c r="E9" s="14">
        <f t="array" ref="E9">SUM(IF('SJCPIL-R 15-058-04 - D'!$B$3:$AE$3='Resumo de Falhas'!E$1,'SJCPIL-R 15-058-04 - D'!$B21:$AE21))</f>
        <v>0</v>
      </c>
      <c r="F9" s="14">
        <f t="array" ref="F9">SUM(IF('SJCPIL-R 15-058-04 - D'!$B$3:$AE$3='Resumo de Falhas'!F$1,'SJCPIL-R 15-058-04 - D'!$B21:$AE21))</f>
        <v>0</v>
      </c>
      <c r="G9" s="14">
        <f t="array" ref="G9">SUM(IF('SJCPIL-R 15-058-04 - D'!$B$3:$AE$3='Resumo de Falhas'!G$1,'SJCPIL-R 15-058-04 - D'!$B21:$AE21))</f>
        <v>0</v>
      </c>
      <c r="H9" s="14">
        <f t="array" ref="H9">SUM(IF('SJCPIL-R 15-058-04 - D'!$B$3:$AE$3='Resumo de Falhas'!H$1,'SJCPIL-R 15-058-04 - D'!$B21:$AE21))</f>
        <v>0</v>
      </c>
      <c r="I9" s="14">
        <f t="array" ref="I9">SUM(IF('SJCPIL-R 15-058-04 - D'!$B$3:$AE$3='Resumo de Falhas'!I$1,'SJCPIL-R 15-058-04 - D'!$B21:$AE21))</f>
        <v>0</v>
      </c>
      <c r="J9" s="14">
        <f t="array" ref="J9">SUM(IF('SJCPIL-R 15-058-04 - D'!$B$3:$AE$3='Resumo de Falhas'!J$1,'SJCPIL-R 15-058-04 - D'!$B21:$AE21))</f>
        <v>0</v>
      </c>
      <c r="K9" s="14">
        <f t="array" ref="K9">SUM(IF('SJCPIL-R 15-058-04 - D'!$B$3:$AE$3='Resumo de Falhas'!K$1,'SJCPIL-R 15-058-04 - D'!$B21:$AE21))</f>
        <v>0</v>
      </c>
      <c r="L9" s="71">
        <f t="array" ref="L9">SUM(IF('SJCPIL-R 15-058-04 - D'!$B$3:$AE$3='Resumo de Falhas'!L$1,'SJCPIL-R 15-058-04 - D'!$B21:$AE21))</f>
        <v>0</v>
      </c>
      <c r="M9" s="15">
        <f t="shared" ref="M9:M20" si="2">SUM(C9:L9)</f>
        <v>0</v>
      </c>
      <c r="N9" s="16" t="e">
        <f t="shared" ref="N9:N20" si="3">M9/M$2*1000000</f>
        <v>#DIV/0!</v>
      </c>
    </row>
    <row r="10" spans="1:14">
      <c r="A10" s="158"/>
      <c r="B10" s="60" t="s">
        <v>73</v>
      </c>
      <c r="C10" s="14">
        <f t="array" ref="C10">SUM(IF('SJCPIL-R 15-058-04 - D'!$B$3:$AE$3='Resumo de Falhas'!C$1,'SJCPIL-R 15-058-04 - D'!$B22:$AE22))</f>
        <v>0</v>
      </c>
      <c r="D10" s="14">
        <f t="array" ref="D10">SUM(IF('SJCPIL-R 15-058-04 - D'!$B$3:$AE$3='Resumo de Falhas'!D$1,'SJCPIL-R 15-058-04 - D'!$B22:$AE22))</f>
        <v>0</v>
      </c>
      <c r="E10" s="14">
        <f t="array" ref="E10">SUM(IF('SJCPIL-R 15-058-04 - D'!$B$3:$AE$3='Resumo de Falhas'!E$1,'SJCPIL-R 15-058-04 - D'!$B22:$AE22))</f>
        <v>0</v>
      </c>
      <c r="F10" s="14">
        <f t="array" ref="F10">SUM(IF('SJCPIL-R 15-058-04 - D'!$B$3:$AE$3='Resumo de Falhas'!F$1,'SJCPIL-R 15-058-04 - D'!$B22:$AE22))</f>
        <v>0</v>
      </c>
      <c r="G10" s="14">
        <f t="array" ref="G10">SUM(IF('SJCPIL-R 15-058-04 - D'!$B$3:$AE$3='Resumo de Falhas'!G$1,'SJCPIL-R 15-058-04 - D'!$B22:$AE22))</f>
        <v>0</v>
      </c>
      <c r="H10" s="14">
        <f t="array" ref="H10">SUM(IF('SJCPIL-R 15-058-04 - D'!$B$3:$AE$3='Resumo de Falhas'!H$1,'SJCPIL-R 15-058-04 - D'!$B22:$AE22))</f>
        <v>0</v>
      </c>
      <c r="I10" s="14">
        <f t="array" ref="I10">SUM(IF('SJCPIL-R 15-058-04 - D'!$B$3:$AE$3='Resumo de Falhas'!I$1,'SJCPIL-R 15-058-04 - D'!$B22:$AE22))</f>
        <v>0</v>
      </c>
      <c r="J10" s="14">
        <f t="array" ref="J10">SUM(IF('SJCPIL-R 15-058-04 - D'!$B$3:$AE$3='Resumo de Falhas'!J$1,'SJCPIL-R 15-058-04 - D'!$B22:$AE22))</f>
        <v>0</v>
      </c>
      <c r="K10" s="14">
        <f t="array" ref="K10">SUM(IF('SJCPIL-R 15-058-04 - D'!$B$3:$AE$3='Resumo de Falhas'!K$1,'SJCPIL-R 15-058-04 - D'!$B22:$AE22))</f>
        <v>0</v>
      </c>
      <c r="L10" s="71">
        <f t="array" ref="L10">SUM(IF('SJCPIL-R 15-058-04 - D'!$B$3:$AE$3='Resumo de Falhas'!L$1,'SJCPIL-R 15-058-04 - D'!$B22:$AE22))</f>
        <v>0</v>
      </c>
      <c r="M10" s="15">
        <f t="shared" si="2"/>
        <v>0</v>
      </c>
      <c r="N10" s="16" t="e">
        <f t="shared" si="3"/>
        <v>#DIV/0!</v>
      </c>
    </row>
    <row r="11" spans="1:14">
      <c r="A11" s="158"/>
      <c r="B11" s="60" t="s">
        <v>74</v>
      </c>
      <c r="C11" s="14">
        <f t="array" ref="C11">SUM(IF('SJCPIL-R 15-058-04 - D'!$B$3:$AE$3='Resumo de Falhas'!C$1,'SJCPIL-R 15-058-04 - D'!$B23:$AE23))</f>
        <v>0</v>
      </c>
      <c r="D11" s="14">
        <f t="array" ref="D11">SUM(IF('SJCPIL-R 15-058-04 - D'!$B$3:$AE$3='Resumo de Falhas'!D$1,'SJCPIL-R 15-058-04 - D'!$B23:$AE23))</f>
        <v>0</v>
      </c>
      <c r="E11" s="14">
        <f t="array" ref="E11">SUM(IF('SJCPIL-R 15-058-04 - D'!$B$3:$AE$3='Resumo de Falhas'!E$1,'SJCPIL-R 15-058-04 - D'!$B23:$AE23))</f>
        <v>0</v>
      </c>
      <c r="F11" s="14">
        <f t="array" ref="F11">SUM(IF('SJCPIL-R 15-058-04 - D'!$B$3:$AE$3='Resumo de Falhas'!F$1,'SJCPIL-R 15-058-04 - D'!$B23:$AE23))</f>
        <v>0</v>
      </c>
      <c r="G11" s="14">
        <f t="array" ref="G11">SUM(IF('SJCPIL-R 15-058-04 - D'!$B$3:$AE$3='Resumo de Falhas'!G$1,'SJCPIL-R 15-058-04 - D'!$B23:$AE23))</f>
        <v>0</v>
      </c>
      <c r="H11" s="14">
        <f t="array" ref="H11">SUM(IF('SJCPIL-R 15-058-04 - D'!$B$3:$AE$3='Resumo de Falhas'!H$1,'SJCPIL-R 15-058-04 - D'!$B23:$AE23))</f>
        <v>0</v>
      </c>
      <c r="I11" s="14">
        <f t="array" ref="I11">SUM(IF('SJCPIL-R 15-058-04 - D'!$B$3:$AE$3='Resumo de Falhas'!I$1,'SJCPIL-R 15-058-04 - D'!$B23:$AE23))</f>
        <v>0</v>
      </c>
      <c r="J11" s="14">
        <f t="array" ref="J11">SUM(IF('SJCPIL-R 15-058-04 - D'!$B$3:$AE$3='Resumo de Falhas'!J$1,'SJCPIL-R 15-058-04 - D'!$B23:$AE23))</f>
        <v>0</v>
      </c>
      <c r="K11" s="14">
        <f t="array" ref="K11">SUM(IF('SJCPIL-R 15-058-04 - D'!$B$3:$AE$3='Resumo de Falhas'!K$1,'SJCPIL-R 15-058-04 - D'!$B23:$AE23))</f>
        <v>0</v>
      </c>
      <c r="L11" s="71">
        <f t="array" ref="L11">SUM(IF('SJCPIL-R 15-058-04 - D'!$B$3:$AE$3='Resumo de Falhas'!L$1,'SJCPIL-R 15-058-04 - D'!$B23:$AE23))</f>
        <v>0</v>
      </c>
      <c r="M11" s="15">
        <f t="shared" si="2"/>
        <v>0</v>
      </c>
      <c r="N11" s="16" t="e">
        <f t="shared" si="3"/>
        <v>#DIV/0!</v>
      </c>
    </row>
    <row r="12" spans="1:14" ht="24">
      <c r="A12" s="158"/>
      <c r="B12" s="61" t="s">
        <v>61</v>
      </c>
      <c r="C12" s="14">
        <f t="array" ref="C12">SUM(IF('SJCPIL-R 15-058-04 - D'!$B$3:$AE$3='Resumo de Falhas'!C$1,'SJCPIL-R 15-058-04 - D'!$B24:$AE24))</f>
        <v>0</v>
      </c>
      <c r="D12" s="14">
        <f t="array" ref="D12">SUM(IF('SJCPIL-R 15-058-04 - D'!$B$3:$AE$3='Resumo de Falhas'!D$1,'SJCPIL-R 15-058-04 - D'!$B24:$AE24))</f>
        <v>0</v>
      </c>
      <c r="E12" s="14">
        <f t="array" ref="E12">SUM(IF('SJCPIL-R 15-058-04 - D'!$B$3:$AE$3='Resumo de Falhas'!E$1,'SJCPIL-R 15-058-04 - D'!$B24:$AE24))</f>
        <v>0</v>
      </c>
      <c r="F12" s="14">
        <f t="array" ref="F12">SUM(IF('SJCPIL-R 15-058-04 - D'!$B$3:$AE$3='Resumo de Falhas'!F$1,'SJCPIL-R 15-058-04 - D'!$B24:$AE24))</f>
        <v>0</v>
      </c>
      <c r="G12" s="14">
        <f t="array" ref="G12">SUM(IF('SJCPIL-R 15-058-04 - D'!$B$3:$AE$3='Resumo de Falhas'!G$1,'SJCPIL-R 15-058-04 - D'!$B24:$AE24))</f>
        <v>0</v>
      </c>
      <c r="H12" s="14">
        <f t="array" ref="H12">SUM(IF('SJCPIL-R 15-058-04 - D'!$B$3:$AE$3='Resumo de Falhas'!H$1,'SJCPIL-R 15-058-04 - D'!$B24:$AE24))</f>
        <v>0</v>
      </c>
      <c r="I12" s="14">
        <f t="array" ref="I12">SUM(IF('SJCPIL-R 15-058-04 - D'!$B$3:$AE$3='Resumo de Falhas'!I$1,'SJCPIL-R 15-058-04 - D'!$B24:$AE24))</f>
        <v>0</v>
      </c>
      <c r="J12" s="14">
        <f t="array" ref="J12">SUM(IF('SJCPIL-R 15-058-04 - D'!$B$3:$AE$3='Resumo de Falhas'!J$1,'SJCPIL-R 15-058-04 - D'!$B24:$AE24))</f>
        <v>0</v>
      </c>
      <c r="K12" s="14">
        <f t="array" ref="K12">SUM(IF('SJCPIL-R 15-058-04 - D'!$B$3:$AE$3='Resumo de Falhas'!K$1,'SJCPIL-R 15-058-04 - D'!$B24:$AE24))</f>
        <v>0</v>
      </c>
      <c r="L12" s="71">
        <f t="array" ref="L12">SUM(IF('SJCPIL-R 15-058-04 - D'!$B$3:$AE$3='Resumo de Falhas'!L$1,'SJCPIL-R 15-058-04 - D'!$B24:$AE24))</f>
        <v>0</v>
      </c>
      <c r="M12" s="15">
        <f t="shared" si="2"/>
        <v>0</v>
      </c>
      <c r="N12" s="16" t="e">
        <f t="shared" si="3"/>
        <v>#DIV/0!</v>
      </c>
    </row>
    <row r="13" spans="1:14">
      <c r="A13" s="158"/>
      <c r="B13" s="60" t="s">
        <v>62</v>
      </c>
      <c r="C13" s="14">
        <f t="array" ref="C13">SUM(IF('SJCPIL-R 15-058-04 - D'!$B$3:$AE$3='Resumo de Falhas'!C$1,'SJCPIL-R 15-058-04 - D'!$B25:$AE25))</f>
        <v>0</v>
      </c>
      <c r="D13" s="14">
        <f t="array" ref="D13">SUM(IF('SJCPIL-R 15-058-04 - D'!$B$3:$AE$3='Resumo de Falhas'!D$1,'SJCPIL-R 15-058-04 - D'!$B25:$AE25))</f>
        <v>0</v>
      </c>
      <c r="E13" s="14">
        <f t="array" ref="E13">SUM(IF('SJCPIL-R 15-058-04 - D'!$B$3:$AE$3='Resumo de Falhas'!E$1,'SJCPIL-R 15-058-04 - D'!$B25:$AE25))</f>
        <v>0</v>
      </c>
      <c r="F13" s="14">
        <f t="array" ref="F13">SUM(IF('SJCPIL-R 15-058-04 - D'!$B$3:$AE$3='Resumo de Falhas'!F$1,'SJCPIL-R 15-058-04 - D'!$B25:$AE25))</f>
        <v>0</v>
      </c>
      <c r="G13" s="14">
        <f t="array" ref="G13">SUM(IF('SJCPIL-R 15-058-04 - D'!$B$3:$AE$3='Resumo de Falhas'!G$1,'SJCPIL-R 15-058-04 - D'!$B25:$AE25))</f>
        <v>0</v>
      </c>
      <c r="H13" s="14">
        <f t="array" ref="H13">SUM(IF('SJCPIL-R 15-058-04 - D'!$B$3:$AE$3='Resumo de Falhas'!H$1,'SJCPIL-R 15-058-04 - D'!$B25:$AE25))</f>
        <v>0</v>
      </c>
      <c r="I13" s="14">
        <f t="array" ref="I13">SUM(IF('SJCPIL-R 15-058-04 - D'!$B$3:$AE$3='Resumo de Falhas'!I$1,'SJCPIL-R 15-058-04 - D'!$B25:$AE25))</f>
        <v>0</v>
      </c>
      <c r="J13" s="14">
        <f t="array" ref="J13">SUM(IF('SJCPIL-R 15-058-04 - D'!$B$3:$AE$3='Resumo de Falhas'!J$1,'SJCPIL-R 15-058-04 - D'!$B25:$AE25))</f>
        <v>0</v>
      </c>
      <c r="K13" s="14">
        <f t="array" ref="K13">SUM(IF('SJCPIL-R 15-058-04 - D'!$B$3:$AE$3='Resumo de Falhas'!K$1,'SJCPIL-R 15-058-04 - D'!$B25:$AE25))</f>
        <v>0</v>
      </c>
      <c r="L13" s="71">
        <f t="array" ref="L13">SUM(IF('SJCPIL-R 15-058-04 - D'!$B$3:$AE$3='Resumo de Falhas'!L$1,'SJCPIL-R 15-058-04 - D'!$B25:$AE25))</f>
        <v>0</v>
      </c>
      <c r="M13" s="15">
        <f t="shared" si="2"/>
        <v>0</v>
      </c>
      <c r="N13" s="16" t="e">
        <f t="shared" si="3"/>
        <v>#DIV/0!</v>
      </c>
    </row>
    <row r="14" spans="1:14">
      <c r="A14" s="158"/>
      <c r="B14" s="31" t="s">
        <v>5</v>
      </c>
      <c r="C14" s="14">
        <f t="array" ref="C14">SUM(IF('SJCPIL-R 15-058-04 - D'!$B$3:$AE$3='Resumo de Falhas'!C$1,'SJCPIL-R 15-058-04 - D'!$B26:$AE26))</f>
        <v>0</v>
      </c>
      <c r="D14" s="14">
        <f t="array" ref="D14">SUM(IF('SJCPIL-R 15-058-04 - D'!$B$3:$AE$3='Resumo de Falhas'!D$1,'SJCPIL-R 15-058-04 - D'!$B26:$AE26))</f>
        <v>0</v>
      </c>
      <c r="E14" s="14">
        <f t="array" ref="E14">SUM(IF('SJCPIL-R 15-058-04 - D'!$B$3:$AE$3='Resumo de Falhas'!E$1,'SJCPIL-R 15-058-04 - D'!$B26:$AE26))</f>
        <v>0</v>
      </c>
      <c r="F14" s="14">
        <f t="array" ref="F14">SUM(IF('SJCPIL-R 15-058-04 - D'!$B$3:$AE$3='Resumo de Falhas'!F$1,'SJCPIL-R 15-058-04 - D'!$B26:$AE26))</f>
        <v>0</v>
      </c>
      <c r="G14" s="14">
        <f t="array" ref="G14">SUM(IF('SJCPIL-R 15-058-04 - D'!$B$3:$AE$3='Resumo de Falhas'!G$1,'SJCPIL-R 15-058-04 - D'!$B26:$AE26))</f>
        <v>0</v>
      </c>
      <c r="H14" s="14">
        <f t="array" ref="H14">SUM(IF('SJCPIL-R 15-058-04 - D'!$B$3:$AE$3='Resumo de Falhas'!H$1,'SJCPIL-R 15-058-04 - D'!$B26:$AE26))</f>
        <v>0</v>
      </c>
      <c r="I14" s="14">
        <f t="array" ref="I14">SUM(IF('SJCPIL-R 15-058-04 - D'!$B$3:$AE$3='Resumo de Falhas'!I$1,'SJCPIL-R 15-058-04 - D'!$B26:$AE26))</f>
        <v>0</v>
      </c>
      <c r="J14" s="14">
        <f t="array" ref="J14">SUM(IF('SJCPIL-R 15-058-04 - D'!$B$3:$AE$3='Resumo de Falhas'!J$1,'SJCPIL-R 15-058-04 - D'!$B26:$AE26))</f>
        <v>0</v>
      </c>
      <c r="K14" s="14">
        <f t="array" ref="K14">SUM(IF('SJCPIL-R 15-058-04 - D'!$B$3:$AE$3='Resumo de Falhas'!K$1,'SJCPIL-R 15-058-04 - D'!$B26:$AE26))</f>
        <v>0</v>
      </c>
      <c r="L14" s="71">
        <f t="array" ref="L14">SUM(IF('SJCPIL-R 15-058-04 - D'!$B$3:$AE$3='Resumo de Falhas'!L$1,'SJCPIL-R 15-058-04 - D'!$B26:$AE26))</f>
        <v>0</v>
      </c>
      <c r="M14" s="15">
        <f t="shared" si="2"/>
        <v>0</v>
      </c>
      <c r="N14" s="16" t="e">
        <f t="shared" si="3"/>
        <v>#DIV/0!</v>
      </c>
    </row>
    <row r="15" spans="1:14">
      <c r="A15" s="159"/>
      <c r="B15" s="37" t="s">
        <v>34</v>
      </c>
      <c r="C15" s="14">
        <f t="array" ref="C15">SUM(IF('SJCPIL-R 15-058-04 - D'!$B$3:$AE$3='Resumo de Falhas'!C$1,'SJCPIL-R 15-058-04 - D'!$B27:$AE27))</f>
        <v>0</v>
      </c>
      <c r="D15" s="14">
        <f t="array" ref="D15">SUM(IF('SJCPIL-R 15-058-04 - D'!$B$3:$AE$3='Resumo de Falhas'!D$1,'SJCPIL-R 15-058-04 - D'!$B27:$AE27))</f>
        <v>0</v>
      </c>
      <c r="E15" s="14">
        <f t="array" ref="E15">SUM(IF('SJCPIL-R 15-058-04 - D'!$B$3:$AE$3='Resumo de Falhas'!E$1,'SJCPIL-R 15-058-04 - D'!$B27:$AE27))</f>
        <v>0</v>
      </c>
      <c r="F15" s="14">
        <f t="array" ref="F15">SUM(IF('SJCPIL-R 15-058-04 - D'!$B$3:$AE$3='Resumo de Falhas'!F$1,'SJCPIL-R 15-058-04 - D'!$B27:$AE27))</f>
        <v>0</v>
      </c>
      <c r="G15" s="14">
        <f t="array" ref="G15">SUM(IF('SJCPIL-R 15-058-04 - D'!$B$3:$AE$3='Resumo de Falhas'!G$1,'SJCPIL-R 15-058-04 - D'!$B27:$AE27))</f>
        <v>0</v>
      </c>
      <c r="H15" s="14">
        <f t="array" ref="H15">SUM(IF('SJCPIL-R 15-058-04 - D'!$B$3:$AE$3='Resumo de Falhas'!H$1,'SJCPIL-R 15-058-04 - D'!$B27:$AE27))</f>
        <v>0</v>
      </c>
      <c r="I15" s="14">
        <f t="array" ref="I15">SUM(IF('SJCPIL-R 15-058-04 - D'!$B$3:$AE$3='Resumo de Falhas'!I$1,'SJCPIL-R 15-058-04 - D'!$B27:$AE27))</f>
        <v>0</v>
      </c>
      <c r="J15" s="14">
        <f t="array" ref="J15">SUM(IF('SJCPIL-R 15-058-04 - D'!$B$3:$AE$3='Resumo de Falhas'!J$1,'SJCPIL-R 15-058-04 - D'!$B27:$AE27))</f>
        <v>0</v>
      </c>
      <c r="K15" s="14">
        <f t="array" ref="K15">SUM(IF('SJCPIL-R 15-058-04 - D'!$B$3:$AE$3='Resumo de Falhas'!K$1,'SJCPIL-R 15-058-04 - D'!$B27:$AE27))</f>
        <v>0</v>
      </c>
      <c r="L15" s="71">
        <f t="array" ref="L15">SUM(IF('SJCPIL-R 15-058-04 - D'!$B$3:$AE$3='Resumo de Falhas'!L$1,'SJCPIL-R 15-058-04 - D'!$B27:$AE27))</f>
        <v>0</v>
      </c>
      <c r="M15" s="15">
        <f t="shared" si="2"/>
        <v>0</v>
      </c>
      <c r="N15" s="16" t="e">
        <f t="shared" si="3"/>
        <v>#DIV/0!</v>
      </c>
    </row>
    <row r="16" spans="1:14">
      <c r="A16" s="159"/>
      <c r="B16" s="37" t="s">
        <v>37</v>
      </c>
      <c r="C16" s="14">
        <f t="array" ref="C16">SUM(IF('SJCPIL-R 15-058-04 - D'!$B$3:$AE$3='Resumo de Falhas'!C$1,'SJCPIL-R 15-058-04 - D'!$B28:$AE28))</f>
        <v>0</v>
      </c>
      <c r="D16" s="14">
        <f t="array" ref="D16">SUM(IF('SJCPIL-R 15-058-04 - D'!$B$3:$AE$3='Resumo de Falhas'!D$1,'SJCPIL-R 15-058-04 - D'!$B28:$AE28))</f>
        <v>0</v>
      </c>
      <c r="E16" s="14">
        <f t="array" ref="E16">SUM(IF('SJCPIL-R 15-058-04 - D'!$B$3:$AE$3='Resumo de Falhas'!E$1,'SJCPIL-R 15-058-04 - D'!$B28:$AE28))</f>
        <v>0</v>
      </c>
      <c r="F16" s="14">
        <f t="array" ref="F16">SUM(IF('SJCPIL-R 15-058-04 - D'!$B$3:$AE$3='Resumo de Falhas'!F$1,'SJCPIL-R 15-058-04 - D'!$B28:$AE28))</f>
        <v>0</v>
      </c>
      <c r="G16" s="14">
        <f t="array" ref="G16">SUM(IF('SJCPIL-R 15-058-04 - D'!$B$3:$AE$3='Resumo de Falhas'!G$1,'SJCPIL-R 15-058-04 - D'!$B28:$AE28))</f>
        <v>0</v>
      </c>
      <c r="H16" s="14">
        <f t="array" ref="H16">SUM(IF('SJCPIL-R 15-058-04 - D'!$B$3:$AE$3='Resumo de Falhas'!H$1,'SJCPIL-R 15-058-04 - D'!$B28:$AE28))</f>
        <v>0</v>
      </c>
      <c r="I16" s="14">
        <f t="array" ref="I16">SUM(IF('SJCPIL-R 15-058-04 - D'!$B$3:$AE$3='Resumo de Falhas'!I$1,'SJCPIL-R 15-058-04 - D'!$B28:$AE28))</f>
        <v>0</v>
      </c>
      <c r="J16" s="14">
        <f t="array" ref="J16">SUM(IF('SJCPIL-R 15-058-04 - D'!$B$3:$AE$3='Resumo de Falhas'!J$1,'SJCPIL-R 15-058-04 - D'!$B28:$AE28))</f>
        <v>0</v>
      </c>
      <c r="K16" s="14">
        <f t="array" ref="K16">SUM(IF('SJCPIL-R 15-058-04 - D'!$B$3:$AE$3='Resumo de Falhas'!K$1,'SJCPIL-R 15-058-04 - D'!$B28:$AE28))</f>
        <v>0</v>
      </c>
      <c r="L16" s="71">
        <f t="array" ref="L16">SUM(IF('SJCPIL-R 15-058-04 - D'!$B$3:$AE$3='Resumo de Falhas'!L$1,'SJCPIL-R 15-058-04 - D'!$B28:$AE28))</f>
        <v>0</v>
      </c>
      <c r="M16" s="15">
        <f t="shared" si="2"/>
        <v>0</v>
      </c>
      <c r="N16" s="16" t="e">
        <f t="shared" si="3"/>
        <v>#DIV/0!</v>
      </c>
    </row>
    <row r="17" spans="1:15">
      <c r="A17" s="159"/>
      <c r="B17" s="37" t="s">
        <v>35</v>
      </c>
      <c r="C17" s="14">
        <f t="array" ref="C17">SUM(IF('SJCPIL-R 15-058-04 - D'!$B$3:$AE$3='Resumo de Falhas'!C$1,'SJCPIL-R 15-058-04 - D'!$B29:$AE29))</f>
        <v>0</v>
      </c>
      <c r="D17" s="14">
        <f t="array" ref="D17">SUM(IF('SJCPIL-R 15-058-04 - D'!$B$3:$AE$3='Resumo de Falhas'!D$1,'SJCPIL-R 15-058-04 - D'!$B29:$AE29))</f>
        <v>0</v>
      </c>
      <c r="E17" s="14">
        <f t="array" ref="E17">SUM(IF('SJCPIL-R 15-058-04 - D'!$B$3:$AE$3='Resumo de Falhas'!E$1,'SJCPIL-R 15-058-04 - D'!$B29:$AE29))</f>
        <v>0</v>
      </c>
      <c r="F17" s="14">
        <f t="array" ref="F17">SUM(IF('SJCPIL-R 15-058-04 - D'!$B$3:$AE$3='Resumo de Falhas'!F$1,'SJCPIL-R 15-058-04 - D'!$B29:$AE29))</f>
        <v>0</v>
      </c>
      <c r="G17" s="14">
        <f t="array" ref="G17">SUM(IF('SJCPIL-R 15-058-04 - D'!$B$3:$AE$3='Resumo de Falhas'!G$1,'SJCPIL-R 15-058-04 - D'!$B29:$AE29))</f>
        <v>0</v>
      </c>
      <c r="H17" s="14">
        <f t="array" ref="H17">SUM(IF('SJCPIL-R 15-058-04 - D'!$B$3:$AE$3='Resumo de Falhas'!H$1,'SJCPIL-R 15-058-04 - D'!$B29:$AE29))</f>
        <v>0</v>
      </c>
      <c r="I17" s="14">
        <f t="array" ref="I17">SUM(IF('SJCPIL-R 15-058-04 - D'!$B$3:$AE$3='Resumo de Falhas'!I$1,'SJCPIL-R 15-058-04 - D'!$B29:$AE29))</f>
        <v>0</v>
      </c>
      <c r="J17" s="14">
        <f t="array" ref="J17">SUM(IF('SJCPIL-R 15-058-04 - D'!$B$3:$AE$3='Resumo de Falhas'!J$1,'SJCPIL-R 15-058-04 - D'!$B29:$AE29))</f>
        <v>0</v>
      </c>
      <c r="K17" s="14">
        <f t="array" ref="K17">SUM(IF('SJCPIL-R 15-058-04 - D'!$B$3:$AE$3='Resumo de Falhas'!K$1,'SJCPIL-R 15-058-04 - D'!$B29:$AE29))</f>
        <v>0</v>
      </c>
      <c r="L17" s="71">
        <f t="array" ref="L17">SUM(IF('SJCPIL-R 15-058-04 - D'!$B$3:$AE$3='Resumo de Falhas'!L$1,'SJCPIL-R 15-058-04 - D'!$B29:$AE29))</f>
        <v>0</v>
      </c>
      <c r="M17" s="15">
        <f t="shared" si="2"/>
        <v>0</v>
      </c>
      <c r="N17" s="16" t="e">
        <f t="shared" si="3"/>
        <v>#DIV/0!</v>
      </c>
    </row>
    <row r="18" spans="1:15">
      <c r="A18" s="159"/>
      <c r="B18" s="37" t="s">
        <v>36</v>
      </c>
      <c r="C18" s="14">
        <f t="array" ref="C18">SUM(IF('SJCPIL-R 15-058-04 - D'!$B$3:$AE$3='Resumo de Falhas'!C$1,'SJCPIL-R 15-058-04 - D'!$B30:$AE30))</f>
        <v>0</v>
      </c>
      <c r="D18" s="14">
        <f t="array" ref="D18">SUM(IF('SJCPIL-R 15-058-04 - D'!$B$3:$AE$3='Resumo de Falhas'!D$1,'SJCPIL-R 15-058-04 - D'!$B30:$AE30))</f>
        <v>0</v>
      </c>
      <c r="E18" s="14">
        <f t="array" ref="E18">SUM(IF('SJCPIL-R 15-058-04 - D'!$B$3:$AE$3='Resumo de Falhas'!E$1,'SJCPIL-R 15-058-04 - D'!$B30:$AE30))</f>
        <v>0</v>
      </c>
      <c r="F18" s="14">
        <f t="array" ref="F18">SUM(IF('SJCPIL-R 15-058-04 - D'!$B$3:$AE$3='Resumo de Falhas'!F$1,'SJCPIL-R 15-058-04 - D'!$B30:$AE30))</f>
        <v>0</v>
      </c>
      <c r="G18" s="14">
        <f t="array" ref="G18">SUM(IF('SJCPIL-R 15-058-04 - D'!$B$3:$AE$3='Resumo de Falhas'!G$1,'SJCPIL-R 15-058-04 - D'!$B30:$AE30))</f>
        <v>0</v>
      </c>
      <c r="H18" s="14">
        <f t="array" ref="H18">SUM(IF('SJCPIL-R 15-058-04 - D'!$B$3:$AE$3='Resumo de Falhas'!H$1,'SJCPIL-R 15-058-04 - D'!$B30:$AE30))</f>
        <v>0</v>
      </c>
      <c r="I18" s="14">
        <f t="array" ref="I18">SUM(IF('SJCPIL-R 15-058-04 - D'!$B$3:$AE$3='Resumo de Falhas'!I$1,'SJCPIL-R 15-058-04 - D'!$B30:$AE30))</f>
        <v>0</v>
      </c>
      <c r="J18" s="14">
        <f t="array" ref="J18">SUM(IF('SJCPIL-R 15-058-04 - D'!$B$3:$AE$3='Resumo de Falhas'!J$1,'SJCPIL-R 15-058-04 - D'!$B30:$AE30))</f>
        <v>0</v>
      </c>
      <c r="K18" s="14">
        <f t="array" ref="K18">SUM(IF('SJCPIL-R 15-058-04 - D'!$B$3:$AE$3='Resumo de Falhas'!K$1,'SJCPIL-R 15-058-04 - D'!$B30:$AE30))</f>
        <v>0</v>
      </c>
      <c r="L18" s="71">
        <f t="array" ref="L18">SUM(IF('SJCPIL-R 15-058-04 - D'!$B$3:$AE$3='Resumo de Falhas'!L$1,'SJCPIL-R 15-058-04 - D'!$B30:$AE30))</f>
        <v>0</v>
      </c>
      <c r="M18" s="15">
        <f t="shared" si="2"/>
        <v>0</v>
      </c>
      <c r="N18" s="16" t="e">
        <f t="shared" si="3"/>
        <v>#DIV/0!</v>
      </c>
    </row>
    <row r="19" spans="1:15">
      <c r="A19" s="159"/>
      <c r="B19" s="37" t="s">
        <v>6</v>
      </c>
      <c r="C19" s="14">
        <f t="array" ref="C19">SUM(IF('SJCPIL-R 15-058-04 - D'!$B$3:$AE$3='Resumo de Falhas'!C$1,'SJCPIL-R 15-058-04 - D'!$B31:$AE31))</f>
        <v>0</v>
      </c>
      <c r="D19" s="14">
        <f t="array" ref="D19">SUM(IF('SJCPIL-R 15-058-04 - D'!$B$3:$AE$3='Resumo de Falhas'!D$1,'SJCPIL-R 15-058-04 - D'!$B31:$AE31))</f>
        <v>0</v>
      </c>
      <c r="E19" s="14">
        <f t="array" ref="E19">SUM(IF('SJCPIL-R 15-058-04 - D'!$B$3:$AE$3='Resumo de Falhas'!E$1,'SJCPIL-R 15-058-04 - D'!$B31:$AE31))</f>
        <v>0</v>
      </c>
      <c r="F19" s="14">
        <f t="array" ref="F19">SUM(IF('SJCPIL-R 15-058-04 - D'!$B$3:$AE$3='Resumo de Falhas'!F$1,'SJCPIL-R 15-058-04 - D'!$B31:$AE31))</f>
        <v>0</v>
      </c>
      <c r="G19" s="14">
        <f t="array" ref="G19">SUM(IF('SJCPIL-R 15-058-04 - D'!$B$3:$AE$3='Resumo de Falhas'!G$1,'SJCPIL-R 15-058-04 - D'!$B31:$AE31))</f>
        <v>0</v>
      </c>
      <c r="H19" s="14">
        <f t="array" ref="H19">SUM(IF('SJCPIL-R 15-058-04 - D'!$B$3:$AE$3='Resumo de Falhas'!H$1,'SJCPIL-R 15-058-04 - D'!$B31:$AE31))</f>
        <v>0</v>
      </c>
      <c r="I19" s="14">
        <f t="array" ref="I19">SUM(IF('SJCPIL-R 15-058-04 - D'!$B$3:$AE$3='Resumo de Falhas'!I$1,'SJCPIL-R 15-058-04 - D'!$B31:$AE31))</f>
        <v>0</v>
      </c>
      <c r="J19" s="14">
        <f t="array" ref="J19">SUM(IF('SJCPIL-R 15-058-04 - D'!$B$3:$AE$3='Resumo de Falhas'!J$1,'SJCPIL-R 15-058-04 - D'!$B31:$AE31))</f>
        <v>0</v>
      </c>
      <c r="K19" s="14">
        <f t="array" ref="K19">SUM(IF('SJCPIL-R 15-058-04 - D'!$B$3:$AE$3='Resumo de Falhas'!K$1,'SJCPIL-R 15-058-04 - D'!$B31:$AE31))</f>
        <v>0</v>
      </c>
      <c r="L19" s="71">
        <f t="array" ref="L19">SUM(IF('SJCPIL-R 15-058-04 - D'!$B$3:$AE$3='Resumo de Falhas'!L$1,'SJCPIL-R 15-058-04 - D'!$B31:$AE31))</f>
        <v>0</v>
      </c>
      <c r="M19" s="15">
        <f t="shared" si="2"/>
        <v>0</v>
      </c>
      <c r="N19" s="16" t="e">
        <f t="shared" si="3"/>
        <v>#DIV/0!</v>
      </c>
    </row>
    <row r="20" spans="1:15" ht="13.5" thickBot="1">
      <c r="A20" s="160"/>
      <c r="B20" s="32" t="s">
        <v>16</v>
      </c>
      <c r="C20" s="18">
        <f t="array" ref="C20">SUM(IF('SJCPIL-R 15-058-04 - D'!$B$3:$AE$3='Resumo de Falhas'!C$1,'SJCPIL-R 15-058-04 - D'!$B32:$AE32))</f>
        <v>0</v>
      </c>
      <c r="D20" s="18">
        <f t="array" ref="D20">SUM(IF('SJCPIL-R 15-058-04 - D'!$B$3:$AE$3='Resumo de Falhas'!D$1,'SJCPIL-R 15-058-04 - D'!$B32:$AE32))</f>
        <v>0</v>
      </c>
      <c r="E20" s="18">
        <f t="array" ref="E20">SUM(IF('SJCPIL-R 15-058-04 - D'!$B$3:$AE$3='Resumo de Falhas'!E$1,'SJCPIL-R 15-058-04 - D'!$B32:$AE32))</f>
        <v>0</v>
      </c>
      <c r="F20" s="18">
        <f t="array" ref="F20">SUM(IF('SJCPIL-R 15-058-04 - D'!$B$3:$AE$3='Resumo de Falhas'!F$1,'SJCPIL-R 15-058-04 - D'!$B32:$AE32))</f>
        <v>0</v>
      </c>
      <c r="G20" s="18">
        <f t="array" ref="G20">SUM(IF('SJCPIL-R 15-058-04 - D'!$B$3:$AE$3='Resumo de Falhas'!G$1,'SJCPIL-R 15-058-04 - D'!$B32:$AE32))</f>
        <v>0</v>
      </c>
      <c r="H20" s="18">
        <f t="array" ref="H20">SUM(IF('SJCPIL-R 15-058-04 - D'!$B$3:$AE$3='Resumo de Falhas'!H$1,'SJCPIL-R 15-058-04 - D'!$B32:$AE32))</f>
        <v>0</v>
      </c>
      <c r="I20" s="18">
        <f t="array" ref="I20">SUM(IF('SJCPIL-R 15-058-04 - D'!$B$3:$AE$3='Resumo de Falhas'!I$1,'SJCPIL-R 15-058-04 - D'!$B32:$AE32))</f>
        <v>0</v>
      </c>
      <c r="J20" s="18">
        <f t="array" ref="J20">SUM(IF('SJCPIL-R 15-058-04 - D'!$B$3:$AE$3='Resumo de Falhas'!J$1,'SJCPIL-R 15-058-04 - D'!$B32:$AE32))</f>
        <v>0</v>
      </c>
      <c r="K20" s="18">
        <f t="array" ref="K20">SUM(IF('SJCPIL-R 15-058-04 - D'!$B$3:$AE$3='Resumo de Falhas'!K$1,'SJCPIL-R 15-058-04 - D'!$B32:$AE32))</f>
        <v>0</v>
      </c>
      <c r="L20" s="72">
        <f t="array" ref="L20">SUM(IF('SJCPIL-R 15-058-04 - D'!$B$3:$AE$3='Resumo de Falhas'!L$1,'SJCPIL-R 15-058-04 - D'!$B32:$AE32))</f>
        <v>0</v>
      </c>
      <c r="M20" s="124">
        <f t="shared" si="2"/>
        <v>0</v>
      </c>
      <c r="N20" s="125" t="e">
        <f t="shared" si="3"/>
        <v>#DIV/0!</v>
      </c>
    </row>
    <row r="21" spans="1:15" ht="13.5" thickBot="1">
      <c r="A21" s="157" t="s">
        <v>17</v>
      </c>
      <c r="B21" s="126" t="s">
        <v>15</v>
      </c>
      <c r="C21" s="127">
        <f t="array" ref="C21">SUM(IF('SJCPIL-R 15-058-04 - N'!$B3:$AE3='Resumo de Falhas'!C1,'SJCPIL-R 15-058-04 - N'!$B4:$AE4))</f>
        <v>0</v>
      </c>
      <c r="D21" s="127">
        <f t="array" ref="D21">SUM(IF('SJCPIL-R 15-058-04 - N'!$B3:$AE3='Resumo de Falhas'!D1,'SJCPIL-R 15-058-04 - N'!$B4:$AE4))</f>
        <v>0</v>
      </c>
      <c r="E21" s="127">
        <f t="array" ref="E21">SUM(IF('SJCPIL-R 15-058-04 - N'!$B3:$AE3='Resumo de Falhas'!E1,'SJCPIL-R 15-058-04 - N'!$B4:$AE4))</f>
        <v>0</v>
      </c>
      <c r="F21" s="127">
        <f t="array" ref="F21">SUM(IF('SJCPIL-R 15-058-04 - N'!$B3:$AE3='Resumo de Falhas'!F1,'SJCPIL-R 15-058-04 - N'!$B4:$AE4))</f>
        <v>0</v>
      </c>
      <c r="G21" s="127">
        <f t="array" ref="G21">SUM(IF('SJCPIL-R 15-058-04 - N'!$B3:$AE3='Resumo de Falhas'!G1,'SJCPIL-R 15-058-04 - N'!$B4:$AE4))</f>
        <v>0</v>
      </c>
      <c r="H21" s="127">
        <f t="array" ref="H21">SUM(IF('SJCPIL-R 15-058-04 - N'!$B3:$AE3='Resumo de Falhas'!H1,'SJCPIL-R 15-058-04 - N'!$B4:$AE4))</f>
        <v>0</v>
      </c>
      <c r="I21" s="127">
        <f t="array" ref="I21">SUM(IF('SJCPIL-R 15-058-04 - N'!$B3:$AE3='Resumo de Falhas'!I1,'SJCPIL-R 15-058-04 - N'!$B4:$AE4))</f>
        <v>0</v>
      </c>
      <c r="J21" s="127">
        <f t="array" ref="J21">SUM(IF('SJCPIL-R 15-058-04 - N'!$B3:$AE3='Resumo de Falhas'!J1,'SJCPIL-R 15-058-04 - N'!$B4:$AE4))</f>
        <v>0</v>
      </c>
      <c r="K21" s="127">
        <f t="array" ref="K21">SUM(IF('SJCPIL-R 15-058-04 - N'!$B3:$AE3='Resumo de Falhas'!K1,'SJCPIL-R 15-058-04 - N'!$B4:$AE4))</f>
        <v>0</v>
      </c>
      <c r="L21" s="127">
        <f t="array" ref="L21">SUM(IF('SJCPIL-R 15-058-04 - N'!$B3:$AE3='Resumo de Falhas'!L1,'SJCPIL-R 15-058-04 - N'!$B4:$AE4))</f>
        <v>0</v>
      </c>
      <c r="M21" s="128">
        <f>SUM(C21:L21)</f>
        <v>0</v>
      </c>
      <c r="N21" s="73"/>
    </row>
    <row r="22" spans="1:15">
      <c r="A22" s="158"/>
      <c r="B22" s="30" t="s">
        <v>3</v>
      </c>
      <c r="C22" s="10">
        <f t="array" ref="C22">SUM(IF('SJCPIL-R 15-058-04 - N'!$B$3:$AE$3='Resumo de Falhas'!C$1,'SJCPIL-R 15-058-04 - N'!$B15:$AE15))</f>
        <v>0</v>
      </c>
      <c r="D22" s="10">
        <f t="array" ref="D22">SUM(IF('SJCPIL-R 15-058-04 - N'!$B$3:$AE$3='Resumo de Falhas'!D$1,'SJCPIL-R 15-058-04 - N'!$B15:$AE15))</f>
        <v>0</v>
      </c>
      <c r="E22" s="10">
        <f t="array" ref="E22">SUM(IF('SJCPIL-R 15-058-04 - N'!$B$3:$AE$3='Resumo de Falhas'!E$1,'SJCPIL-R 15-058-04 - N'!$B15:$AE15))</f>
        <v>0</v>
      </c>
      <c r="F22" s="10">
        <f t="array" ref="F22">SUM(IF('SJCPIL-R 15-058-04 - N'!$B$3:$AE$3='Resumo de Falhas'!F$1,'SJCPIL-R 15-058-04 - N'!$B15:$AE15))</f>
        <v>0</v>
      </c>
      <c r="G22" s="10">
        <f t="array" ref="G22">SUM(IF('SJCPIL-R 15-058-04 - N'!$B$3:$AE$3='Resumo de Falhas'!G$1,'SJCPIL-R 15-058-04 - N'!$B15:$AE15))</f>
        <v>0</v>
      </c>
      <c r="H22" s="10">
        <f t="array" ref="H22">SUM(IF('SJCPIL-R 15-058-04 - N'!$B$3:$AE$3='Resumo de Falhas'!H$1,'SJCPIL-R 15-058-04 - N'!$B15:$AE15))</f>
        <v>0</v>
      </c>
      <c r="I22" s="10">
        <f t="array" ref="I22">SUM(IF('SJCPIL-R 15-058-04 - N'!$B$3:$AE$3='Resumo de Falhas'!I$1,'SJCPIL-R 15-058-04 - N'!$B15:$AE15))</f>
        <v>0</v>
      </c>
      <c r="J22" s="10">
        <f t="array" ref="J22">SUM(IF('SJCPIL-R 15-058-04 - N'!$B$3:$AE$3='Resumo de Falhas'!J$1,'SJCPIL-R 15-058-04 - N'!$B15:$AE15))</f>
        <v>0</v>
      </c>
      <c r="K22" s="10">
        <f t="array" ref="K22">SUM(IF('SJCPIL-R 15-058-04 - N'!$B$3:$AE$3='Resumo de Falhas'!K$1,'SJCPIL-R 15-058-04 - N'!$B15:$AE15))</f>
        <v>0</v>
      </c>
      <c r="L22" s="11">
        <f t="array" ref="L22">SUM(IF('SJCPIL-R 15-058-04 - N'!$B$3:$AE$3='Resumo de Falhas'!L$1,'SJCPIL-R 15-058-04 - N'!$B15:$AE15))</f>
        <v>0</v>
      </c>
      <c r="M22" s="12">
        <f t="shared" si="0"/>
        <v>0</v>
      </c>
      <c r="N22" s="13" t="e">
        <f>M22/M$21*1000000</f>
        <v>#DIV/0!</v>
      </c>
      <c r="O22" s="101">
        <f>M3+M22</f>
        <v>0</v>
      </c>
    </row>
    <row r="23" spans="1:15">
      <c r="A23" s="158"/>
      <c r="B23" s="31" t="s">
        <v>4</v>
      </c>
      <c r="C23" s="10">
        <f t="array" ref="C23">SUM(IF('SJCPIL-R 15-058-04 - N'!$B$3:$AE$3='Resumo de Falhas'!C$1,'SJCPIL-R 15-058-04 - N'!$B16:$AE16))</f>
        <v>0</v>
      </c>
      <c r="D23" s="10">
        <f t="array" ref="D23">SUM(IF('SJCPIL-R 15-058-04 - N'!$B$3:$AE$3='Resumo de Falhas'!D$1,'SJCPIL-R 15-058-04 - N'!$B16:$AE16))</f>
        <v>0</v>
      </c>
      <c r="E23" s="10">
        <f t="array" ref="E23">SUM(IF('SJCPIL-R 15-058-04 - N'!$B$3:$AE$3='Resumo de Falhas'!E$1,'SJCPIL-R 15-058-04 - N'!$B16:$AE16))</f>
        <v>0</v>
      </c>
      <c r="F23" s="10">
        <f t="array" ref="F23">SUM(IF('SJCPIL-R 15-058-04 - N'!$B$3:$AE$3='Resumo de Falhas'!F$1,'SJCPIL-R 15-058-04 - N'!$B16:$AE16))</f>
        <v>0</v>
      </c>
      <c r="G23" s="10">
        <f t="array" ref="G23">SUM(IF('SJCPIL-R 15-058-04 - N'!$B$3:$AE$3='Resumo de Falhas'!G$1,'SJCPIL-R 15-058-04 - N'!$B16:$AE16))</f>
        <v>0</v>
      </c>
      <c r="H23" s="10">
        <f t="array" ref="H23">SUM(IF('SJCPIL-R 15-058-04 - N'!$B$3:$AE$3='Resumo de Falhas'!H$1,'SJCPIL-R 15-058-04 - N'!$B16:$AE16))</f>
        <v>0</v>
      </c>
      <c r="I23" s="10">
        <f t="array" ref="I23">SUM(IF('SJCPIL-R 15-058-04 - N'!$B$3:$AE$3='Resumo de Falhas'!I$1,'SJCPIL-R 15-058-04 - N'!$B16:$AE16))</f>
        <v>0</v>
      </c>
      <c r="J23" s="10">
        <f t="array" ref="J23">SUM(IF('SJCPIL-R 15-058-04 - N'!$B$3:$AE$3='Resumo de Falhas'!J$1,'SJCPIL-R 15-058-04 - N'!$B16:$AE16))</f>
        <v>0</v>
      </c>
      <c r="K23" s="10">
        <f t="array" ref="K23">SUM(IF('SJCPIL-R 15-058-04 - N'!$B$3:$AE$3='Resumo de Falhas'!K$1,'SJCPIL-R 15-058-04 - N'!$B16:$AE16))</f>
        <v>0</v>
      </c>
      <c r="L23" s="11">
        <f t="array" ref="L23">SUM(IF('SJCPIL-R 15-058-04 - N'!$B$3:$AE$3='Resumo de Falhas'!L$1,'SJCPIL-R 15-058-04 - N'!$B16:$AE16))</f>
        <v>0</v>
      </c>
      <c r="M23" s="15">
        <f t="shared" si="0"/>
        <v>0</v>
      </c>
      <c r="N23" s="16" t="e">
        <f>M23/M$21*1000000</f>
        <v>#DIV/0!</v>
      </c>
      <c r="O23" s="101">
        <f>M4+M23</f>
        <v>0</v>
      </c>
    </row>
    <row r="24" spans="1:15">
      <c r="A24" s="158"/>
      <c r="B24" s="60" t="s">
        <v>59</v>
      </c>
      <c r="C24" s="10">
        <f t="array" ref="C24">SUM(IF('SJCPIL-R 15-058-04 - N'!$B$3:$AE$3='Resumo de Falhas'!C$1,'SJCPIL-R 15-058-04 - N'!$B17:$AE17))</f>
        <v>0</v>
      </c>
      <c r="D24" s="10">
        <f t="array" ref="D24">SUM(IF('SJCPIL-R 15-058-04 - N'!$B$3:$AE$3='Resumo de Falhas'!D$1,'SJCPIL-R 15-058-04 - N'!$B17:$AE17))</f>
        <v>0</v>
      </c>
      <c r="E24" s="10">
        <f t="array" ref="E24">SUM(IF('SJCPIL-R 15-058-04 - N'!$B$3:$AE$3='Resumo de Falhas'!E$1,'SJCPIL-R 15-058-04 - N'!$B17:$AE17))</f>
        <v>0</v>
      </c>
      <c r="F24" s="10">
        <f t="array" ref="F24">SUM(IF('SJCPIL-R 15-058-04 - N'!$B$3:$AE$3='Resumo de Falhas'!F$1,'SJCPIL-R 15-058-04 - N'!$B17:$AE17))</f>
        <v>0</v>
      </c>
      <c r="G24" s="10">
        <f t="array" ref="G24">SUM(IF('SJCPIL-R 15-058-04 - N'!$B$3:$AE$3='Resumo de Falhas'!G$1,'SJCPIL-R 15-058-04 - N'!$B17:$AE17))</f>
        <v>0</v>
      </c>
      <c r="H24" s="10">
        <f t="array" ref="H24">SUM(IF('SJCPIL-R 15-058-04 - N'!$B$3:$AE$3='Resumo de Falhas'!H$1,'SJCPIL-R 15-058-04 - N'!$B17:$AE17))</f>
        <v>0</v>
      </c>
      <c r="I24" s="10">
        <f t="array" ref="I24">SUM(IF('SJCPIL-R 15-058-04 - N'!$B$3:$AE$3='Resumo de Falhas'!I$1,'SJCPIL-R 15-058-04 - N'!$B17:$AE17))</f>
        <v>0</v>
      </c>
      <c r="J24" s="10">
        <f t="array" ref="J24">SUM(IF('SJCPIL-R 15-058-04 - N'!$B$3:$AE$3='Resumo de Falhas'!J$1,'SJCPIL-R 15-058-04 - N'!$B17:$AE17))</f>
        <v>0</v>
      </c>
      <c r="K24" s="10">
        <f t="array" ref="K24">SUM(IF('SJCPIL-R 15-058-04 - N'!$B$3:$AE$3='Resumo de Falhas'!K$1,'SJCPIL-R 15-058-04 - N'!$B17:$AE17))</f>
        <v>0</v>
      </c>
      <c r="L24" s="11">
        <f t="array" ref="L24">SUM(IF('SJCPIL-R 15-058-04 - N'!$B$3:$AE$3='Resumo de Falhas'!L$1,'SJCPIL-R 15-058-04 - N'!$B17:$AE17))</f>
        <v>0</v>
      </c>
      <c r="M24" s="15">
        <f t="shared" ref="M24:M26" si="4">SUM(C24:L24)</f>
        <v>0</v>
      </c>
      <c r="N24" s="16" t="e">
        <f t="shared" ref="N24:N26" si="5">M24/M$21*1000000</f>
        <v>#DIV/0!</v>
      </c>
      <c r="O24" s="101">
        <f t="shared" ref="O24:O39" si="6">M5+M24</f>
        <v>0</v>
      </c>
    </row>
    <row r="25" spans="1:15">
      <c r="A25" s="158"/>
      <c r="B25" s="60" t="s">
        <v>60</v>
      </c>
      <c r="C25" s="10">
        <f t="array" ref="C25">SUM(IF('SJCPIL-R 15-058-04 - N'!$B$3:$AE$3='Resumo de Falhas'!C$1,'SJCPIL-R 15-058-04 - N'!$B18:$AE18))</f>
        <v>0</v>
      </c>
      <c r="D25" s="10">
        <f t="array" ref="D25">SUM(IF('SJCPIL-R 15-058-04 - N'!$B$3:$AE$3='Resumo de Falhas'!D$1,'SJCPIL-R 15-058-04 - N'!$B18:$AE18))</f>
        <v>0</v>
      </c>
      <c r="E25" s="10">
        <f t="array" ref="E25">SUM(IF('SJCPIL-R 15-058-04 - N'!$B$3:$AE$3='Resumo de Falhas'!E$1,'SJCPIL-R 15-058-04 - N'!$B18:$AE18))</f>
        <v>0</v>
      </c>
      <c r="F25" s="10">
        <f t="array" ref="F25">SUM(IF('SJCPIL-R 15-058-04 - N'!$B$3:$AE$3='Resumo de Falhas'!F$1,'SJCPIL-R 15-058-04 - N'!$B18:$AE18))</f>
        <v>0</v>
      </c>
      <c r="G25" s="10">
        <f t="array" ref="G25">SUM(IF('SJCPIL-R 15-058-04 - N'!$B$3:$AE$3='Resumo de Falhas'!G$1,'SJCPIL-R 15-058-04 - N'!$B18:$AE18))</f>
        <v>0</v>
      </c>
      <c r="H25" s="10">
        <f t="array" ref="H25">SUM(IF('SJCPIL-R 15-058-04 - N'!$B$3:$AE$3='Resumo de Falhas'!H$1,'SJCPIL-R 15-058-04 - N'!$B18:$AE18))</f>
        <v>0</v>
      </c>
      <c r="I25" s="10">
        <f t="array" ref="I25">SUM(IF('SJCPIL-R 15-058-04 - N'!$B$3:$AE$3='Resumo de Falhas'!I$1,'SJCPIL-R 15-058-04 - N'!$B18:$AE18))</f>
        <v>0</v>
      </c>
      <c r="J25" s="10">
        <f t="array" ref="J25">SUM(IF('SJCPIL-R 15-058-04 - N'!$B$3:$AE$3='Resumo de Falhas'!J$1,'SJCPIL-R 15-058-04 - N'!$B18:$AE18))</f>
        <v>0</v>
      </c>
      <c r="K25" s="10">
        <f t="array" ref="K25">SUM(IF('SJCPIL-R 15-058-04 - N'!$B$3:$AE$3='Resumo de Falhas'!K$1,'SJCPIL-R 15-058-04 - N'!$B18:$AE18))</f>
        <v>0</v>
      </c>
      <c r="L25" s="11">
        <f t="array" ref="L25">SUM(IF('SJCPIL-R 15-058-04 - N'!$B$3:$AE$3='Resumo de Falhas'!L$1,'SJCPIL-R 15-058-04 - N'!$B18:$AE18))</f>
        <v>0</v>
      </c>
      <c r="M25" s="15">
        <f t="shared" si="4"/>
        <v>0</v>
      </c>
      <c r="N25" s="16" t="e">
        <f t="shared" si="5"/>
        <v>#DIV/0!</v>
      </c>
      <c r="O25" s="101">
        <f t="shared" si="6"/>
        <v>0</v>
      </c>
    </row>
    <row r="26" spans="1:15">
      <c r="A26" s="158"/>
      <c r="B26" s="60" t="s">
        <v>66</v>
      </c>
      <c r="C26" s="10">
        <f t="array" ref="C26">SUM(IF('SJCPIL-R 15-058-04 - N'!$B$3:$AE$3='Resumo de Falhas'!C$1,'SJCPIL-R 15-058-04 - N'!$B19:$AE19))</f>
        <v>0</v>
      </c>
      <c r="D26" s="10">
        <f t="array" ref="D26">SUM(IF('SJCPIL-R 15-058-04 - N'!$B$3:$AE$3='Resumo de Falhas'!D$1,'SJCPIL-R 15-058-04 - N'!$B19:$AE19))</f>
        <v>0</v>
      </c>
      <c r="E26" s="10">
        <f t="array" ref="E26">SUM(IF('SJCPIL-R 15-058-04 - N'!$B$3:$AE$3='Resumo de Falhas'!E$1,'SJCPIL-R 15-058-04 - N'!$B19:$AE19))</f>
        <v>0</v>
      </c>
      <c r="F26" s="10">
        <f t="array" ref="F26">SUM(IF('SJCPIL-R 15-058-04 - N'!$B$3:$AE$3='Resumo de Falhas'!F$1,'SJCPIL-R 15-058-04 - N'!$B19:$AE19))</f>
        <v>0</v>
      </c>
      <c r="G26" s="10">
        <f t="array" ref="G26">SUM(IF('SJCPIL-R 15-058-04 - N'!$B$3:$AE$3='Resumo de Falhas'!G$1,'SJCPIL-R 15-058-04 - N'!$B19:$AE19))</f>
        <v>0</v>
      </c>
      <c r="H26" s="10">
        <f t="array" ref="H26">SUM(IF('SJCPIL-R 15-058-04 - N'!$B$3:$AE$3='Resumo de Falhas'!H$1,'SJCPIL-R 15-058-04 - N'!$B19:$AE19))</f>
        <v>0</v>
      </c>
      <c r="I26" s="10">
        <f t="array" ref="I26">SUM(IF('SJCPIL-R 15-058-04 - N'!$B$3:$AE$3='Resumo de Falhas'!I$1,'SJCPIL-R 15-058-04 - N'!$B19:$AE19))</f>
        <v>0</v>
      </c>
      <c r="J26" s="10">
        <f t="array" ref="J26">SUM(IF('SJCPIL-R 15-058-04 - N'!$B$3:$AE$3='Resumo de Falhas'!J$1,'SJCPIL-R 15-058-04 - N'!$B19:$AE19))</f>
        <v>0</v>
      </c>
      <c r="K26" s="10">
        <f t="array" ref="K26">SUM(IF('SJCPIL-R 15-058-04 - N'!$B$3:$AE$3='Resumo de Falhas'!K$1,'SJCPIL-R 15-058-04 - N'!$B19:$AE19))</f>
        <v>0</v>
      </c>
      <c r="L26" s="11">
        <f t="array" ref="L26">SUM(IF('SJCPIL-R 15-058-04 - N'!$B$3:$AE$3='Resumo de Falhas'!L$1,'SJCPIL-R 15-058-04 - N'!$B19:$AE19))</f>
        <v>0</v>
      </c>
      <c r="M26" s="15">
        <f t="shared" si="4"/>
        <v>0</v>
      </c>
      <c r="N26" s="16" t="e">
        <f t="shared" si="5"/>
        <v>#DIV/0!</v>
      </c>
      <c r="O26" s="101">
        <f t="shared" si="6"/>
        <v>0</v>
      </c>
    </row>
    <row r="27" spans="1:15">
      <c r="A27" s="158"/>
      <c r="B27" s="60" t="s">
        <v>67</v>
      </c>
      <c r="C27" s="10">
        <f t="array" ref="C27">SUM(IF('SJCPIL-R 15-058-04 - N'!$B$3:$AE$3='Resumo de Falhas'!C$1,'SJCPIL-R 15-058-04 - N'!$B20:$AE20))</f>
        <v>0</v>
      </c>
      <c r="D27" s="10">
        <f t="array" ref="D27">SUM(IF('SJCPIL-R 15-058-04 - N'!$B$3:$AE$3='Resumo de Falhas'!D$1,'SJCPIL-R 15-058-04 - N'!$B20:$AE20))</f>
        <v>0</v>
      </c>
      <c r="E27" s="10">
        <f t="array" ref="E27">SUM(IF('SJCPIL-R 15-058-04 - N'!$B$3:$AE$3='Resumo de Falhas'!E$1,'SJCPIL-R 15-058-04 - N'!$B20:$AE20))</f>
        <v>0</v>
      </c>
      <c r="F27" s="10">
        <f t="array" ref="F27">SUM(IF('SJCPIL-R 15-058-04 - N'!$B$3:$AE$3='Resumo de Falhas'!F$1,'SJCPIL-R 15-058-04 - N'!$B20:$AE20))</f>
        <v>0</v>
      </c>
      <c r="G27" s="10">
        <f t="array" ref="G27">SUM(IF('SJCPIL-R 15-058-04 - N'!$B$3:$AE$3='Resumo de Falhas'!G$1,'SJCPIL-R 15-058-04 - N'!$B20:$AE20))</f>
        <v>0</v>
      </c>
      <c r="H27" s="10">
        <f t="array" ref="H27">SUM(IF('SJCPIL-R 15-058-04 - N'!$B$3:$AE$3='Resumo de Falhas'!H$1,'SJCPIL-R 15-058-04 - N'!$B20:$AE20))</f>
        <v>0</v>
      </c>
      <c r="I27" s="10">
        <f t="array" ref="I27">SUM(IF('SJCPIL-R 15-058-04 - N'!$B$3:$AE$3='Resumo de Falhas'!I$1,'SJCPIL-R 15-058-04 - N'!$B20:$AE20))</f>
        <v>0</v>
      </c>
      <c r="J27" s="10">
        <f t="array" ref="J27">SUM(IF('SJCPIL-R 15-058-04 - N'!$B$3:$AE$3='Resumo de Falhas'!J$1,'SJCPIL-R 15-058-04 - N'!$B20:$AE20))</f>
        <v>0</v>
      </c>
      <c r="K27" s="10">
        <f t="array" ref="K27">SUM(IF('SJCPIL-R 15-058-04 - N'!$B$3:$AE$3='Resumo de Falhas'!K$1,'SJCPIL-R 15-058-04 - N'!$B20:$AE20))</f>
        <v>0</v>
      </c>
      <c r="L27" s="11">
        <f t="array" ref="L27">SUM(IF('SJCPIL-R 15-058-04 - N'!$B$3:$AE$3='Resumo de Falhas'!L$1,'SJCPIL-R 15-058-04 - N'!$B20:$AE20))</f>
        <v>0</v>
      </c>
      <c r="M27" s="15">
        <f t="shared" ref="M27:M39" si="7">SUM(C27:L27)</f>
        <v>0</v>
      </c>
      <c r="N27" s="16" t="e">
        <f t="shared" ref="N27:N38" si="8">M27/M$21*1000000</f>
        <v>#DIV/0!</v>
      </c>
      <c r="O27" s="101">
        <f t="shared" si="6"/>
        <v>0</v>
      </c>
    </row>
    <row r="28" spans="1:15">
      <c r="A28" s="158"/>
      <c r="B28" s="60" t="s">
        <v>72</v>
      </c>
      <c r="C28" s="10">
        <f t="array" ref="C28">SUM(IF('SJCPIL-R 15-058-04 - N'!$B$3:$AE$3='Resumo de Falhas'!C$1,'SJCPIL-R 15-058-04 - N'!$B21:$AE21))</f>
        <v>0</v>
      </c>
      <c r="D28" s="10">
        <f t="array" ref="D28">SUM(IF('SJCPIL-R 15-058-04 - N'!$B$3:$AE$3='Resumo de Falhas'!D$1,'SJCPIL-R 15-058-04 - N'!$B21:$AE21))</f>
        <v>0</v>
      </c>
      <c r="E28" s="10">
        <f t="array" ref="E28">SUM(IF('SJCPIL-R 15-058-04 - N'!$B$3:$AE$3='Resumo de Falhas'!E$1,'SJCPIL-R 15-058-04 - N'!$B21:$AE21))</f>
        <v>0</v>
      </c>
      <c r="F28" s="10">
        <f t="array" ref="F28">SUM(IF('SJCPIL-R 15-058-04 - N'!$B$3:$AE$3='Resumo de Falhas'!F$1,'SJCPIL-R 15-058-04 - N'!$B21:$AE21))</f>
        <v>0</v>
      </c>
      <c r="G28" s="10">
        <f t="array" ref="G28">SUM(IF('SJCPIL-R 15-058-04 - N'!$B$3:$AE$3='Resumo de Falhas'!G$1,'SJCPIL-R 15-058-04 - N'!$B21:$AE21))</f>
        <v>0</v>
      </c>
      <c r="H28" s="10">
        <f t="array" ref="H28">SUM(IF('SJCPIL-R 15-058-04 - N'!$B$3:$AE$3='Resumo de Falhas'!H$1,'SJCPIL-R 15-058-04 - N'!$B21:$AE21))</f>
        <v>0</v>
      </c>
      <c r="I28" s="10">
        <f t="array" ref="I28">SUM(IF('SJCPIL-R 15-058-04 - N'!$B$3:$AE$3='Resumo de Falhas'!I$1,'SJCPIL-R 15-058-04 - N'!$B21:$AE21))</f>
        <v>0</v>
      </c>
      <c r="J28" s="10">
        <f t="array" ref="J28">SUM(IF('SJCPIL-R 15-058-04 - N'!$B$3:$AE$3='Resumo de Falhas'!J$1,'SJCPIL-R 15-058-04 - N'!$B21:$AE21))</f>
        <v>0</v>
      </c>
      <c r="K28" s="10">
        <f t="array" ref="K28">SUM(IF('SJCPIL-R 15-058-04 - N'!$B$3:$AE$3='Resumo de Falhas'!K$1,'SJCPIL-R 15-058-04 - N'!$B21:$AE21))</f>
        <v>0</v>
      </c>
      <c r="L28" s="11">
        <f t="array" ref="L28">SUM(IF('SJCPIL-R 15-058-04 - N'!$B$3:$AE$3='Resumo de Falhas'!L$1,'SJCPIL-R 15-058-04 - N'!$B21:$AE21))</f>
        <v>0</v>
      </c>
      <c r="M28" s="15">
        <f t="shared" si="7"/>
        <v>0</v>
      </c>
      <c r="N28" s="16" t="e">
        <f t="shared" si="8"/>
        <v>#DIV/0!</v>
      </c>
      <c r="O28" s="101">
        <f t="shared" si="6"/>
        <v>0</v>
      </c>
    </row>
    <row r="29" spans="1:15">
      <c r="A29" s="158"/>
      <c r="B29" s="60" t="s">
        <v>73</v>
      </c>
      <c r="C29" s="10">
        <f t="array" ref="C29">SUM(IF('SJCPIL-R 15-058-04 - N'!$B$3:$AE$3='Resumo de Falhas'!C$1,'SJCPIL-R 15-058-04 - N'!$B22:$AE22))</f>
        <v>0</v>
      </c>
      <c r="D29" s="10">
        <f t="array" ref="D29">SUM(IF('SJCPIL-R 15-058-04 - N'!$B$3:$AE$3='Resumo de Falhas'!D$1,'SJCPIL-R 15-058-04 - N'!$B22:$AE22))</f>
        <v>0</v>
      </c>
      <c r="E29" s="10">
        <f t="array" ref="E29">SUM(IF('SJCPIL-R 15-058-04 - N'!$B$3:$AE$3='Resumo de Falhas'!E$1,'SJCPIL-R 15-058-04 - N'!$B22:$AE22))</f>
        <v>0</v>
      </c>
      <c r="F29" s="10">
        <f t="array" ref="F29">SUM(IF('SJCPIL-R 15-058-04 - N'!$B$3:$AE$3='Resumo de Falhas'!F$1,'SJCPIL-R 15-058-04 - N'!$B22:$AE22))</f>
        <v>0</v>
      </c>
      <c r="G29" s="10">
        <f t="array" ref="G29">SUM(IF('SJCPIL-R 15-058-04 - N'!$B$3:$AE$3='Resumo de Falhas'!G$1,'SJCPIL-R 15-058-04 - N'!$B22:$AE22))</f>
        <v>0</v>
      </c>
      <c r="H29" s="10">
        <f t="array" ref="H29">SUM(IF('SJCPIL-R 15-058-04 - N'!$B$3:$AE$3='Resumo de Falhas'!H$1,'SJCPIL-R 15-058-04 - N'!$B22:$AE22))</f>
        <v>0</v>
      </c>
      <c r="I29" s="10">
        <f t="array" ref="I29">SUM(IF('SJCPIL-R 15-058-04 - N'!$B$3:$AE$3='Resumo de Falhas'!I$1,'SJCPIL-R 15-058-04 - N'!$B22:$AE22))</f>
        <v>0</v>
      </c>
      <c r="J29" s="10">
        <f t="array" ref="J29">SUM(IF('SJCPIL-R 15-058-04 - N'!$B$3:$AE$3='Resumo de Falhas'!J$1,'SJCPIL-R 15-058-04 - N'!$B22:$AE22))</f>
        <v>0</v>
      </c>
      <c r="K29" s="10">
        <f t="array" ref="K29">SUM(IF('SJCPIL-R 15-058-04 - N'!$B$3:$AE$3='Resumo de Falhas'!K$1,'SJCPIL-R 15-058-04 - N'!$B22:$AE22))</f>
        <v>0</v>
      </c>
      <c r="L29" s="11">
        <f t="array" ref="L29">SUM(IF('SJCPIL-R 15-058-04 - N'!$B$3:$AE$3='Resumo de Falhas'!L$1,'SJCPIL-R 15-058-04 - N'!$B22:$AE22))</f>
        <v>0</v>
      </c>
      <c r="M29" s="15">
        <f t="shared" si="7"/>
        <v>0</v>
      </c>
      <c r="N29" s="16" t="e">
        <f t="shared" si="8"/>
        <v>#DIV/0!</v>
      </c>
      <c r="O29" s="101">
        <f t="shared" si="6"/>
        <v>0</v>
      </c>
    </row>
    <row r="30" spans="1:15">
      <c r="A30" s="158"/>
      <c r="B30" s="60" t="s">
        <v>74</v>
      </c>
      <c r="C30" s="10">
        <f t="array" ref="C30">SUM(IF('SJCPIL-R 15-058-04 - N'!$B$3:$AE$3='Resumo de Falhas'!C$1,'SJCPIL-R 15-058-04 - N'!$B23:$AE23))</f>
        <v>0</v>
      </c>
      <c r="D30" s="10">
        <f t="array" ref="D30">SUM(IF('SJCPIL-R 15-058-04 - N'!$B$3:$AE$3='Resumo de Falhas'!D$1,'SJCPIL-R 15-058-04 - N'!$B23:$AE23))</f>
        <v>0</v>
      </c>
      <c r="E30" s="10">
        <f t="array" ref="E30">SUM(IF('SJCPIL-R 15-058-04 - N'!$B$3:$AE$3='Resumo de Falhas'!E$1,'SJCPIL-R 15-058-04 - N'!$B23:$AE23))</f>
        <v>0</v>
      </c>
      <c r="F30" s="10">
        <f t="array" ref="F30">SUM(IF('SJCPIL-R 15-058-04 - N'!$B$3:$AE$3='Resumo de Falhas'!F$1,'SJCPIL-R 15-058-04 - N'!$B23:$AE23))</f>
        <v>0</v>
      </c>
      <c r="G30" s="10">
        <f t="array" ref="G30">SUM(IF('SJCPIL-R 15-058-04 - N'!$B$3:$AE$3='Resumo de Falhas'!G$1,'SJCPIL-R 15-058-04 - N'!$B23:$AE23))</f>
        <v>0</v>
      </c>
      <c r="H30" s="10">
        <f t="array" ref="H30">SUM(IF('SJCPIL-R 15-058-04 - N'!$B$3:$AE$3='Resumo de Falhas'!H$1,'SJCPIL-R 15-058-04 - N'!$B23:$AE23))</f>
        <v>0</v>
      </c>
      <c r="I30" s="10">
        <f t="array" ref="I30">SUM(IF('SJCPIL-R 15-058-04 - N'!$B$3:$AE$3='Resumo de Falhas'!I$1,'SJCPIL-R 15-058-04 - N'!$B23:$AE23))</f>
        <v>0</v>
      </c>
      <c r="J30" s="10">
        <f t="array" ref="J30">SUM(IF('SJCPIL-R 15-058-04 - N'!$B$3:$AE$3='Resumo de Falhas'!J$1,'SJCPIL-R 15-058-04 - N'!$B23:$AE23))</f>
        <v>0</v>
      </c>
      <c r="K30" s="10">
        <f t="array" ref="K30">SUM(IF('SJCPIL-R 15-058-04 - N'!$B$3:$AE$3='Resumo de Falhas'!K$1,'SJCPIL-R 15-058-04 - N'!$B23:$AE23))</f>
        <v>0</v>
      </c>
      <c r="L30" s="11">
        <f t="array" ref="L30">SUM(IF('SJCPIL-R 15-058-04 - N'!$B$3:$AE$3='Resumo de Falhas'!L$1,'SJCPIL-R 15-058-04 - N'!$B23:$AE23))</f>
        <v>0</v>
      </c>
      <c r="M30" s="15">
        <f t="shared" si="7"/>
        <v>0</v>
      </c>
      <c r="N30" s="16" t="e">
        <f t="shared" si="8"/>
        <v>#DIV/0!</v>
      </c>
      <c r="O30" s="101">
        <f t="shared" si="6"/>
        <v>0</v>
      </c>
    </row>
    <row r="31" spans="1:15" ht="24">
      <c r="A31" s="158"/>
      <c r="B31" s="61" t="s">
        <v>61</v>
      </c>
      <c r="C31" s="10">
        <f t="array" ref="C31">SUM(IF('SJCPIL-R 15-058-04 - N'!$B$3:$AE$3='Resumo de Falhas'!C$1,'SJCPIL-R 15-058-04 - N'!$B24:$AE24))</f>
        <v>0</v>
      </c>
      <c r="D31" s="10">
        <f t="array" ref="D31">SUM(IF('SJCPIL-R 15-058-04 - N'!$B$3:$AE$3='Resumo de Falhas'!D$1,'SJCPIL-R 15-058-04 - N'!$B24:$AE24))</f>
        <v>0</v>
      </c>
      <c r="E31" s="10">
        <f t="array" ref="E31">SUM(IF('SJCPIL-R 15-058-04 - N'!$B$3:$AE$3='Resumo de Falhas'!E$1,'SJCPIL-R 15-058-04 - N'!$B24:$AE24))</f>
        <v>0</v>
      </c>
      <c r="F31" s="10">
        <f t="array" ref="F31">SUM(IF('SJCPIL-R 15-058-04 - N'!$B$3:$AE$3='Resumo de Falhas'!F$1,'SJCPIL-R 15-058-04 - N'!$B24:$AE24))</f>
        <v>0</v>
      </c>
      <c r="G31" s="10">
        <f t="array" ref="G31">SUM(IF('SJCPIL-R 15-058-04 - N'!$B$3:$AE$3='Resumo de Falhas'!G$1,'SJCPIL-R 15-058-04 - N'!$B24:$AE24))</f>
        <v>0</v>
      </c>
      <c r="H31" s="10">
        <f t="array" ref="H31">SUM(IF('SJCPIL-R 15-058-04 - N'!$B$3:$AE$3='Resumo de Falhas'!H$1,'SJCPIL-R 15-058-04 - N'!$B24:$AE24))</f>
        <v>0</v>
      </c>
      <c r="I31" s="10">
        <f t="array" ref="I31">SUM(IF('SJCPIL-R 15-058-04 - N'!$B$3:$AE$3='Resumo de Falhas'!I$1,'SJCPIL-R 15-058-04 - N'!$B24:$AE24))</f>
        <v>0</v>
      </c>
      <c r="J31" s="10">
        <f t="array" ref="J31">SUM(IF('SJCPIL-R 15-058-04 - N'!$B$3:$AE$3='Resumo de Falhas'!J$1,'SJCPIL-R 15-058-04 - N'!$B24:$AE24))</f>
        <v>0</v>
      </c>
      <c r="K31" s="10">
        <f t="array" ref="K31">SUM(IF('SJCPIL-R 15-058-04 - N'!$B$3:$AE$3='Resumo de Falhas'!K$1,'SJCPIL-R 15-058-04 - N'!$B24:$AE24))</f>
        <v>0</v>
      </c>
      <c r="L31" s="11">
        <f t="array" ref="L31">SUM(IF('SJCPIL-R 15-058-04 - N'!$B$3:$AE$3='Resumo de Falhas'!L$1,'SJCPIL-R 15-058-04 - N'!$B24:$AE24))</f>
        <v>0</v>
      </c>
      <c r="M31" s="15">
        <f t="shared" si="7"/>
        <v>0</v>
      </c>
      <c r="N31" s="16" t="e">
        <f t="shared" si="8"/>
        <v>#DIV/0!</v>
      </c>
      <c r="O31" s="101">
        <f t="shared" si="6"/>
        <v>0</v>
      </c>
    </row>
    <row r="32" spans="1:15">
      <c r="A32" s="158"/>
      <c r="B32" s="60" t="s">
        <v>62</v>
      </c>
      <c r="C32" s="10">
        <f t="array" ref="C32">SUM(IF('SJCPIL-R 15-058-04 - N'!$B$3:$AE$3='Resumo de Falhas'!C$1,'SJCPIL-R 15-058-04 - N'!$B25:$AE25))</f>
        <v>0</v>
      </c>
      <c r="D32" s="10">
        <f t="array" ref="D32">SUM(IF('SJCPIL-R 15-058-04 - N'!$B$3:$AE$3='Resumo de Falhas'!D$1,'SJCPIL-R 15-058-04 - N'!$B25:$AE25))</f>
        <v>0</v>
      </c>
      <c r="E32" s="10">
        <f t="array" ref="E32">SUM(IF('SJCPIL-R 15-058-04 - N'!$B$3:$AE$3='Resumo de Falhas'!E$1,'SJCPIL-R 15-058-04 - N'!$B25:$AE25))</f>
        <v>0</v>
      </c>
      <c r="F32" s="10">
        <f t="array" ref="F32">SUM(IF('SJCPIL-R 15-058-04 - N'!$B$3:$AE$3='Resumo de Falhas'!F$1,'SJCPIL-R 15-058-04 - N'!$B25:$AE25))</f>
        <v>0</v>
      </c>
      <c r="G32" s="10">
        <f t="array" ref="G32">SUM(IF('SJCPIL-R 15-058-04 - N'!$B$3:$AE$3='Resumo de Falhas'!G$1,'SJCPIL-R 15-058-04 - N'!$B25:$AE25))</f>
        <v>0</v>
      </c>
      <c r="H32" s="10">
        <f t="array" ref="H32">SUM(IF('SJCPIL-R 15-058-04 - N'!$B$3:$AE$3='Resumo de Falhas'!H$1,'SJCPIL-R 15-058-04 - N'!$B25:$AE25))</f>
        <v>0</v>
      </c>
      <c r="I32" s="10">
        <f t="array" ref="I32">SUM(IF('SJCPIL-R 15-058-04 - N'!$B$3:$AE$3='Resumo de Falhas'!I$1,'SJCPIL-R 15-058-04 - N'!$B25:$AE25))</f>
        <v>0</v>
      </c>
      <c r="J32" s="10">
        <f t="array" ref="J32">SUM(IF('SJCPIL-R 15-058-04 - N'!$B$3:$AE$3='Resumo de Falhas'!J$1,'SJCPIL-R 15-058-04 - N'!$B25:$AE25))</f>
        <v>0</v>
      </c>
      <c r="K32" s="10">
        <f t="array" ref="K32">SUM(IF('SJCPIL-R 15-058-04 - N'!$B$3:$AE$3='Resumo de Falhas'!K$1,'SJCPIL-R 15-058-04 - N'!$B25:$AE25))</f>
        <v>0</v>
      </c>
      <c r="L32" s="11">
        <f t="array" ref="L32">SUM(IF('SJCPIL-R 15-058-04 - N'!$B$3:$AE$3='Resumo de Falhas'!L$1,'SJCPIL-R 15-058-04 - N'!$B25:$AE25))</f>
        <v>0</v>
      </c>
      <c r="M32" s="15">
        <f t="shared" si="7"/>
        <v>0</v>
      </c>
      <c r="N32" s="16" t="e">
        <f t="shared" si="8"/>
        <v>#DIV/0!</v>
      </c>
      <c r="O32" s="101">
        <f t="shared" si="6"/>
        <v>0</v>
      </c>
    </row>
    <row r="33" spans="1:15">
      <c r="A33" s="158"/>
      <c r="B33" s="31" t="s">
        <v>5</v>
      </c>
      <c r="C33" s="10">
        <f t="array" ref="C33">SUM(IF('SJCPIL-R 15-058-04 - N'!$B$3:$AE$3='Resumo de Falhas'!C$1,'SJCPIL-R 15-058-04 - N'!$B26:$AE26))</f>
        <v>0</v>
      </c>
      <c r="D33" s="10">
        <f t="array" ref="D33">SUM(IF('SJCPIL-R 15-058-04 - N'!$B$3:$AE$3='Resumo de Falhas'!D$1,'SJCPIL-R 15-058-04 - N'!$B26:$AE26))</f>
        <v>0</v>
      </c>
      <c r="E33" s="10">
        <f t="array" ref="E33">SUM(IF('SJCPIL-R 15-058-04 - N'!$B$3:$AE$3='Resumo de Falhas'!E$1,'SJCPIL-R 15-058-04 - N'!$B26:$AE26))</f>
        <v>0</v>
      </c>
      <c r="F33" s="10">
        <f t="array" ref="F33">SUM(IF('SJCPIL-R 15-058-04 - N'!$B$3:$AE$3='Resumo de Falhas'!F$1,'SJCPIL-R 15-058-04 - N'!$B26:$AE26))</f>
        <v>0</v>
      </c>
      <c r="G33" s="10">
        <f t="array" ref="G33">SUM(IF('SJCPIL-R 15-058-04 - N'!$B$3:$AE$3='Resumo de Falhas'!G$1,'SJCPIL-R 15-058-04 - N'!$B26:$AE26))</f>
        <v>0</v>
      </c>
      <c r="H33" s="10">
        <f t="array" ref="H33">SUM(IF('SJCPIL-R 15-058-04 - N'!$B$3:$AE$3='Resumo de Falhas'!H$1,'SJCPIL-R 15-058-04 - N'!$B26:$AE26))</f>
        <v>0</v>
      </c>
      <c r="I33" s="10">
        <f t="array" ref="I33">SUM(IF('SJCPIL-R 15-058-04 - N'!$B$3:$AE$3='Resumo de Falhas'!I$1,'SJCPIL-R 15-058-04 - N'!$B26:$AE26))</f>
        <v>0</v>
      </c>
      <c r="J33" s="10">
        <f t="array" ref="J33">SUM(IF('SJCPIL-R 15-058-04 - N'!$B$3:$AE$3='Resumo de Falhas'!J$1,'SJCPIL-R 15-058-04 - N'!$B26:$AE26))</f>
        <v>0</v>
      </c>
      <c r="K33" s="10">
        <f t="array" ref="K33">SUM(IF('SJCPIL-R 15-058-04 - N'!$B$3:$AE$3='Resumo de Falhas'!K$1,'SJCPIL-R 15-058-04 - N'!$B26:$AE26))</f>
        <v>0</v>
      </c>
      <c r="L33" s="11">
        <f t="array" ref="L33">SUM(IF('SJCPIL-R 15-058-04 - N'!$B$3:$AE$3='Resumo de Falhas'!L$1,'SJCPIL-R 15-058-04 - N'!$B26:$AE26))</f>
        <v>0</v>
      </c>
      <c r="M33" s="15">
        <f t="shared" si="7"/>
        <v>0</v>
      </c>
      <c r="N33" s="16" t="e">
        <f t="shared" si="8"/>
        <v>#DIV/0!</v>
      </c>
      <c r="O33" s="101">
        <f t="shared" si="6"/>
        <v>0</v>
      </c>
    </row>
    <row r="34" spans="1:15">
      <c r="A34" s="159"/>
      <c r="B34" s="37" t="s">
        <v>34</v>
      </c>
      <c r="C34" s="10">
        <f t="array" ref="C34">SUM(IF('SJCPIL-R 15-058-04 - N'!$B$3:$AE$3='Resumo de Falhas'!C$1,'SJCPIL-R 15-058-04 - N'!$B27:$AE27))</f>
        <v>0</v>
      </c>
      <c r="D34" s="10">
        <f t="array" ref="D34">SUM(IF('SJCPIL-R 15-058-04 - N'!$B$3:$AE$3='Resumo de Falhas'!D$1,'SJCPIL-R 15-058-04 - N'!$B27:$AE27))</f>
        <v>0</v>
      </c>
      <c r="E34" s="10">
        <f t="array" ref="E34">SUM(IF('SJCPIL-R 15-058-04 - N'!$B$3:$AE$3='Resumo de Falhas'!E$1,'SJCPIL-R 15-058-04 - N'!$B27:$AE27))</f>
        <v>0</v>
      </c>
      <c r="F34" s="10">
        <f t="array" ref="F34">SUM(IF('SJCPIL-R 15-058-04 - N'!$B$3:$AE$3='Resumo de Falhas'!F$1,'SJCPIL-R 15-058-04 - N'!$B27:$AE27))</f>
        <v>0</v>
      </c>
      <c r="G34" s="10">
        <f t="array" ref="G34">SUM(IF('SJCPIL-R 15-058-04 - N'!$B$3:$AE$3='Resumo de Falhas'!G$1,'SJCPIL-R 15-058-04 - N'!$B27:$AE27))</f>
        <v>0</v>
      </c>
      <c r="H34" s="10">
        <f t="array" ref="H34">SUM(IF('SJCPIL-R 15-058-04 - N'!$B$3:$AE$3='Resumo de Falhas'!H$1,'SJCPIL-R 15-058-04 - N'!$B27:$AE27))</f>
        <v>0</v>
      </c>
      <c r="I34" s="10">
        <f t="array" ref="I34">SUM(IF('SJCPIL-R 15-058-04 - N'!$B$3:$AE$3='Resumo de Falhas'!I$1,'SJCPIL-R 15-058-04 - N'!$B27:$AE27))</f>
        <v>0</v>
      </c>
      <c r="J34" s="10">
        <f t="array" ref="J34">SUM(IF('SJCPIL-R 15-058-04 - N'!$B$3:$AE$3='Resumo de Falhas'!J$1,'SJCPIL-R 15-058-04 - N'!$B27:$AE27))</f>
        <v>0</v>
      </c>
      <c r="K34" s="10">
        <f t="array" ref="K34">SUM(IF('SJCPIL-R 15-058-04 - N'!$B$3:$AE$3='Resumo de Falhas'!K$1,'SJCPIL-R 15-058-04 - N'!$B27:$AE27))</f>
        <v>0</v>
      </c>
      <c r="L34" s="11">
        <f t="array" ref="L34">SUM(IF('SJCPIL-R 15-058-04 - N'!$B$3:$AE$3='Resumo de Falhas'!L$1,'SJCPIL-R 15-058-04 - N'!$B27:$AE27))</f>
        <v>0</v>
      </c>
      <c r="M34" s="15">
        <f t="shared" si="7"/>
        <v>0</v>
      </c>
      <c r="N34" s="16" t="e">
        <f t="shared" si="8"/>
        <v>#DIV/0!</v>
      </c>
      <c r="O34" s="101">
        <f t="shared" si="6"/>
        <v>0</v>
      </c>
    </row>
    <row r="35" spans="1:15">
      <c r="A35" s="159"/>
      <c r="B35" s="37" t="s">
        <v>37</v>
      </c>
      <c r="C35" s="10">
        <f t="array" ref="C35">SUM(IF('SJCPIL-R 15-058-04 - N'!$B$3:$AE$3='Resumo de Falhas'!C$1,'SJCPIL-R 15-058-04 - N'!$B28:$AE28))</f>
        <v>0</v>
      </c>
      <c r="D35" s="10">
        <f t="array" ref="D35">SUM(IF('SJCPIL-R 15-058-04 - N'!$B$3:$AE$3='Resumo de Falhas'!D$1,'SJCPIL-R 15-058-04 - N'!$B28:$AE28))</f>
        <v>0</v>
      </c>
      <c r="E35" s="10">
        <f t="array" ref="E35">SUM(IF('SJCPIL-R 15-058-04 - N'!$B$3:$AE$3='Resumo de Falhas'!E$1,'SJCPIL-R 15-058-04 - N'!$B28:$AE28))</f>
        <v>0</v>
      </c>
      <c r="F35" s="10">
        <f t="array" ref="F35">SUM(IF('SJCPIL-R 15-058-04 - N'!$B$3:$AE$3='Resumo de Falhas'!F$1,'SJCPIL-R 15-058-04 - N'!$B28:$AE28))</f>
        <v>0</v>
      </c>
      <c r="G35" s="10">
        <f t="array" ref="G35">SUM(IF('SJCPIL-R 15-058-04 - N'!$B$3:$AE$3='Resumo de Falhas'!G$1,'SJCPIL-R 15-058-04 - N'!$B28:$AE28))</f>
        <v>0</v>
      </c>
      <c r="H35" s="10">
        <f t="array" ref="H35">SUM(IF('SJCPIL-R 15-058-04 - N'!$B$3:$AE$3='Resumo de Falhas'!H$1,'SJCPIL-R 15-058-04 - N'!$B28:$AE28))</f>
        <v>0</v>
      </c>
      <c r="I35" s="10">
        <f t="array" ref="I35">SUM(IF('SJCPIL-R 15-058-04 - N'!$B$3:$AE$3='Resumo de Falhas'!I$1,'SJCPIL-R 15-058-04 - N'!$B28:$AE28))</f>
        <v>0</v>
      </c>
      <c r="J35" s="10">
        <f t="array" ref="J35">SUM(IF('SJCPIL-R 15-058-04 - N'!$B$3:$AE$3='Resumo de Falhas'!J$1,'SJCPIL-R 15-058-04 - N'!$B28:$AE28))</f>
        <v>0</v>
      </c>
      <c r="K35" s="10">
        <f t="array" ref="K35">SUM(IF('SJCPIL-R 15-058-04 - N'!$B$3:$AE$3='Resumo de Falhas'!K$1,'SJCPIL-R 15-058-04 - N'!$B28:$AE28))</f>
        <v>0</v>
      </c>
      <c r="L35" s="11">
        <f t="array" ref="L35">SUM(IF('SJCPIL-R 15-058-04 - N'!$B$3:$AE$3='Resumo de Falhas'!L$1,'SJCPIL-R 15-058-04 - N'!$B28:$AE28))</f>
        <v>0</v>
      </c>
      <c r="M35" s="15">
        <f t="shared" si="7"/>
        <v>0</v>
      </c>
      <c r="N35" s="16" t="e">
        <f t="shared" si="8"/>
        <v>#DIV/0!</v>
      </c>
      <c r="O35" s="101">
        <f t="shared" si="6"/>
        <v>0</v>
      </c>
    </row>
    <row r="36" spans="1:15">
      <c r="A36" s="159"/>
      <c r="B36" s="37" t="s">
        <v>35</v>
      </c>
      <c r="C36" s="10">
        <f t="array" ref="C36">SUM(IF('SJCPIL-R 15-058-04 - N'!$B$3:$AE$3='Resumo de Falhas'!C$1,'SJCPIL-R 15-058-04 - N'!$B29:$AE29))</f>
        <v>0</v>
      </c>
      <c r="D36" s="10">
        <f t="array" ref="D36">SUM(IF('SJCPIL-R 15-058-04 - N'!$B$3:$AE$3='Resumo de Falhas'!D$1,'SJCPIL-R 15-058-04 - N'!$B29:$AE29))</f>
        <v>0</v>
      </c>
      <c r="E36" s="10">
        <f t="array" ref="E36">SUM(IF('SJCPIL-R 15-058-04 - N'!$B$3:$AE$3='Resumo de Falhas'!E$1,'SJCPIL-R 15-058-04 - N'!$B29:$AE29))</f>
        <v>0</v>
      </c>
      <c r="F36" s="10">
        <f t="array" ref="F36">SUM(IF('SJCPIL-R 15-058-04 - N'!$B$3:$AE$3='Resumo de Falhas'!F$1,'SJCPIL-R 15-058-04 - N'!$B29:$AE29))</f>
        <v>0</v>
      </c>
      <c r="G36" s="10">
        <f t="array" ref="G36">SUM(IF('SJCPIL-R 15-058-04 - N'!$B$3:$AE$3='Resumo de Falhas'!G$1,'SJCPIL-R 15-058-04 - N'!$B29:$AE29))</f>
        <v>0</v>
      </c>
      <c r="H36" s="10">
        <f t="array" ref="H36">SUM(IF('SJCPIL-R 15-058-04 - N'!$B$3:$AE$3='Resumo de Falhas'!H$1,'SJCPIL-R 15-058-04 - N'!$B29:$AE29))</f>
        <v>0</v>
      </c>
      <c r="I36" s="10">
        <f t="array" ref="I36">SUM(IF('SJCPIL-R 15-058-04 - N'!$B$3:$AE$3='Resumo de Falhas'!I$1,'SJCPIL-R 15-058-04 - N'!$B29:$AE29))</f>
        <v>0</v>
      </c>
      <c r="J36" s="10">
        <f t="array" ref="J36">SUM(IF('SJCPIL-R 15-058-04 - N'!$B$3:$AE$3='Resumo de Falhas'!J$1,'SJCPIL-R 15-058-04 - N'!$B29:$AE29))</f>
        <v>0</v>
      </c>
      <c r="K36" s="10">
        <f t="array" ref="K36">SUM(IF('SJCPIL-R 15-058-04 - N'!$B$3:$AE$3='Resumo de Falhas'!K$1,'SJCPIL-R 15-058-04 - N'!$B29:$AE29))</f>
        <v>0</v>
      </c>
      <c r="L36" s="11">
        <f t="array" ref="L36">SUM(IF('SJCPIL-R 15-058-04 - N'!$B$3:$AE$3='Resumo de Falhas'!L$1,'SJCPIL-R 15-058-04 - N'!$B29:$AE29))</f>
        <v>0</v>
      </c>
      <c r="M36" s="15">
        <f t="shared" si="7"/>
        <v>0</v>
      </c>
      <c r="N36" s="16" t="e">
        <f t="shared" si="8"/>
        <v>#DIV/0!</v>
      </c>
      <c r="O36" s="101">
        <f t="shared" si="6"/>
        <v>0</v>
      </c>
    </row>
    <row r="37" spans="1:15">
      <c r="A37" s="159"/>
      <c r="B37" s="37" t="s">
        <v>36</v>
      </c>
      <c r="C37" s="10">
        <f t="array" ref="C37">SUM(IF('SJCPIL-R 15-058-04 - N'!$B$3:$AE$3='Resumo de Falhas'!C$1,'SJCPIL-R 15-058-04 - N'!$B30:$AE30))</f>
        <v>0</v>
      </c>
      <c r="D37" s="10">
        <f t="array" ref="D37">SUM(IF('SJCPIL-R 15-058-04 - N'!$B$3:$AE$3='Resumo de Falhas'!D$1,'SJCPIL-R 15-058-04 - N'!$B30:$AE30))</f>
        <v>0</v>
      </c>
      <c r="E37" s="10">
        <f t="array" ref="E37">SUM(IF('SJCPIL-R 15-058-04 - N'!$B$3:$AE$3='Resumo de Falhas'!E$1,'SJCPIL-R 15-058-04 - N'!$B30:$AE30))</f>
        <v>0</v>
      </c>
      <c r="F37" s="10">
        <f t="array" ref="F37">SUM(IF('SJCPIL-R 15-058-04 - N'!$B$3:$AE$3='Resumo de Falhas'!F$1,'SJCPIL-R 15-058-04 - N'!$B30:$AE30))</f>
        <v>0</v>
      </c>
      <c r="G37" s="10">
        <f t="array" ref="G37">SUM(IF('SJCPIL-R 15-058-04 - N'!$B$3:$AE$3='Resumo de Falhas'!G$1,'SJCPIL-R 15-058-04 - N'!$B30:$AE30))</f>
        <v>0</v>
      </c>
      <c r="H37" s="10">
        <f t="array" ref="H37">SUM(IF('SJCPIL-R 15-058-04 - N'!$B$3:$AE$3='Resumo de Falhas'!H$1,'SJCPIL-R 15-058-04 - N'!$B30:$AE30))</f>
        <v>0</v>
      </c>
      <c r="I37" s="10">
        <f t="array" ref="I37">SUM(IF('SJCPIL-R 15-058-04 - N'!$B$3:$AE$3='Resumo de Falhas'!I$1,'SJCPIL-R 15-058-04 - N'!$B30:$AE30))</f>
        <v>0</v>
      </c>
      <c r="J37" s="10">
        <f t="array" ref="J37">SUM(IF('SJCPIL-R 15-058-04 - N'!$B$3:$AE$3='Resumo de Falhas'!J$1,'SJCPIL-R 15-058-04 - N'!$B30:$AE30))</f>
        <v>0</v>
      </c>
      <c r="K37" s="10">
        <f t="array" ref="K37">SUM(IF('SJCPIL-R 15-058-04 - N'!$B$3:$AE$3='Resumo de Falhas'!K$1,'SJCPIL-R 15-058-04 - N'!$B30:$AE30))</f>
        <v>0</v>
      </c>
      <c r="L37" s="11">
        <f t="array" ref="L37">SUM(IF('SJCPIL-R 15-058-04 - N'!$B$3:$AE$3='Resumo de Falhas'!L$1,'SJCPIL-R 15-058-04 - N'!$B30:$AE30))</f>
        <v>0</v>
      </c>
      <c r="M37" s="15">
        <f t="shared" si="7"/>
        <v>0</v>
      </c>
      <c r="N37" s="16" t="e">
        <f t="shared" si="8"/>
        <v>#DIV/0!</v>
      </c>
      <c r="O37" s="101">
        <f t="shared" si="6"/>
        <v>0</v>
      </c>
    </row>
    <row r="38" spans="1:15">
      <c r="A38" s="159"/>
      <c r="B38" s="37" t="s">
        <v>6</v>
      </c>
      <c r="C38" s="10">
        <f t="array" ref="C38">SUM(IF('SJCPIL-R 15-058-04 - N'!$B$3:$AE$3='Resumo de Falhas'!C$1,'SJCPIL-R 15-058-04 - N'!$B31:$AE31))</f>
        <v>0</v>
      </c>
      <c r="D38" s="10">
        <f t="array" ref="D38">SUM(IF('SJCPIL-R 15-058-04 - N'!$B$3:$AE$3='Resumo de Falhas'!D$1,'SJCPIL-R 15-058-04 - N'!$B31:$AE31))</f>
        <v>0</v>
      </c>
      <c r="E38" s="10">
        <f t="array" ref="E38">SUM(IF('SJCPIL-R 15-058-04 - N'!$B$3:$AE$3='Resumo de Falhas'!E$1,'SJCPIL-R 15-058-04 - N'!$B31:$AE31))</f>
        <v>0</v>
      </c>
      <c r="F38" s="10">
        <f t="array" ref="F38">SUM(IF('SJCPIL-R 15-058-04 - N'!$B$3:$AE$3='Resumo de Falhas'!F$1,'SJCPIL-R 15-058-04 - N'!$B31:$AE31))</f>
        <v>0</v>
      </c>
      <c r="G38" s="10">
        <f t="array" ref="G38">SUM(IF('SJCPIL-R 15-058-04 - N'!$B$3:$AE$3='Resumo de Falhas'!G$1,'SJCPIL-R 15-058-04 - N'!$B31:$AE31))</f>
        <v>0</v>
      </c>
      <c r="H38" s="10">
        <f t="array" ref="H38">SUM(IF('SJCPIL-R 15-058-04 - N'!$B$3:$AE$3='Resumo de Falhas'!H$1,'SJCPIL-R 15-058-04 - N'!$B31:$AE31))</f>
        <v>0</v>
      </c>
      <c r="I38" s="10">
        <f t="array" ref="I38">SUM(IF('SJCPIL-R 15-058-04 - N'!$B$3:$AE$3='Resumo de Falhas'!I$1,'SJCPIL-R 15-058-04 - N'!$B31:$AE31))</f>
        <v>0</v>
      </c>
      <c r="J38" s="10">
        <f t="array" ref="J38">SUM(IF('SJCPIL-R 15-058-04 - N'!$B$3:$AE$3='Resumo de Falhas'!J$1,'SJCPIL-R 15-058-04 - N'!$B31:$AE31))</f>
        <v>0</v>
      </c>
      <c r="K38" s="10">
        <f t="array" ref="K38">SUM(IF('SJCPIL-R 15-058-04 - N'!$B$3:$AE$3='Resumo de Falhas'!K$1,'SJCPIL-R 15-058-04 - N'!$B31:$AE31))</f>
        <v>0</v>
      </c>
      <c r="L38" s="11">
        <f t="array" ref="L38">SUM(IF('SJCPIL-R 15-058-04 - N'!$B$3:$AE$3='Resumo de Falhas'!L$1,'SJCPIL-R 15-058-04 - N'!$B31:$AE31))</f>
        <v>0</v>
      </c>
      <c r="M38" s="15">
        <f t="shared" si="7"/>
        <v>0</v>
      </c>
      <c r="N38" s="16" t="e">
        <f t="shared" si="8"/>
        <v>#DIV/0!</v>
      </c>
      <c r="O38" s="101">
        <f t="shared" si="6"/>
        <v>0</v>
      </c>
    </row>
    <row r="39" spans="1:15" ht="13.5" thickBot="1">
      <c r="A39" s="160"/>
      <c r="B39" s="32" t="s">
        <v>16</v>
      </c>
      <c r="C39" s="18">
        <f>SUM(C22:C38)</f>
        <v>0</v>
      </c>
      <c r="D39" s="18">
        <f t="shared" ref="D39:L39" si="9">SUM(D22:D38)</f>
        <v>0</v>
      </c>
      <c r="E39" s="18">
        <f t="shared" si="9"/>
        <v>0</v>
      </c>
      <c r="F39" s="18">
        <f t="shared" si="9"/>
        <v>0</v>
      </c>
      <c r="G39" s="18">
        <f t="shared" si="9"/>
        <v>0</v>
      </c>
      <c r="H39" s="18">
        <f t="shared" si="9"/>
        <v>0</v>
      </c>
      <c r="I39" s="18">
        <f t="shared" si="9"/>
        <v>0</v>
      </c>
      <c r="J39" s="18">
        <f t="shared" si="9"/>
        <v>0</v>
      </c>
      <c r="K39" s="18">
        <f t="shared" si="9"/>
        <v>0</v>
      </c>
      <c r="L39" s="72">
        <f t="shared" si="9"/>
        <v>0</v>
      </c>
      <c r="M39" s="15">
        <f t="shared" si="7"/>
        <v>0</v>
      </c>
      <c r="N39" s="16" t="e">
        <f t="shared" ref="N39" si="10">M39/M$21*1000000</f>
        <v>#DIV/0!</v>
      </c>
      <c r="O39" s="101">
        <f t="shared" si="6"/>
        <v>0</v>
      </c>
    </row>
    <row r="40" spans="1:15">
      <c r="A40" s="161" t="s">
        <v>18</v>
      </c>
      <c r="B40" s="162"/>
      <c r="C40" s="19">
        <f t="shared" ref="C40:L40" si="11">C2+C21</f>
        <v>0</v>
      </c>
      <c r="D40" s="19">
        <f t="shared" si="11"/>
        <v>0</v>
      </c>
      <c r="E40" s="19">
        <f t="shared" si="11"/>
        <v>0</v>
      </c>
      <c r="F40" s="19">
        <f t="shared" si="11"/>
        <v>0</v>
      </c>
      <c r="G40" s="19">
        <f t="shared" si="11"/>
        <v>0</v>
      </c>
      <c r="H40" s="19">
        <f t="shared" si="11"/>
        <v>0</v>
      </c>
      <c r="I40" s="19">
        <f t="shared" si="11"/>
        <v>0</v>
      </c>
      <c r="J40" s="19">
        <f t="shared" si="11"/>
        <v>0</v>
      </c>
      <c r="K40" s="19">
        <f t="shared" si="11"/>
        <v>0</v>
      </c>
      <c r="L40" s="20">
        <f t="shared" si="11"/>
        <v>0</v>
      </c>
      <c r="M40" s="21">
        <f t="shared" si="0"/>
        <v>0</v>
      </c>
      <c r="N40" s="74"/>
    </row>
    <row r="41" spans="1:15" ht="13.5" thickBot="1">
      <c r="A41" s="163" t="s">
        <v>19</v>
      </c>
      <c r="B41" s="164"/>
      <c r="C41" s="17">
        <f t="shared" ref="C41:L41" si="12">C20+C39</f>
        <v>0</v>
      </c>
      <c r="D41" s="17">
        <f t="shared" si="12"/>
        <v>0</v>
      </c>
      <c r="E41" s="17">
        <f t="shared" si="12"/>
        <v>0</v>
      </c>
      <c r="F41" s="17">
        <f t="shared" si="12"/>
        <v>0</v>
      </c>
      <c r="G41" s="17">
        <f t="shared" si="12"/>
        <v>0</v>
      </c>
      <c r="H41" s="17">
        <f t="shared" si="12"/>
        <v>0</v>
      </c>
      <c r="I41" s="17">
        <f t="shared" si="12"/>
        <v>0</v>
      </c>
      <c r="J41" s="22">
        <f t="shared" si="12"/>
        <v>0</v>
      </c>
      <c r="K41" s="17">
        <f t="shared" si="12"/>
        <v>0</v>
      </c>
      <c r="L41" s="23">
        <f t="shared" si="12"/>
        <v>0</v>
      </c>
      <c r="M41" s="24">
        <f t="shared" si="0"/>
        <v>0</v>
      </c>
      <c r="N41" s="25" t="e">
        <f>M41/M40*1000000</f>
        <v>#DIV/0!</v>
      </c>
    </row>
    <row r="42" spans="1:15" ht="13.5" thickBot="1"/>
    <row r="43" spans="1:15">
      <c r="A43" s="165" t="s">
        <v>20</v>
      </c>
      <c r="B43" s="166"/>
      <c r="C43" s="26" t="s">
        <v>23</v>
      </c>
      <c r="D43" s="33" t="s">
        <v>26</v>
      </c>
      <c r="E43" s="66" t="s">
        <v>0</v>
      </c>
      <c r="F43" s="26" t="s">
        <v>17</v>
      </c>
      <c r="G43" s="67" t="s">
        <v>31</v>
      </c>
    </row>
    <row r="44" spans="1:15">
      <c r="A44" s="155" t="s">
        <v>21</v>
      </c>
      <c r="B44" s="156"/>
      <c r="C44" s="27" t="s">
        <v>24</v>
      </c>
      <c r="D44" s="34">
        <f>SUM(C40:L40)</f>
        <v>0</v>
      </c>
      <c r="E44" s="38">
        <f>SUM('SJCPIL-R 15-058-04 - D'!B4:AE4)</f>
        <v>0</v>
      </c>
      <c r="F44" s="38">
        <f>SUM('SJCPIL-R 15-058-04 - N'!B4:AE4)</f>
        <v>0</v>
      </c>
      <c r="G44" s="35">
        <f>M2+M21-E44-F44</f>
        <v>0</v>
      </c>
    </row>
    <row r="45" spans="1:15">
      <c r="A45" s="155" t="s">
        <v>22</v>
      </c>
      <c r="B45" s="156"/>
      <c r="C45" s="27" t="s">
        <v>24</v>
      </c>
      <c r="D45" s="34">
        <f>SUM(C41:L41)</f>
        <v>0</v>
      </c>
      <c r="E45" s="38">
        <f>SUM('SJCPIL-R 15-058-04 - D'!B32:AE32)</f>
        <v>0</v>
      </c>
      <c r="F45" s="38">
        <f>SUM('SJCPIL-R 15-058-04 - N'!B15:AE31)</f>
        <v>0</v>
      </c>
      <c r="G45" s="35">
        <f>M20+M39-E45-F45</f>
        <v>0</v>
      </c>
    </row>
    <row r="46" spans="1:15" ht="13.5" thickBot="1">
      <c r="A46" s="153" t="s">
        <v>22</v>
      </c>
      <c r="B46" s="154"/>
      <c r="C46" s="28" t="s">
        <v>28</v>
      </c>
      <c r="D46" s="58" t="str">
        <f>IF(ISERR(D45/D44)," ",D45/D44*1000000)</f>
        <v xml:space="preserve"> </v>
      </c>
      <c r="E46" s="68"/>
      <c r="F46" s="68"/>
      <c r="G46" s="36"/>
    </row>
    <row r="47" spans="1:15">
      <c r="C47" s="39"/>
      <c r="D47" s="40">
        <f>'SJCPIL-R 15-058-04 - D'!B39</f>
        <v>610</v>
      </c>
    </row>
  </sheetData>
  <sheetProtection algorithmName="SHA-512" hashValue="weseb9gULcn/pEZtav5ZzLcUZ5SpLP6otmyeFOGyvOYvmZlmnprO2xx3zrTsuUiqh39dspFtWwR/W9cGcHgajQ==" saltValue="YTXOE/5BArLpFbeBiz16Nw==" spinCount="100000" sheet="1" objects="1" scenarios="1" selectLockedCells="1"/>
  <mergeCells count="8">
    <mergeCell ref="A46:B46"/>
    <mergeCell ref="A45:B45"/>
    <mergeCell ref="A44:B44"/>
    <mergeCell ref="A2:A20"/>
    <mergeCell ref="A21:A39"/>
    <mergeCell ref="A40:B40"/>
    <mergeCell ref="A41:B41"/>
    <mergeCell ref="A43:B43"/>
  </mergeCells>
  <phoneticPr fontId="0" type="noConversion"/>
  <conditionalFormatting sqref="G44">
    <cfRule type="cellIs" dxfId="2" priority="1" stopIfTrue="1" operator="notEqual">
      <formula>0</formula>
    </cfRule>
  </conditionalFormatting>
  <conditionalFormatting sqref="G45">
    <cfRule type="cellIs" dxfId="1" priority="2" stopIfTrue="1" operator="notEqual">
      <formula>0</formula>
    </cfRule>
  </conditionalFormatting>
  <conditionalFormatting sqref="D46">
    <cfRule type="cellIs" dxfId="0" priority="3" stopIfTrue="1" operator="greaterThanOrEqual">
      <formula>$D$47</formula>
    </cfRule>
  </conditionalFormatting>
  <pageMargins left="0.78740157499999996" right="0.78740157499999996" top="1.1299999999999999" bottom="0.984251969" header="0.49212598499999999" footer="0.49212598499999999"/>
  <pageSetup paperSize="9" scale="80" orientation="landscape" r:id="rId1"/>
  <headerFooter alignWithMargins="0">
    <oddHeader>&amp;L&amp;"SwitzerlandBlack,Negrito"&amp;16Panasonic
&amp;"Arial,Negrito"&amp;9PILHAS / BATERIAS&amp;C&amp;"Arial,Negrito"&amp;14RESUMO DE FALHAS UM-1</oddHeader>
    <oddFooter>&amp;L&amp;A&amp;R&amp;F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9">
    <pageSetUpPr fitToPage="1"/>
  </sheetPr>
  <dimension ref="A1:J39"/>
  <sheetViews>
    <sheetView tabSelected="1" view="pageBreakPreview" zoomScale="90" zoomScaleNormal="100" zoomScaleSheetLayoutView="90" workbookViewId="0">
      <selection activeCell="R5" sqref="R5"/>
    </sheetView>
  </sheetViews>
  <sheetFormatPr defaultRowHeight="12.75"/>
  <cols>
    <col min="2" max="2" width="19.7109375" bestFit="1" customWidth="1"/>
    <col min="3" max="3" width="11.7109375" bestFit="1" customWidth="1"/>
    <col min="4" max="8" width="11.7109375" customWidth="1"/>
    <col min="9" max="9" width="9.28515625" bestFit="1" customWidth="1"/>
  </cols>
  <sheetData>
    <row r="1" spans="1:10">
      <c r="A1" s="47" t="s">
        <v>47</v>
      </c>
      <c r="B1" s="41" t="s">
        <v>8</v>
      </c>
      <c r="C1" s="41" t="s">
        <v>38</v>
      </c>
      <c r="D1" s="41" t="s">
        <v>39</v>
      </c>
      <c r="E1" s="41" t="s">
        <v>27</v>
      </c>
      <c r="F1" s="41" t="s">
        <v>25</v>
      </c>
      <c r="G1" s="167" t="s">
        <v>40</v>
      </c>
      <c r="H1" s="167"/>
      <c r="I1" s="41" t="s">
        <v>28</v>
      </c>
      <c r="J1" s="119" t="s">
        <v>78</v>
      </c>
    </row>
    <row r="2" spans="1:10" ht="13.5" customHeight="1">
      <c r="A2" s="38"/>
      <c r="B2" s="42" t="s">
        <v>15</v>
      </c>
      <c r="C2" s="14">
        <f>'Resumo de Falhas'!M2</f>
        <v>0</v>
      </c>
      <c r="D2" s="14">
        <f>'Resumo de Falhas'!$M$21</f>
        <v>0</v>
      </c>
      <c r="E2" s="14">
        <f>D2+C2</f>
        <v>0</v>
      </c>
      <c r="F2" s="14"/>
      <c r="G2" s="43" t="s">
        <v>41</v>
      </c>
      <c r="H2" s="43" t="s">
        <v>25</v>
      </c>
      <c r="I2" s="44"/>
    </row>
    <row r="3" spans="1:10">
      <c r="A3" s="38">
        <v>1</v>
      </c>
      <c r="B3" s="45" t="str">
        <f>VLOOKUP($H22,$A$22:$E$38,2,0)</f>
        <v>OUTROS</v>
      </c>
      <c r="C3" s="46">
        <f>VLOOKUP($H22,$A$22:$E$38,3,0)</f>
        <v>0</v>
      </c>
      <c r="D3" s="46">
        <f>VLOOKUP($H22,$A$22:$E$38,4,0)</f>
        <v>0</v>
      </c>
      <c r="E3" s="46">
        <f>VLOOKUP($H22,$A$22:$E$38,5,0)</f>
        <v>0</v>
      </c>
      <c r="F3" s="14" t="e">
        <f>E3/E$19*100</f>
        <v>#DIV/0!</v>
      </c>
      <c r="G3" s="14">
        <f>E3</f>
        <v>0</v>
      </c>
      <c r="H3" s="14" t="e">
        <f>G3/G$18*100</f>
        <v>#DIV/0!</v>
      </c>
      <c r="I3" s="14" t="e">
        <f>E3/E$2*1000000</f>
        <v>#DIV/0!</v>
      </c>
      <c r="J3" s="122" t="e">
        <f t="shared" ref="J3:J19" si="0">IF(($I$39&gt;TARGET)*(H3&lt;=80),0,I3)</f>
        <v>#DIV/0!</v>
      </c>
    </row>
    <row r="4" spans="1:10">
      <c r="A4" s="38">
        <v>2</v>
      </c>
      <c r="B4" s="45" t="str">
        <f t="shared" ref="B4:B19" si="1">VLOOKUP($H23,$A$22:$E$38,2,0)</f>
        <v>EMBALADEIRA</v>
      </c>
      <c r="C4" s="46">
        <f t="shared" ref="C4:C19" si="2">VLOOKUP($H23,$A$22:$E$38,3,0)</f>
        <v>0</v>
      </c>
      <c r="D4" s="46">
        <f t="shared" ref="D4:D19" si="3">VLOOKUP($H23,$A$22:$E$38,4,0)</f>
        <v>0</v>
      </c>
      <c r="E4" s="46">
        <f t="shared" ref="E4:E19" si="4">VLOOKUP($H23,$A$22:$E$38,5,0)</f>
        <v>0</v>
      </c>
      <c r="F4" s="14" t="e">
        <f t="shared" ref="F4:F19" si="5">E4/E$19*100</f>
        <v>#DIV/0!</v>
      </c>
      <c r="G4" s="14">
        <f>G3+E4</f>
        <v>0</v>
      </c>
      <c r="H4" s="14" t="e">
        <f t="shared" ref="H4:H19" si="6">G4/G$18*100</f>
        <v>#DIV/0!</v>
      </c>
      <c r="I4" s="14" t="e">
        <f t="shared" ref="I4:I18" si="7">E4/E$2*1000000</f>
        <v>#DIV/0!</v>
      </c>
      <c r="J4" s="122" t="e">
        <f t="shared" si="0"/>
        <v>#DIV/0!</v>
      </c>
    </row>
    <row r="5" spans="1:10">
      <c r="A5" s="38">
        <v>3</v>
      </c>
      <c r="B5" s="45" t="str">
        <f t="shared" si="1"/>
        <v>EMPURRADOR</v>
      </c>
      <c r="C5" s="46">
        <f t="shared" si="2"/>
        <v>0</v>
      </c>
      <c r="D5" s="46">
        <f t="shared" si="3"/>
        <v>0</v>
      </c>
      <c r="E5" s="46">
        <f t="shared" si="4"/>
        <v>0</v>
      </c>
      <c r="F5" s="14" t="e">
        <f t="shared" si="5"/>
        <v>#DIV/0!</v>
      </c>
      <c r="G5" s="14">
        <f t="shared" ref="G5:G19" si="8">G4+E5</f>
        <v>0</v>
      </c>
      <c r="H5" s="14" t="e">
        <f t="shared" si="6"/>
        <v>#DIV/0!</v>
      </c>
      <c r="I5" s="14" t="e">
        <f t="shared" si="7"/>
        <v>#DIV/0!</v>
      </c>
      <c r="J5" s="122" t="e">
        <f t="shared" si="0"/>
        <v>#DIV/0!</v>
      </c>
    </row>
    <row r="6" spans="1:10">
      <c r="A6" s="38">
        <v>4</v>
      </c>
      <c r="B6" s="45" t="str">
        <f t="shared" si="1"/>
        <v>ESTRELA</v>
      </c>
      <c r="C6" s="46">
        <f t="shared" si="2"/>
        <v>0</v>
      </c>
      <c r="D6" s="46">
        <f t="shared" si="3"/>
        <v>0</v>
      </c>
      <c r="E6" s="46">
        <f t="shared" si="4"/>
        <v>0</v>
      </c>
      <c r="F6" s="14" t="e">
        <f t="shared" si="5"/>
        <v>#DIV/0!</v>
      </c>
      <c r="G6" s="14">
        <f t="shared" si="8"/>
        <v>0</v>
      </c>
      <c r="H6" s="14" t="e">
        <f t="shared" si="6"/>
        <v>#DIV/0!</v>
      </c>
      <c r="I6" s="14" t="e">
        <f t="shared" si="7"/>
        <v>#DIV/0!</v>
      </c>
      <c r="J6" s="122" t="e">
        <f t="shared" si="0"/>
        <v>#DIV/0!</v>
      </c>
    </row>
    <row r="7" spans="1:10">
      <c r="A7" s="38">
        <v>5</v>
      </c>
      <c r="B7" s="45" t="str">
        <f t="shared" si="1"/>
        <v>TRANF. CORREIA</v>
      </c>
      <c r="C7" s="46">
        <f t="shared" si="2"/>
        <v>0</v>
      </c>
      <c r="D7" s="46">
        <f t="shared" si="3"/>
        <v>0</v>
      </c>
      <c r="E7" s="46">
        <f t="shared" si="4"/>
        <v>0</v>
      </c>
      <c r="F7" s="14" t="e">
        <f t="shared" si="5"/>
        <v>#DIV/0!</v>
      </c>
      <c r="G7" s="14">
        <f t="shared" si="8"/>
        <v>0</v>
      </c>
      <c r="H7" s="14" t="e">
        <f t="shared" si="6"/>
        <v>#DIV/0!</v>
      </c>
      <c r="I7" s="14" t="e">
        <f t="shared" si="7"/>
        <v>#DIV/0!</v>
      </c>
      <c r="J7" s="122" t="e">
        <f t="shared" si="0"/>
        <v>#DIV/0!</v>
      </c>
    </row>
    <row r="8" spans="1:10">
      <c r="A8" s="38">
        <v>6</v>
      </c>
      <c r="B8" s="45" t="str">
        <f t="shared" si="1"/>
        <v>SHRINK</v>
      </c>
      <c r="C8" s="46">
        <f t="shared" si="2"/>
        <v>0</v>
      </c>
      <c r="D8" s="46">
        <f t="shared" si="3"/>
        <v>0</v>
      </c>
      <c r="E8" s="46">
        <f t="shared" si="4"/>
        <v>0</v>
      </c>
      <c r="F8" s="14" t="e">
        <f t="shared" si="5"/>
        <v>#DIV/0!</v>
      </c>
      <c r="G8" s="14">
        <f t="shared" si="8"/>
        <v>0</v>
      </c>
      <c r="H8" s="14" t="e">
        <f t="shared" si="6"/>
        <v>#DIV/0!</v>
      </c>
      <c r="I8" s="14" t="e">
        <f t="shared" si="7"/>
        <v>#DIV/0!</v>
      </c>
      <c r="J8" s="122" t="e">
        <f t="shared" si="0"/>
        <v>#DIV/0!</v>
      </c>
    </row>
    <row r="9" spans="1:10">
      <c r="A9" s="38">
        <v>7</v>
      </c>
      <c r="B9" s="45" t="str">
        <f t="shared" si="1"/>
        <v>S/ BOTTOM PLATE</v>
      </c>
      <c r="C9" s="46">
        <f t="shared" si="2"/>
        <v>0</v>
      </c>
      <c r="D9" s="46">
        <f t="shared" si="3"/>
        <v>0</v>
      </c>
      <c r="E9" s="46">
        <f t="shared" si="4"/>
        <v>0</v>
      </c>
      <c r="F9" s="14" t="e">
        <f t="shared" si="5"/>
        <v>#DIV/0!</v>
      </c>
      <c r="G9" s="14">
        <f t="shared" si="8"/>
        <v>0</v>
      </c>
      <c r="H9" s="14" t="e">
        <f t="shared" si="6"/>
        <v>#DIV/0!</v>
      </c>
      <c r="I9" s="14" t="e">
        <f t="shared" si="7"/>
        <v>#DIV/0!</v>
      </c>
      <c r="J9" s="122" t="e">
        <f t="shared" si="0"/>
        <v>#DIV/0!</v>
      </c>
    </row>
    <row r="10" spans="1:10">
      <c r="A10" s="38">
        <v>8</v>
      </c>
      <c r="B10" s="45" t="str">
        <f t="shared" si="1"/>
        <v>S/ ARRUELA / ARR. DESLOCADA</v>
      </c>
      <c r="C10" s="46">
        <f t="shared" si="2"/>
        <v>0</v>
      </c>
      <c r="D10" s="46">
        <f t="shared" si="3"/>
        <v>0</v>
      </c>
      <c r="E10" s="46">
        <f t="shared" si="4"/>
        <v>0</v>
      </c>
      <c r="F10" s="14" t="e">
        <f t="shared" si="5"/>
        <v>#DIV/0!</v>
      </c>
      <c r="G10" s="14">
        <f t="shared" si="8"/>
        <v>0</v>
      </c>
      <c r="H10" s="14" t="e">
        <f t="shared" si="6"/>
        <v>#DIV/0!</v>
      </c>
      <c r="I10" s="14" t="e">
        <f t="shared" si="7"/>
        <v>#DIV/0!</v>
      </c>
      <c r="J10" s="122" t="e">
        <f t="shared" si="0"/>
        <v>#DIV/0!</v>
      </c>
    </row>
    <row r="11" spans="1:10">
      <c r="A11" s="38">
        <v>9</v>
      </c>
      <c r="B11" s="45" t="str">
        <f t="shared" si="1"/>
        <v>PANK</v>
      </c>
      <c r="C11" s="46">
        <f t="shared" si="2"/>
        <v>0</v>
      </c>
      <c r="D11" s="46">
        <f t="shared" si="3"/>
        <v>0</v>
      </c>
      <c r="E11" s="46">
        <f t="shared" si="4"/>
        <v>0</v>
      </c>
      <c r="F11" s="14" t="e">
        <f t="shared" si="5"/>
        <v>#DIV/0!</v>
      </c>
      <c r="G11" s="14">
        <f t="shared" si="8"/>
        <v>0</v>
      </c>
      <c r="H11" s="14" t="e">
        <f t="shared" si="6"/>
        <v>#DIV/0!</v>
      </c>
      <c r="I11" s="14" t="e">
        <f t="shared" si="7"/>
        <v>#DIV/0!</v>
      </c>
      <c r="J11" s="122" t="e">
        <f t="shared" si="0"/>
        <v>#DIV/0!</v>
      </c>
    </row>
    <row r="12" spans="1:10">
      <c r="A12" s="38">
        <v>10</v>
      </c>
      <c r="B12" s="45" t="str">
        <f t="shared" si="1"/>
        <v>AMASSADO INFERIOR</v>
      </c>
      <c r="C12" s="46">
        <f t="shared" si="2"/>
        <v>0</v>
      </c>
      <c r="D12" s="46">
        <f t="shared" si="3"/>
        <v>0</v>
      </c>
      <c r="E12" s="46">
        <f t="shared" si="4"/>
        <v>0</v>
      </c>
      <c r="F12" s="14" t="e">
        <f t="shared" si="5"/>
        <v>#DIV/0!</v>
      </c>
      <c r="G12" s="14">
        <f t="shared" si="8"/>
        <v>0</v>
      </c>
      <c r="H12" s="14" t="e">
        <f t="shared" si="6"/>
        <v>#DIV/0!</v>
      </c>
      <c r="I12" s="14" t="e">
        <f t="shared" si="7"/>
        <v>#DIV/0!</v>
      </c>
      <c r="J12" s="122" t="e">
        <f t="shared" si="0"/>
        <v>#DIV/0!</v>
      </c>
    </row>
    <row r="13" spans="1:10">
      <c r="A13" s="38">
        <v>11</v>
      </c>
      <c r="B13" s="45" t="str">
        <f t="shared" si="1"/>
        <v>AMASSADO SUPERIOR</v>
      </c>
      <c r="C13" s="46">
        <f t="shared" si="2"/>
        <v>0</v>
      </c>
      <c r="D13" s="46">
        <f t="shared" si="3"/>
        <v>0</v>
      </c>
      <c r="E13" s="46">
        <f t="shared" si="4"/>
        <v>0</v>
      </c>
      <c r="F13" s="14" t="e">
        <f t="shared" si="5"/>
        <v>#DIV/0!</v>
      </c>
      <c r="G13" s="14">
        <f t="shared" si="8"/>
        <v>0</v>
      </c>
      <c r="H13" s="14" t="e">
        <f t="shared" si="6"/>
        <v>#DIV/0!</v>
      </c>
      <c r="I13" s="14" t="e">
        <f t="shared" si="7"/>
        <v>#DIV/0!</v>
      </c>
      <c r="J13" s="122" t="e">
        <f t="shared" si="0"/>
        <v>#DIV/0!</v>
      </c>
    </row>
    <row r="14" spans="1:10">
      <c r="A14" s="38">
        <v>12</v>
      </c>
      <c r="B14" s="45" t="str">
        <f t="shared" si="1"/>
        <v>CHAPA MANCHADA</v>
      </c>
      <c r="C14" s="46">
        <f t="shared" si="2"/>
        <v>0</v>
      </c>
      <c r="D14" s="46">
        <f t="shared" si="3"/>
        <v>0</v>
      </c>
      <c r="E14" s="46">
        <f t="shared" si="4"/>
        <v>0</v>
      </c>
      <c r="F14" s="14" t="e">
        <f t="shared" si="5"/>
        <v>#DIV/0!</v>
      </c>
      <c r="G14" s="14">
        <f t="shared" si="8"/>
        <v>0</v>
      </c>
      <c r="H14" s="14" t="e">
        <f t="shared" si="6"/>
        <v>#DIV/0!</v>
      </c>
      <c r="I14" s="14" t="e">
        <f t="shared" si="7"/>
        <v>#DIV/0!</v>
      </c>
      <c r="J14" s="122" t="e">
        <f t="shared" si="0"/>
        <v>#DIV/0!</v>
      </c>
    </row>
    <row r="15" spans="1:10">
      <c r="A15" s="38">
        <v>13</v>
      </c>
      <c r="B15" s="45" t="str">
        <f t="shared" si="1"/>
        <v>CHAPA RISCADA</v>
      </c>
      <c r="C15" s="46">
        <f t="shared" si="2"/>
        <v>0</v>
      </c>
      <c r="D15" s="46">
        <f t="shared" si="3"/>
        <v>0</v>
      </c>
      <c r="E15" s="46">
        <f t="shared" si="4"/>
        <v>0</v>
      </c>
      <c r="F15" s="14" t="e">
        <f t="shared" si="5"/>
        <v>#DIV/0!</v>
      </c>
      <c r="G15" s="14">
        <f t="shared" si="8"/>
        <v>0</v>
      </c>
      <c r="H15" s="14" t="e">
        <f t="shared" si="6"/>
        <v>#DIV/0!</v>
      </c>
      <c r="I15" s="14" t="e">
        <f t="shared" si="7"/>
        <v>#DIV/0!</v>
      </c>
      <c r="J15" s="122" t="e">
        <f t="shared" si="0"/>
        <v>#DIV/0!</v>
      </c>
    </row>
    <row r="16" spans="1:10">
      <c r="A16" s="38">
        <v>14</v>
      </c>
      <c r="B16" s="45" t="str">
        <f t="shared" si="1"/>
        <v>S/ CAP</v>
      </c>
      <c r="C16" s="46">
        <f t="shared" si="2"/>
        <v>0</v>
      </c>
      <c r="D16" s="46">
        <f t="shared" si="3"/>
        <v>0</v>
      </c>
      <c r="E16" s="46">
        <f t="shared" si="4"/>
        <v>0</v>
      </c>
      <c r="F16" s="14" t="e">
        <f t="shared" si="5"/>
        <v>#DIV/0!</v>
      </c>
      <c r="G16" s="14">
        <f t="shared" si="8"/>
        <v>0</v>
      </c>
      <c r="H16" s="14" t="e">
        <f t="shared" si="6"/>
        <v>#DIV/0!</v>
      </c>
      <c r="I16" s="14" t="e">
        <f t="shared" si="7"/>
        <v>#DIV/0!</v>
      </c>
      <c r="J16" s="122" t="e">
        <f t="shared" si="0"/>
        <v>#DIV/0!</v>
      </c>
    </row>
    <row r="17" spans="1:10">
      <c r="A17" s="38">
        <v>15</v>
      </c>
      <c r="B17" s="45" t="str">
        <f t="shared" si="1"/>
        <v>S/ ANEL VERMELHO</v>
      </c>
      <c r="C17" s="46">
        <f t="shared" si="2"/>
        <v>0</v>
      </c>
      <c r="D17" s="46">
        <f t="shared" si="3"/>
        <v>0</v>
      </c>
      <c r="E17" s="46">
        <f t="shared" si="4"/>
        <v>0</v>
      </c>
      <c r="F17" s="14" t="e">
        <f t="shared" si="5"/>
        <v>#DIV/0!</v>
      </c>
      <c r="G17" s="14">
        <f t="shared" si="8"/>
        <v>0</v>
      </c>
      <c r="H17" s="14" t="e">
        <f t="shared" si="6"/>
        <v>#DIV/0!</v>
      </c>
      <c r="I17" s="14" t="e">
        <f t="shared" si="7"/>
        <v>#DIV/0!</v>
      </c>
      <c r="J17" s="122" t="e">
        <f t="shared" si="0"/>
        <v>#DIV/0!</v>
      </c>
    </row>
    <row r="18" spans="1:10">
      <c r="A18" s="38">
        <v>16</v>
      </c>
      <c r="B18" s="45" t="str">
        <f t="shared" si="1"/>
        <v>ENCAIXOTAMENTO</v>
      </c>
      <c r="C18" s="46">
        <f t="shared" si="2"/>
        <v>0</v>
      </c>
      <c r="D18" s="46">
        <f t="shared" si="3"/>
        <v>0</v>
      </c>
      <c r="E18" s="46">
        <f t="shared" si="4"/>
        <v>0</v>
      </c>
      <c r="F18" s="14" t="e">
        <f t="shared" si="5"/>
        <v>#DIV/0!</v>
      </c>
      <c r="G18" s="14">
        <f t="shared" si="8"/>
        <v>0</v>
      </c>
      <c r="H18" s="14" t="e">
        <f t="shared" si="6"/>
        <v>#DIV/0!</v>
      </c>
      <c r="I18" s="14" t="e">
        <f t="shared" si="7"/>
        <v>#DIV/0!</v>
      </c>
      <c r="J18" s="122" t="e">
        <f t="shared" si="0"/>
        <v>#DIV/0!</v>
      </c>
    </row>
    <row r="19" spans="1:10">
      <c r="A19" s="38">
        <v>17</v>
      </c>
      <c r="B19" s="45" t="str">
        <f t="shared" si="1"/>
        <v>TESTADOR</v>
      </c>
      <c r="C19" s="46">
        <f t="shared" si="2"/>
        <v>0</v>
      </c>
      <c r="D19" s="46">
        <f t="shared" si="3"/>
        <v>0</v>
      </c>
      <c r="E19" s="46">
        <f t="shared" si="4"/>
        <v>0</v>
      </c>
      <c r="F19" s="14" t="e">
        <f t="shared" si="5"/>
        <v>#DIV/0!</v>
      </c>
      <c r="G19" s="14">
        <f t="shared" si="8"/>
        <v>0</v>
      </c>
      <c r="H19" s="14" t="e">
        <f t="shared" si="6"/>
        <v>#DIV/0!</v>
      </c>
      <c r="I19" s="14" t="e">
        <f t="shared" ref="I19" si="9">E19/E$2*1000000</f>
        <v>#DIV/0!</v>
      </c>
      <c r="J19" s="122" t="e">
        <f t="shared" si="0"/>
        <v>#DIV/0!</v>
      </c>
    </row>
    <row r="21" spans="1:10">
      <c r="A21" s="62" t="s">
        <v>48</v>
      </c>
      <c r="B21" s="63" t="s">
        <v>49</v>
      </c>
      <c r="C21" s="64" t="s">
        <v>50</v>
      </c>
      <c r="D21" s="64" t="s">
        <v>51</v>
      </c>
      <c r="E21" s="64" t="s">
        <v>27</v>
      </c>
      <c r="F21" s="64" t="s">
        <v>52</v>
      </c>
      <c r="G21" s="64" t="s">
        <v>53</v>
      </c>
      <c r="H21" s="64" t="s">
        <v>54</v>
      </c>
      <c r="I21" s="64"/>
    </row>
    <row r="22" spans="1:10">
      <c r="A22" s="64">
        <v>1</v>
      </c>
      <c r="B22" s="63" t="str">
        <f>'Resumo de Falhas'!B3</f>
        <v>TESTADOR</v>
      </c>
      <c r="C22" s="65">
        <f>'Resumo de Falhas'!M3</f>
        <v>0</v>
      </c>
      <c r="D22" s="65">
        <f>'Resumo de Falhas'!M22</f>
        <v>0</v>
      </c>
      <c r="E22" s="65">
        <f>SUM(C22:D22)</f>
        <v>0</v>
      </c>
      <c r="F22" s="64">
        <f>E22*100+A22*15</f>
        <v>15</v>
      </c>
      <c r="G22" s="64">
        <f>LARGE(F$22:F$38,A22)</f>
        <v>255</v>
      </c>
      <c r="H22" s="64">
        <f>MATCH(G22,F$22:F$38,0)</f>
        <v>17</v>
      </c>
      <c r="I22" s="120" t="e">
        <f>E22/$E$2*1000000</f>
        <v>#DIV/0!</v>
      </c>
    </row>
    <row r="23" spans="1:10">
      <c r="A23" s="64">
        <v>2</v>
      </c>
      <c r="B23" s="63" t="str">
        <f>'Resumo de Falhas'!B4</f>
        <v>ENCAIXOTAMENTO</v>
      </c>
      <c r="C23" s="65">
        <f>'Resumo de Falhas'!M4</f>
        <v>0</v>
      </c>
      <c r="D23" s="65">
        <f>'Resumo de Falhas'!M23</f>
        <v>0</v>
      </c>
      <c r="E23" s="65">
        <f t="shared" ref="E23:E26" si="10">SUM(C23:D23)</f>
        <v>0</v>
      </c>
      <c r="F23" s="64">
        <f t="shared" ref="F23:F26" si="11">E23*100+A23*15</f>
        <v>30</v>
      </c>
      <c r="G23" s="64">
        <f t="shared" ref="G23:G38" si="12">LARGE(F$22:F$38,A23)</f>
        <v>240</v>
      </c>
      <c r="H23" s="64">
        <f t="shared" ref="H23:H38" si="13">MATCH(G23,F$22:F$38,0)</f>
        <v>16</v>
      </c>
      <c r="I23" s="120" t="e">
        <f t="shared" ref="I23:I39" si="14">E23/$E$2*1000000</f>
        <v>#DIV/0!</v>
      </c>
    </row>
    <row r="24" spans="1:10">
      <c r="A24" s="64">
        <v>3</v>
      </c>
      <c r="B24" s="63" t="str">
        <f>'Resumo de Falhas'!B5</f>
        <v>S/ ANEL VERMELHO</v>
      </c>
      <c r="C24" s="65">
        <f>'Resumo de Falhas'!M5</f>
        <v>0</v>
      </c>
      <c r="D24" s="65">
        <f>'Resumo de Falhas'!M24</f>
        <v>0</v>
      </c>
      <c r="E24" s="65">
        <f t="shared" si="10"/>
        <v>0</v>
      </c>
      <c r="F24" s="64">
        <f t="shared" si="11"/>
        <v>45</v>
      </c>
      <c r="G24" s="64">
        <f t="shared" si="12"/>
        <v>225</v>
      </c>
      <c r="H24" s="64">
        <f t="shared" si="13"/>
        <v>15</v>
      </c>
      <c r="I24" s="120" t="e">
        <f t="shared" si="14"/>
        <v>#DIV/0!</v>
      </c>
    </row>
    <row r="25" spans="1:10">
      <c r="A25" s="64">
        <v>4</v>
      </c>
      <c r="B25" s="63" t="str">
        <f>'Resumo de Falhas'!B6</f>
        <v>S/ CAP</v>
      </c>
      <c r="C25" s="65">
        <f>'Resumo de Falhas'!M6</f>
        <v>0</v>
      </c>
      <c r="D25" s="65">
        <f>'Resumo de Falhas'!M25</f>
        <v>0</v>
      </c>
      <c r="E25" s="65">
        <f t="shared" si="10"/>
        <v>0</v>
      </c>
      <c r="F25" s="64">
        <f t="shared" si="11"/>
        <v>60</v>
      </c>
      <c r="G25" s="64">
        <f t="shared" si="12"/>
        <v>210</v>
      </c>
      <c r="H25" s="64">
        <f t="shared" si="13"/>
        <v>14</v>
      </c>
      <c r="I25" s="120" t="e">
        <f t="shared" si="14"/>
        <v>#DIV/0!</v>
      </c>
    </row>
    <row r="26" spans="1:10">
      <c r="A26" s="64">
        <v>5</v>
      </c>
      <c r="B26" s="63" t="str">
        <f>'Resumo de Falhas'!B7</f>
        <v>CHAPA RISCADA</v>
      </c>
      <c r="C26" s="65">
        <f>'Resumo de Falhas'!M7</f>
        <v>0</v>
      </c>
      <c r="D26" s="65">
        <f>'Resumo de Falhas'!M26</f>
        <v>0</v>
      </c>
      <c r="E26" s="65">
        <f t="shared" si="10"/>
        <v>0</v>
      </c>
      <c r="F26" s="64">
        <f t="shared" si="11"/>
        <v>75</v>
      </c>
      <c r="G26" s="64">
        <f t="shared" si="12"/>
        <v>195</v>
      </c>
      <c r="H26" s="64">
        <f t="shared" si="13"/>
        <v>13</v>
      </c>
      <c r="I26" s="120" t="e">
        <f t="shared" si="14"/>
        <v>#DIV/0!</v>
      </c>
    </row>
    <row r="27" spans="1:10">
      <c r="A27" s="64">
        <v>6</v>
      </c>
      <c r="B27" s="63" t="str">
        <f>'Resumo de Falhas'!B8</f>
        <v>CHAPA MANCHADA</v>
      </c>
      <c r="C27" s="65">
        <f>'Resumo de Falhas'!M8</f>
        <v>0</v>
      </c>
      <c r="D27" s="65">
        <f>'Resumo de Falhas'!M27</f>
        <v>0</v>
      </c>
      <c r="E27" s="65">
        <f t="shared" ref="E27:E38" si="15">SUM(C27:D27)</f>
        <v>0</v>
      </c>
      <c r="F27" s="64">
        <f t="shared" ref="F27:F38" si="16">E27*100+A27*15</f>
        <v>90</v>
      </c>
      <c r="G27" s="64">
        <f t="shared" si="12"/>
        <v>180</v>
      </c>
      <c r="H27" s="64">
        <f t="shared" si="13"/>
        <v>12</v>
      </c>
      <c r="I27" s="120" t="e">
        <f t="shared" si="14"/>
        <v>#DIV/0!</v>
      </c>
    </row>
    <row r="28" spans="1:10">
      <c r="A28" s="64">
        <v>7</v>
      </c>
      <c r="B28" s="63" t="str">
        <f>'Resumo de Falhas'!B9</f>
        <v>AMASSADO SUPERIOR</v>
      </c>
      <c r="C28" s="65">
        <f>'Resumo de Falhas'!M9</f>
        <v>0</v>
      </c>
      <c r="D28" s="65">
        <f>'Resumo de Falhas'!M28</f>
        <v>0</v>
      </c>
      <c r="E28" s="65">
        <f t="shared" si="15"/>
        <v>0</v>
      </c>
      <c r="F28" s="64">
        <f t="shared" si="16"/>
        <v>105</v>
      </c>
      <c r="G28" s="64">
        <f t="shared" si="12"/>
        <v>165</v>
      </c>
      <c r="H28" s="64">
        <f t="shared" si="13"/>
        <v>11</v>
      </c>
      <c r="I28" s="120" t="e">
        <f t="shared" si="14"/>
        <v>#DIV/0!</v>
      </c>
    </row>
    <row r="29" spans="1:10">
      <c r="A29" s="64">
        <v>8</v>
      </c>
      <c r="B29" s="63" t="str">
        <f>'Resumo de Falhas'!B10</f>
        <v>AMASSADO INFERIOR</v>
      </c>
      <c r="C29" s="65">
        <f>'Resumo de Falhas'!M10</f>
        <v>0</v>
      </c>
      <c r="D29" s="65">
        <f>'Resumo de Falhas'!M29</f>
        <v>0</v>
      </c>
      <c r="E29" s="65">
        <f t="shared" si="15"/>
        <v>0</v>
      </c>
      <c r="F29" s="64">
        <f t="shared" si="16"/>
        <v>120</v>
      </c>
      <c r="G29" s="64">
        <f t="shared" si="12"/>
        <v>150</v>
      </c>
      <c r="H29" s="64">
        <f t="shared" si="13"/>
        <v>10</v>
      </c>
      <c r="I29" s="120" t="e">
        <f t="shared" si="14"/>
        <v>#DIV/0!</v>
      </c>
    </row>
    <row r="30" spans="1:10">
      <c r="A30" s="64">
        <v>9</v>
      </c>
      <c r="B30" s="63" t="str">
        <f>'Resumo de Falhas'!B11</f>
        <v>PANK</v>
      </c>
      <c r="C30" s="65">
        <f>'Resumo de Falhas'!M11</f>
        <v>0</v>
      </c>
      <c r="D30" s="65">
        <f>'Resumo de Falhas'!M30</f>
        <v>0</v>
      </c>
      <c r="E30" s="65">
        <f t="shared" si="15"/>
        <v>0</v>
      </c>
      <c r="F30" s="64">
        <f t="shared" si="16"/>
        <v>135</v>
      </c>
      <c r="G30" s="64">
        <f t="shared" si="12"/>
        <v>135</v>
      </c>
      <c r="H30" s="64">
        <f t="shared" si="13"/>
        <v>9</v>
      </c>
      <c r="I30" s="120" t="e">
        <f t="shared" si="14"/>
        <v>#DIV/0!</v>
      </c>
    </row>
    <row r="31" spans="1:10">
      <c r="A31" s="64">
        <v>10</v>
      </c>
      <c r="B31" s="63" t="str">
        <f>'Resumo de Falhas'!B12</f>
        <v>S/ ARRUELA / ARR. DESLOCADA</v>
      </c>
      <c r="C31" s="65">
        <f>'Resumo de Falhas'!M12</f>
        <v>0</v>
      </c>
      <c r="D31" s="65">
        <f>'Resumo de Falhas'!M31</f>
        <v>0</v>
      </c>
      <c r="E31" s="65">
        <f t="shared" si="15"/>
        <v>0</v>
      </c>
      <c r="F31" s="64">
        <f t="shared" si="16"/>
        <v>150</v>
      </c>
      <c r="G31" s="64">
        <f t="shared" si="12"/>
        <v>120</v>
      </c>
      <c r="H31" s="64">
        <f t="shared" si="13"/>
        <v>8</v>
      </c>
      <c r="I31" s="120" t="e">
        <f t="shared" si="14"/>
        <v>#DIV/0!</v>
      </c>
    </row>
    <row r="32" spans="1:10">
      <c r="A32" s="64">
        <v>11</v>
      </c>
      <c r="B32" s="63" t="str">
        <f>'Resumo de Falhas'!B13</f>
        <v>S/ BOTTOM PLATE</v>
      </c>
      <c r="C32" s="65">
        <f>'Resumo de Falhas'!M13</f>
        <v>0</v>
      </c>
      <c r="D32" s="65">
        <f>'Resumo de Falhas'!M32</f>
        <v>0</v>
      </c>
      <c r="E32" s="65">
        <f t="shared" si="15"/>
        <v>0</v>
      </c>
      <c r="F32" s="64">
        <f t="shared" si="16"/>
        <v>165</v>
      </c>
      <c r="G32" s="64">
        <f t="shared" si="12"/>
        <v>105</v>
      </c>
      <c r="H32" s="64">
        <f t="shared" si="13"/>
        <v>7</v>
      </c>
      <c r="I32" s="120" t="e">
        <f t="shared" si="14"/>
        <v>#DIV/0!</v>
      </c>
    </row>
    <row r="33" spans="1:9">
      <c r="A33" s="64">
        <v>12</v>
      </c>
      <c r="B33" s="63" t="str">
        <f>'Resumo de Falhas'!B14</f>
        <v>SHRINK</v>
      </c>
      <c r="C33" s="65">
        <f>'Resumo de Falhas'!M14</f>
        <v>0</v>
      </c>
      <c r="D33" s="65">
        <f>'Resumo de Falhas'!M33</f>
        <v>0</v>
      </c>
      <c r="E33" s="65">
        <f t="shared" si="15"/>
        <v>0</v>
      </c>
      <c r="F33" s="64">
        <f t="shared" si="16"/>
        <v>180</v>
      </c>
      <c r="G33" s="64">
        <f t="shared" si="12"/>
        <v>90</v>
      </c>
      <c r="H33" s="64">
        <f t="shared" si="13"/>
        <v>6</v>
      </c>
      <c r="I33" s="120" t="e">
        <f t="shared" si="14"/>
        <v>#DIV/0!</v>
      </c>
    </row>
    <row r="34" spans="1:9">
      <c r="A34" s="64">
        <v>13</v>
      </c>
      <c r="B34" s="63" t="str">
        <f>'Resumo de Falhas'!B15</f>
        <v>TRANF. CORREIA</v>
      </c>
      <c r="C34" s="65">
        <f>'Resumo de Falhas'!M15</f>
        <v>0</v>
      </c>
      <c r="D34" s="65">
        <f>'Resumo de Falhas'!M34</f>
        <v>0</v>
      </c>
      <c r="E34" s="65">
        <f t="shared" si="15"/>
        <v>0</v>
      </c>
      <c r="F34" s="64">
        <f t="shared" si="16"/>
        <v>195</v>
      </c>
      <c r="G34" s="64">
        <f t="shared" si="12"/>
        <v>75</v>
      </c>
      <c r="H34" s="64">
        <f t="shared" si="13"/>
        <v>5</v>
      </c>
      <c r="I34" s="120" t="e">
        <f t="shared" si="14"/>
        <v>#DIV/0!</v>
      </c>
    </row>
    <row r="35" spans="1:9">
      <c r="A35" s="64">
        <v>14</v>
      </c>
      <c r="B35" s="63" t="str">
        <f>'Resumo de Falhas'!B16</f>
        <v>ESTRELA</v>
      </c>
      <c r="C35" s="65">
        <f>'Resumo de Falhas'!M16</f>
        <v>0</v>
      </c>
      <c r="D35" s="65">
        <f>'Resumo de Falhas'!M35</f>
        <v>0</v>
      </c>
      <c r="E35" s="65">
        <f t="shared" si="15"/>
        <v>0</v>
      </c>
      <c r="F35" s="64">
        <f t="shared" si="16"/>
        <v>210</v>
      </c>
      <c r="G35" s="64">
        <f t="shared" si="12"/>
        <v>60</v>
      </c>
      <c r="H35" s="64">
        <f t="shared" si="13"/>
        <v>4</v>
      </c>
      <c r="I35" s="120" t="e">
        <f t="shared" si="14"/>
        <v>#DIV/0!</v>
      </c>
    </row>
    <row r="36" spans="1:9">
      <c r="A36" s="64">
        <v>15</v>
      </c>
      <c r="B36" s="63" t="str">
        <f>'Resumo de Falhas'!B17</f>
        <v>EMPURRADOR</v>
      </c>
      <c r="C36" s="65">
        <f>'Resumo de Falhas'!M17</f>
        <v>0</v>
      </c>
      <c r="D36" s="65">
        <f>'Resumo de Falhas'!M36</f>
        <v>0</v>
      </c>
      <c r="E36" s="65">
        <f t="shared" si="15"/>
        <v>0</v>
      </c>
      <c r="F36" s="64">
        <f t="shared" si="16"/>
        <v>225</v>
      </c>
      <c r="G36" s="64">
        <f t="shared" si="12"/>
        <v>45</v>
      </c>
      <c r="H36" s="64">
        <f t="shared" si="13"/>
        <v>3</v>
      </c>
      <c r="I36" s="120" t="e">
        <f t="shared" si="14"/>
        <v>#DIV/0!</v>
      </c>
    </row>
    <row r="37" spans="1:9">
      <c r="A37" s="64">
        <v>16</v>
      </c>
      <c r="B37" s="63" t="str">
        <f>'Resumo de Falhas'!B18</f>
        <v>EMBALADEIRA</v>
      </c>
      <c r="C37" s="65">
        <f>'Resumo de Falhas'!M18</f>
        <v>0</v>
      </c>
      <c r="D37" s="65">
        <f>'Resumo de Falhas'!M37</f>
        <v>0</v>
      </c>
      <c r="E37" s="65">
        <f t="shared" si="15"/>
        <v>0</v>
      </c>
      <c r="F37" s="64">
        <f t="shared" si="16"/>
        <v>240</v>
      </c>
      <c r="G37" s="64">
        <f t="shared" si="12"/>
        <v>30</v>
      </c>
      <c r="H37" s="64">
        <f t="shared" si="13"/>
        <v>2</v>
      </c>
      <c r="I37" s="120" t="e">
        <f t="shared" si="14"/>
        <v>#DIV/0!</v>
      </c>
    </row>
    <row r="38" spans="1:9">
      <c r="A38" s="64">
        <v>17</v>
      </c>
      <c r="B38" s="63" t="str">
        <f>'Resumo de Falhas'!B19</f>
        <v>OUTROS</v>
      </c>
      <c r="C38" s="65">
        <f>'Resumo de Falhas'!M19</f>
        <v>0</v>
      </c>
      <c r="D38" s="65">
        <f>'Resumo de Falhas'!M38</f>
        <v>0</v>
      </c>
      <c r="E38" s="65">
        <f t="shared" si="15"/>
        <v>0</v>
      </c>
      <c r="F38" s="64">
        <f t="shared" si="16"/>
        <v>255</v>
      </c>
      <c r="G38" s="64">
        <f t="shared" si="12"/>
        <v>15</v>
      </c>
      <c r="H38" s="64">
        <f t="shared" si="13"/>
        <v>1</v>
      </c>
      <c r="I38" s="120" t="e">
        <f t="shared" si="14"/>
        <v>#DIV/0!</v>
      </c>
    </row>
    <row r="39" spans="1:9">
      <c r="E39" s="101">
        <f>SUM(E22:E38)</f>
        <v>0</v>
      </c>
      <c r="I39" s="121" t="e">
        <f t="shared" si="14"/>
        <v>#DIV/0!</v>
      </c>
    </row>
  </sheetData>
  <sheetProtection password="CE4F" sheet="1" objects="1" scenarios="1" selectLockedCells="1"/>
  <mergeCells count="1">
    <mergeCell ref="G1:H1"/>
  </mergeCells>
  <phoneticPr fontId="0" type="noConversion"/>
  <pageMargins left="0.78740157480314965" right="0.78740157480314965" top="1.1417322834645669" bottom="0.98425196850393704" header="0.51181102362204722" footer="0.51181102362204722"/>
  <pageSetup paperSize="9" scale="76" orientation="landscape" r:id="rId1"/>
  <headerFooter alignWithMargins="0">
    <oddHeader>&amp;L&amp;"SwitzerlandBlack,Negrito"&amp;16Panasonic
&amp;"Arial,Negrito"&amp;9PILHAS / BATERIAS&amp;C&amp;"Arial,Negrito"&amp;14RESUMO DE FALHAS UM-1</oddHeader>
    <oddFooter>&amp;L&amp;A&amp;R&amp;F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8</vt:i4>
      </vt:variant>
    </vt:vector>
  </HeadingPairs>
  <TitlesOfParts>
    <vt:vector size="13" baseType="lpstr">
      <vt:lpstr>Instruções de Uso</vt:lpstr>
      <vt:lpstr>SJCPIL-R 15-058-04 - D</vt:lpstr>
      <vt:lpstr>SJCPIL-R 15-058-04 - N</vt:lpstr>
      <vt:lpstr>Resumo de Falhas</vt:lpstr>
      <vt:lpstr>Total por Defeito</vt:lpstr>
      <vt:lpstr>'SJCPIL-R 15-058-04 - D'!Area_de_impressao</vt:lpstr>
      <vt:lpstr>'SJCPIL-R 15-058-04 - N'!Area_de_impressao</vt:lpstr>
      <vt:lpstr>'Total por Defeito'!Area_de_impressao</vt:lpstr>
      <vt:lpstr>'SJCPIL-R 15-058-04 - N'!F7.58</vt:lpstr>
      <vt:lpstr>F7.58</vt:lpstr>
      <vt:lpstr>produtos</vt:lpstr>
      <vt:lpstr>TARGET</vt:lpstr>
      <vt:lpstr>TOTAL_ACB_UM1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2021-12-22T17:11:08Z</cp:lastPrinted>
  <dcterms:created xsi:type="dcterms:W3CDTF">2003-08-07T14:29:32Z</dcterms:created>
  <dcterms:modified xsi:type="dcterms:W3CDTF">2022-02-24T12:00:03Z</dcterms:modified>
</cp:coreProperties>
</file>