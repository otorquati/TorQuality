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1) UM-1\MONTAGEM\"/>
    </mc:Choice>
  </mc:AlternateContent>
  <xr:revisionPtr revIDLastSave="0" documentId="13_ncr:1_{E9E1B37C-065C-4B88-AA50-89F2C4857D7A}" xr6:coauthVersionLast="47" xr6:coauthVersionMax="47" xr10:uidLastSave="{00000000-0000-0000-0000-000000000000}"/>
  <workbookProtection workbookAlgorithmName="SHA-512" workbookHashValue="hnLW3N24fpYCtZCULlduwr35XUFN/skakPV41s3G+HnCs0c6/4rOAT3tQzSBhYkFAsYJPBF2QD4gcVVbUhveAg==" workbookSaltValue="81guezWcuGn357/ZJ6osXg==" workbookSpinCount="100000" lockStructure="1"/>
  <bookViews>
    <workbookView xWindow="-120" yWindow="-120" windowWidth="29040" windowHeight="16440" activeTab="4" xr2:uid="{00000000-000D-0000-FFFF-FFFF00000000}"/>
  </bookViews>
  <sheets>
    <sheet name="Instruções de Uso" sheetId="8" r:id="rId1"/>
    <sheet name="SJCPIL-R 14-101 - DIA" sheetId="3" r:id="rId2"/>
    <sheet name="SJCPIL-R 14-101 - NOITE" sheetId="12" r:id="rId3"/>
    <sheet name="Pareto" sheetId="10" r:id="rId4"/>
    <sheet name="Resumo de Custo" sheetId="7" r:id="rId5"/>
  </sheets>
  <externalReferences>
    <externalReference r:id="rId6"/>
    <externalReference r:id="rId7"/>
    <externalReference r:id="rId8"/>
    <externalReference r:id="rId9"/>
    <externalReference r:id="rId10"/>
  </externalReferences>
  <definedNames>
    <definedName name="_xlnm.Print_Area" localSheetId="1">'SJCPIL-R 14-101 - DIA'!$A$1:$Z$51</definedName>
    <definedName name="_xlnm.Print_Area" localSheetId="2">'SJCPIL-R 14-101 - NOITE'!$A$1:$AA$51</definedName>
    <definedName name="F7.52" localSheetId="4">'[1]F-7.52 Rev 01'!$A$1</definedName>
    <definedName name="F7.58" localSheetId="4">'[1]F-7.58 Rev 02'!$A$1</definedName>
    <definedName name="TARGET_1">'SJCPIL-R 14-101 - DIA'!$C$53</definedName>
    <definedName name="TARGET_2">'SJCPIL-R 14-101 - DIA'!$C$54</definedName>
    <definedName name="TT_FALHAS_UM1D" localSheetId="2">'SJCPIL-R 14-101 - NOITE'!$Z$31</definedName>
    <definedName name="TT_FALHAS_UM1D">'SJCPIL-R 14-101 - DIA'!$Y$31</definedName>
    <definedName name="TT_FALHAS_UM1N">'SJCPIL-R 14-101 - NOITE'!$Z$31</definedName>
    <definedName name="TT_PIN_H_UM1D" localSheetId="2">'SJCPIL-R 14-101 - NOITE'!$Z$45</definedName>
    <definedName name="TT_PIN_H_UM1D">'SJCPIL-R 14-101 - DIA'!$Y$45</definedName>
    <definedName name="TT_PIN_H_UM1N">'SJCPIL-R 14-101 - NOITE'!$Z$45</definedName>
    <definedName name="TT_PROD_UM1D">'SJCPIL-R 14-101 - DIA'!$Y$6</definedName>
    <definedName name="TT_PROD_UM1N">'SJCPIL-R 14-101 - NOITE'!$Z$6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5" i="3" l="1" a="1"/>
  <c r="X65" i="3" s="1"/>
  <c r="W65" i="3" a="1"/>
  <c r="W65" i="3" s="1"/>
  <c r="V65" i="3" a="1"/>
  <c r="V65" i="3" s="1"/>
  <c r="U65" i="3" a="1"/>
  <c r="U65" i="3" s="1"/>
  <c r="T65" i="3" a="1"/>
  <c r="T65" i="3" s="1"/>
  <c r="S65" i="3" a="1"/>
  <c r="S65" i="3" s="1"/>
  <c r="R65" i="3" a="1"/>
  <c r="R65" i="3" s="1"/>
  <c r="Q65" i="3" a="1"/>
  <c r="Q65" i="3" s="1"/>
  <c r="P65" i="3" a="1"/>
  <c r="P65" i="3" s="1"/>
  <c r="O65" i="3" a="1"/>
  <c r="O65" i="3" s="1"/>
  <c r="N65" i="3" a="1"/>
  <c r="N65" i="3" s="1"/>
  <c r="M65" i="3" a="1"/>
  <c r="M65" i="3" s="1"/>
  <c r="L65" i="3" a="1"/>
  <c r="L65" i="3" s="1"/>
  <c r="K65" i="3" a="1"/>
  <c r="K65" i="3" s="1"/>
  <c r="J65" i="3" a="1"/>
  <c r="J65" i="3" s="1"/>
  <c r="I65" i="3" a="1"/>
  <c r="I65" i="3" s="1"/>
  <c r="H65" i="3" a="1"/>
  <c r="H65" i="3" s="1"/>
  <c r="G65" i="3" a="1"/>
  <c r="G65" i="3" s="1"/>
  <c r="F65" i="3" a="1"/>
  <c r="F65" i="3" s="1"/>
  <c r="E65" i="3" a="1"/>
  <c r="E65" i="3" s="1"/>
  <c r="D65" i="3" a="1"/>
  <c r="D65" i="3" s="1"/>
  <c r="C65" i="3" a="1"/>
  <c r="C65" i="3" s="1"/>
  <c r="AB6" i="12"/>
  <c r="AA6" i="3" a="1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D34" i="3"/>
  <c r="I56" i="3"/>
  <c r="J56" i="3"/>
  <c r="AA64" i="3"/>
  <c r="C54" i="3"/>
  <c r="C53" i="3"/>
  <c r="X1" i="3"/>
  <c r="D17" i="7" l="1"/>
  <c r="D16" i="7"/>
  <c r="D14" i="7"/>
  <c r="D13" i="7"/>
  <c r="B13" i="7"/>
  <c r="D12" i="7"/>
  <c r="B12" i="7"/>
  <c r="D11" i="7"/>
  <c r="B11" i="7"/>
  <c r="D10" i="7"/>
  <c r="B10" i="7"/>
  <c r="D9" i="7"/>
  <c r="B9" i="7"/>
  <c r="D8" i="7"/>
  <c r="B8" i="7"/>
  <c r="D7" i="7"/>
  <c r="B7" i="7"/>
  <c r="D6" i="7"/>
  <c r="B6" i="7"/>
  <c r="D5" i="7"/>
  <c r="B5" i="7"/>
  <c r="D4" i="7"/>
  <c r="B4" i="7"/>
  <c r="D3" i="7"/>
  <c r="B3" i="7"/>
  <c r="D2" i="7"/>
  <c r="B2" i="7"/>
  <c r="D15" i="7" l="1"/>
  <c r="D18" i="7"/>
  <c r="Y1" i="12"/>
  <c r="L45" i="3"/>
  <c r="K45" i="3"/>
  <c r="U30" i="3" l="1"/>
  <c r="U24" i="3"/>
  <c r="V24" i="3"/>
  <c r="D7" i="12"/>
  <c r="E7" i="12"/>
  <c r="P7" i="12"/>
  <c r="U31" i="3" l="1"/>
  <c r="U32" i="3" s="1"/>
  <c r="P7" i="3"/>
  <c r="Q7" i="3"/>
  <c r="R7" i="3"/>
  <c r="S7" i="3"/>
  <c r="T7" i="3"/>
  <c r="U7" i="3"/>
  <c r="V7" i="3"/>
  <c r="W7" i="3"/>
  <c r="X7" i="3"/>
  <c r="Z19" i="12"/>
  <c r="Z20" i="12"/>
  <c r="Y19" i="3"/>
  <c r="C5" i="7" s="1"/>
  <c r="Y20" i="3"/>
  <c r="Y65" i="3" l="1"/>
  <c r="G45" i="12" l="1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C45" i="3" l="1"/>
  <c r="D7" i="3" l="1"/>
  <c r="M45" i="3" l="1"/>
  <c r="Y61" i="12" l="1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C61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46" i="12"/>
  <c r="Z44" i="12"/>
  <c r="Z43" i="12"/>
  <c r="Y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Z29" i="12"/>
  <c r="Z28" i="12"/>
  <c r="Z27" i="12"/>
  <c r="Z26" i="12"/>
  <c r="Z25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Z23" i="12"/>
  <c r="Z22" i="12"/>
  <c r="Z21" i="12"/>
  <c r="Z18" i="12"/>
  <c r="Z17" i="12"/>
  <c r="Z16" i="12"/>
  <c r="Y7" i="12"/>
  <c r="X7" i="12"/>
  <c r="W7" i="12"/>
  <c r="V7" i="12"/>
  <c r="U7" i="12"/>
  <c r="T7" i="12"/>
  <c r="S7" i="12"/>
  <c r="R7" i="12"/>
  <c r="Q7" i="12"/>
  <c r="O7" i="12"/>
  <c r="N7" i="12"/>
  <c r="M7" i="12"/>
  <c r="L7" i="12"/>
  <c r="K7" i="12"/>
  <c r="I7" i="12"/>
  <c r="G7" i="12"/>
  <c r="F7" i="12"/>
  <c r="C7" i="12"/>
  <c r="Z6" i="12"/>
  <c r="Z5" i="12"/>
  <c r="Z4" i="12"/>
  <c r="F45" i="3"/>
  <c r="G45" i="3"/>
  <c r="H45" i="3"/>
  <c r="D31" i="12" l="1"/>
  <c r="D32" i="12" s="1"/>
  <c r="L31" i="12"/>
  <c r="L32" i="12" s="1"/>
  <c r="T31" i="12"/>
  <c r="T32" i="12" s="1"/>
  <c r="F31" i="12"/>
  <c r="F32" i="12" s="1"/>
  <c r="N31" i="12"/>
  <c r="N32" i="12" s="1"/>
  <c r="V31" i="12"/>
  <c r="V32" i="12" s="1"/>
  <c r="C31" i="12"/>
  <c r="C32" i="12" s="1"/>
  <c r="K31" i="12"/>
  <c r="K32" i="12" s="1"/>
  <c r="S31" i="12"/>
  <c r="S32" i="12" s="1"/>
  <c r="E31" i="12"/>
  <c r="E32" i="12" s="1"/>
  <c r="M31" i="12"/>
  <c r="M32" i="12" s="1"/>
  <c r="U31" i="12"/>
  <c r="U32" i="12" s="1"/>
  <c r="Z30" i="12"/>
  <c r="H31" i="12"/>
  <c r="H32" i="12" s="1"/>
  <c r="P31" i="12"/>
  <c r="P32" i="12" s="1"/>
  <c r="X31" i="12"/>
  <c r="X32" i="12" s="1"/>
  <c r="I31" i="12"/>
  <c r="I32" i="12" s="1"/>
  <c r="Q31" i="12"/>
  <c r="Q32" i="12" s="1"/>
  <c r="Y31" i="12"/>
  <c r="Y32" i="12" s="1"/>
  <c r="G31" i="12"/>
  <c r="G32" i="12" s="1"/>
  <c r="O31" i="12"/>
  <c r="O32" i="12" s="1"/>
  <c r="W31" i="12"/>
  <c r="W32" i="12" s="1"/>
  <c r="J31" i="12"/>
  <c r="J32" i="12" s="1"/>
  <c r="R31" i="12"/>
  <c r="R32" i="12" s="1"/>
  <c r="Z24" i="12"/>
  <c r="Z45" i="12"/>
  <c r="Z31" i="12" l="1"/>
  <c r="Z32" i="12" s="1"/>
  <c r="Z46" i="12"/>
  <c r="M56" i="3"/>
  <c r="N56" i="3"/>
  <c r="P45" i="3" l="1"/>
  <c r="Q45" i="3"/>
  <c r="P46" i="3" l="1"/>
  <c r="D30" i="3" l="1"/>
  <c r="K56" i="3" l="1"/>
  <c r="L56" i="3"/>
  <c r="C56" i="3" l="1"/>
  <c r="N7" i="3" l="1"/>
  <c r="X45" i="3" l="1"/>
  <c r="X46" i="3" s="1"/>
  <c r="W45" i="3"/>
  <c r="W46" i="3" s="1"/>
  <c r="V45" i="3"/>
  <c r="V46" i="3" s="1"/>
  <c r="U45" i="3"/>
  <c r="U46" i="3" s="1"/>
  <c r="T45" i="3"/>
  <c r="T46" i="3" s="1"/>
  <c r="S45" i="3"/>
  <c r="S46" i="3" s="1"/>
  <c r="R45" i="3"/>
  <c r="R46" i="3" s="1"/>
  <c r="Q46" i="3"/>
  <c r="O45" i="3"/>
  <c r="O46" i="3" s="1"/>
  <c r="N45" i="3"/>
  <c r="N46" i="3" s="1"/>
  <c r="M46" i="3"/>
  <c r="L46" i="3"/>
  <c r="K46" i="3"/>
  <c r="J45" i="3"/>
  <c r="J46" i="3" s="1"/>
  <c r="I45" i="3"/>
  <c r="I46" i="3" s="1"/>
  <c r="H46" i="3"/>
  <c r="G46" i="3"/>
  <c r="F46" i="3"/>
  <c r="E45" i="3"/>
  <c r="E46" i="3" s="1"/>
  <c r="D45" i="3"/>
  <c r="D46" i="3" s="1"/>
  <c r="X30" i="3"/>
  <c r="W30" i="3"/>
  <c r="V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C30" i="3"/>
  <c r="X24" i="3"/>
  <c r="W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R31" i="3" l="1"/>
  <c r="V31" i="3"/>
  <c r="S31" i="3"/>
  <c r="W31" i="3"/>
  <c r="T31" i="3"/>
  <c r="X31" i="3"/>
  <c r="Q31" i="3"/>
  <c r="P31" i="3"/>
  <c r="I31" i="3"/>
  <c r="G31" i="3"/>
  <c r="F31" i="3"/>
  <c r="E31" i="3"/>
  <c r="D31" i="3"/>
  <c r="C31" i="3"/>
  <c r="O31" i="3"/>
  <c r="N31" i="3"/>
  <c r="N32" i="3" s="1"/>
  <c r="M31" i="3"/>
  <c r="L31" i="3"/>
  <c r="K31" i="3"/>
  <c r="J31" i="3"/>
  <c r="H31" i="3"/>
  <c r="D56" i="3" l="1"/>
  <c r="E56" i="3"/>
  <c r="F56" i="3"/>
  <c r="G56" i="3"/>
  <c r="H56" i="3"/>
  <c r="O56" i="3"/>
  <c r="P56" i="3"/>
  <c r="Q56" i="3"/>
  <c r="R56" i="3"/>
  <c r="S56" i="3"/>
  <c r="T56" i="3"/>
  <c r="U56" i="3"/>
  <c r="V56" i="3"/>
  <c r="W56" i="3"/>
  <c r="X56" i="3"/>
  <c r="E34" i="3" l="1"/>
  <c r="I7" i="3" l="1"/>
  <c r="K7" i="3"/>
  <c r="L7" i="3"/>
  <c r="M7" i="3"/>
  <c r="O7" i="3"/>
  <c r="Y5" i="3" l="1"/>
  <c r="Y26" i="3"/>
  <c r="C11" i="7" s="1"/>
  <c r="Y27" i="3"/>
  <c r="C12" i="7" s="1"/>
  <c r="Y28" i="3"/>
  <c r="C13" i="7" s="1"/>
  <c r="Y29" i="3"/>
  <c r="C14" i="7" s="1"/>
  <c r="Y25" i="3"/>
  <c r="C10" i="7" s="1"/>
  <c r="Y23" i="3"/>
  <c r="Y17" i="3"/>
  <c r="C3" i="7" s="1"/>
  <c r="Y18" i="3"/>
  <c r="C4" i="7" s="1"/>
  <c r="Y21" i="3"/>
  <c r="Y22" i="3"/>
  <c r="Y16" i="3"/>
  <c r="C2" i="7" s="1"/>
  <c r="Y6" i="3"/>
  <c r="Y4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C61" i="3"/>
  <c r="C60" i="3"/>
  <c r="G32" i="3"/>
  <c r="H34" i="3"/>
  <c r="N34" i="3"/>
  <c r="M34" i="3"/>
  <c r="L34" i="3"/>
  <c r="K34" i="3"/>
  <c r="I34" i="3"/>
  <c r="Y43" i="3"/>
  <c r="C16" i="7" s="1"/>
  <c r="Y44" i="3"/>
  <c r="C17" i="7" s="1"/>
  <c r="C7" i="3"/>
  <c r="C34" i="3"/>
  <c r="U34" i="3"/>
  <c r="R34" i="3"/>
  <c r="O34" i="3"/>
  <c r="B30" i="3"/>
  <c r="X34" i="3"/>
  <c r="V34" i="3"/>
  <c r="T34" i="3"/>
  <c r="S34" i="3"/>
  <c r="Q34" i="3"/>
  <c r="P34" i="3"/>
  <c r="J34" i="3"/>
  <c r="G34" i="3"/>
  <c r="F34" i="3"/>
  <c r="G7" i="3"/>
  <c r="F7" i="3"/>
  <c r="E7" i="3"/>
  <c r="C18" i="7" l="1"/>
  <c r="C9" i="7"/>
  <c r="C7" i="7"/>
  <c r="C6" i="7"/>
  <c r="C8" i="7"/>
  <c r="C29" i="7"/>
  <c r="D29" i="7" s="1"/>
  <c r="C21" i="7"/>
  <c r="D21" i="7" s="1"/>
  <c r="C28" i="7"/>
  <c r="D28" i="7" s="1"/>
  <c r="C27" i="7"/>
  <c r="D27" i="7" s="1"/>
  <c r="C31" i="7"/>
  <c r="D31" i="7" s="1"/>
  <c r="C30" i="7"/>
  <c r="D30" i="7" s="1"/>
  <c r="C26" i="7"/>
  <c r="D26" i="7" s="1"/>
  <c r="C33" i="7"/>
  <c r="D33" i="7" s="1"/>
  <c r="C25" i="7"/>
  <c r="D25" i="7" s="1"/>
  <c r="C32" i="7"/>
  <c r="D32" i="7" s="1"/>
  <c r="C24" i="7"/>
  <c r="D24" i="7" s="1"/>
  <c r="C23" i="7"/>
  <c r="D23" i="7" s="1"/>
  <c r="C22" i="7"/>
  <c r="D22" i="7" s="1"/>
  <c r="S32" i="3"/>
  <c r="F32" i="3"/>
  <c r="V32" i="3"/>
  <c r="R32" i="3"/>
  <c r="Y30" i="3"/>
  <c r="D32" i="3"/>
  <c r="X32" i="3"/>
  <c r="T32" i="3"/>
  <c r="Y24" i="3"/>
  <c r="W32" i="3"/>
  <c r="L32" i="3"/>
  <c r="Y45" i="3"/>
  <c r="Y46" i="3" s="1"/>
  <c r="C46" i="3"/>
  <c r="C15" i="7" l="1"/>
  <c r="E28" i="7"/>
  <c r="F28" i="7" s="1"/>
  <c r="E24" i="7"/>
  <c r="F24" i="7" s="1"/>
  <c r="E25" i="7"/>
  <c r="F25" i="7" s="1"/>
  <c r="E32" i="7"/>
  <c r="F32" i="7" s="1"/>
  <c r="E29" i="7"/>
  <c r="F29" i="7" s="1"/>
  <c r="E33" i="7"/>
  <c r="F33" i="7" s="1"/>
  <c r="E27" i="7"/>
  <c r="F27" i="7" s="1"/>
  <c r="E31" i="7"/>
  <c r="F31" i="7" s="1"/>
  <c r="E23" i="7"/>
  <c r="F23" i="7" s="1"/>
  <c r="E21" i="7"/>
  <c r="F21" i="7" s="1"/>
  <c r="E26" i="7"/>
  <c r="F26" i="7" s="1"/>
  <c r="E22" i="7"/>
  <c r="F22" i="7" s="1"/>
  <c r="E30" i="7"/>
  <c r="F30" i="7" s="1"/>
  <c r="K32" i="3"/>
  <c r="Q32" i="3"/>
  <c r="P32" i="3"/>
  <c r="E32" i="3"/>
  <c r="O32" i="3"/>
  <c r="J32" i="3"/>
  <c r="H32" i="3"/>
  <c r="C32" i="3"/>
  <c r="M32" i="3"/>
  <c r="I32" i="3"/>
  <c r="Y31" i="3"/>
  <c r="Y32" i="3" s="1"/>
  <c r="J31" i="7" l="1"/>
  <c r="I31" i="7"/>
  <c r="J27" i="7"/>
  <c r="I27" i="7"/>
  <c r="J30" i="7"/>
  <c r="I30" i="7"/>
  <c r="I33" i="7"/>
  <c r="J33" i="7"/>
  <c r="I29" i="7"/>
  <c r="J29" i="7"/>
  <c r="J22" i="7"/>
  <c r="I22" i="7"/>
  <c r="J32" i="7"/>
  <c r="I32" i="7"/>
  <c r="J26" i="7"/>
  <c r="I26" i="7"/>
  <c r="J25" i="7"/>
  <c r="I25" i="7"/>
  <c r="J21" i="7"/>
  <c r="I21" i="7"/>
  <c r="I24" i="7"/>
  <c r="J24" i="7"/>
  <c r="J23" i="7"/>
  <c r="I23" i="7"/>
  <c r="I28" i="7"/>
  <c r="J28" i="7"/>
  <c r="L21" i="7" l="1"/>
  <c r="L22" i="7" l="1"/>
  <c r="L23" i="7" l="1"/>
  <c r="L24" i="7" l="1"/>
  <c r="L25" i="7" l="1"/>
  <c r="L26" i="7" l="1"/>
  <c r="L27" i="7" l="1"/>
  <c r="L28" i="7" l="1"/>
  <c r="L29" i="7" l="1"/>
  <c r="L30" i="7" l="1"/>
  <c r="L31" i="7" l="1"/>
  <c r="L32" i="7" l="1"/>
  <c r="L33" i="7" l="1"/>
  <c r="M33" i="7" l="1"/>
  <c r="N33" i="7" s="1"/>
  <c r="K33" i="7"/>
  <c r="K24" i="7"/>
  <c r="K22" i="7"/>
  <c r="K31" i="7"/>
  <c r="K26" i="7"/>
  <c r="K32" i="7"/>
  <c r="K27" i="7"/>
  <c r="K29" i="7"/>
  <c r="K25" i="7"/>
  <c r="K21" i="7"/>
  <c r="K23" i="7"/>
  <c r="K30" i="7"/>
  <c r="K28" i="7"/>
  <c r="M21" i="7"/>
  <c r="N21" i="7" s="1"/>
  <c r="M22" i="7"/>
  <c r="N22" i="7" s="1"/>
  <c r="M23" i="7"/>
  <c r="N23" i="7" s="1"/>
  <c r="M24" i="7"/>
  <c r="N24" i="7" s="1"/>
  <c r="M25" i="7"/>
  <c r="N25" i="7" s="1"/>
  <c r="M26" i="7"/>
  <c r="N26" i="7" s="1"/>
  <c r="M27" i="7"/>
  <c r="N27" i="7" s="1"/>
  <c r="M28" i="7"/>
  <c r="N28" i="7" s="1"/>
  <c r="M29" i="7"/>
  <c r="N29" i="7" s="1"/>
  <c r="M30" i="7"/>
  <c r="N30" i="7" s="1"/>
  <c r="M31" i="7"/>
  <c r="N31" i="7" s="1"/>
  <c r="M32" i="7"/>
  <c r="N32" i="7" s="1"/>
  <c r="C54" i="12"/>
  <c r="C53" i="12"/>
  <c r="Y64" i="3" l="1"/>
  <c r="AA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<sst xmlns="http://schemas.openxmlformats.org/spreadsheetml/2006/main" count="133" uniqueCount="65">
  <si>
    <t>FALHAS  DA  MONTAGEM   UM-1 ( TAMPÃO ATÉ SHIMA )</t>
  </si>
  <si>
    <t>DIA</t>
  </si>
  <si>
    <t>OBS.</t>
  </si>
  <si>
    <t>NÃO RECUPERÁVEL</t>
  </si>
  <si>
    <t>TAMPÃO</t>
  </si>
  <si>
    <t>ISOLADOR SUP.</t>
  </si>
  <si>
    <t>CARVÃO</t>
  </si>
  <si>
    <t>BOBINA ALTA</t>
  </si>
  <si>
    <t>BOBINA BAIXA</t>
  </si>
  <si>
    <t>EVERTACK</t>
  </si>
  <si>
    <t>PY</t>
  </si>
  <si>
    <t>PVC</t>
  </si>
  <si>
    <t>ENCOLHIMENTO</t>
  </si>
  <si>
    <t>CAP</t>
  </si>
  <si>
    <t>SHIMA</t>
  </si>
  <si>
    <t>OUTROS</t>
  </si>
  <si>
    <t>PVC FURADO (PIN HOLE)</t>
  </si>
  <si>
    <t>RECUPERADO</t>
  </si>
  <si>
    <t>NÃO RECUPERADO</t>
  </si>
  <si>
    <t>TOTAL</t>
  </si>
  <si>
    <t>NOTA: Anotar observações no gráfico, não cabendo, utilizar o verso.</t>
  </si>
  <si>
    <t>Objetivo até shima</t>
  </si>
  <si>
    <t>Objetivo PVC Furado</t>
  </si>
  <si>
    <t>Operação</t>
  </si>
  <si>
    <t>Noite</t>
  </si>
  <si>
    <t>NÃO RECUPERÁVEIS</t>
  </si>
  <si>
    <t xml:space="preserve"> Outros ñ recup.</t>
  </si>
  <si>
    <t>PVC FURADO</t>
  </si>
  <si>
    <t>Ocorrências</t>
  </si>
  <si>
    <t>Não Recuperável</t>
  </si>
  <si>
    <t>Pin-Hole</t>
  </si>
  <si>
    <t>Dia</t>
  </si>
  <si>
    <t>Rascunho</t>
  </si>
  <si>
    <t>it</t>
  </si>
  <si>
    <t>Calc.</t>
  </si>
  <si>
    <t>Maior</t>
  </si>
  <si>
    <t>Corresp</t>
  </si>
  <si>
    <t>Ordenação</t>
  </si>
  <si>
    <t>Fr.</t>
  </si>
  <si>
    <t>Fr (%)</t>
  </si>
  <si>
    <t>Fr Ac.</t>
  </si>
  <si>
    <t>Fr Ac. (%)</t>
  </si>
  <si>
    <t>Fr (ppm)</t>
  </si>
  <si>
    <t>Data:</t>
  </si>
  <si>
    <t>Inspetor:</t>
  </si>
  <si>
    <t>Produção:</t>
  </si>
  <si>
    <t>Controle da Qualidade:</t>
  </si>
  <si>
    <t>ppm</t>
  </si>
  <si>
    <t>PROD. TAMPÃO</t>
  </si>
  <si>
    <t>PROD. PY</t>
  </si>
  <si>
    <t>SUB-TOTAL ATÉ PY</t>
  </si>
  <si>
    <t>SUB-TOTAL ATÉ SHIMA</t>
  </si>
  <si>
    <t>PROD. FINAL</t>
  </si>
  <si>
    <t>Senhas: PANA.AAMM.CQ</t>
  </si>
  <si>
    <t>AA - Ano com 2 digitos</t>
  </si>
  <si>
    <t>MM - Mês com 2 dígitos</t>
  </si>
  <si>
    <t>Planilhas Bloqueadas após fechamento do mês:</t>
  </si>
  <si>
    <t>Visto CQ</t>
  </si>
  <si>
    <t>Visto Supervisor</t>
  </si>
  <si>
    <t>Falhas</t>
  </si>
  <si>
    <t>Mês / Ano</t>
  </si>
  <si>
    <t>Conferência do VA</t>
  </si>
  <si>
    <t>Conf. de Produção</t>
  </si>
  <si>
    <t>TUBO DE ZINCO</t>
  </si>
  <si>
    <t>Turno: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</si>
</sst>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"/>
    <numFmt numFmtId="166" formatCode="0.0"/>
    <numFmt numFmtId="167" formatCode="_(* #,##0.0_);_(* \(#,##0.0\);_(* &quot;-&quot;??_);_(@_)"/>
    <numFmt numFmtId="168" formatCode="d/m;@"/>
  </numFmts>
  <fonts count="17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Century Schoolbook"/>
      <family val="1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22"/>
      <name val="Arial"/>
      <family val="2"/>
    </font>
    <font>
      <sz val="10"/>
      <color theme="3" tint="0.39997558519241921"/>
      <name val="Arial"/>
      <family val="2"/>
    </font>
    <font>
      <sz val="10"/>
      <color theme="2" tint="-9.9978637043366805E-2"/>
      <name val="Arial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1" xfId="0" applyBorder="1"/>
    <xf numFmtId="0" fontId="0" fillId="0" borderId="2" xfId="0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7" fillId="0" borderId="1" xfId="0" applyFont="1" applyBorder="1"/>
    <xf numFmtId="0" fontId="5" fillId="0" borderId="1" xfId="0" applyFont="1" applyBorder="1" applyAlignment="1">
      <alignment horizontal="left" vertical="center"/>
    </xf>
    <xf numFmtId="0" fontId="10" fillId="0" borderId="1" xfId="0" applyFont="1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4" xfId="0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4" xfId="0" applyBorder="1" applyAlignment="1" applyProtection="1">
      <alignment horizontal="right" vertical="center" shrinkToFit="1"/>
      <protection locked="0"/>
    </xf>
    <xf numFmtId="0" fontId="0" fillId="0" borderId="1" xfId="0" applyBorder="1" applyAlignment="1" applyProtection="1">
      <alignment horizontal="right" vertical="center" shrinkToFit="1"/>
      <protection locked="0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0" fillId="0" borderId="0" xfId="0" applyNumberFormat="1"/>
    <xf numFmtId="167" fontId="0" fillId="0" borderId="0" xfId="1" applyNumberFormat="1" applyFont="1"/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8" xfId="0" applyBorder="1" applyAlignment="1">
      <alignment horizont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3" fontId="0" fillId="0" borderId="11" xfId="0" applyNumberFormat="1" applyBorder="1" applyAlignment="1">
      <alignment shrinkToFit="1"/>
    </xf>
    <xf numFmtId="0" fontId="0" fillId="0" borderId="12" xfId="0" applyBorder="1"/>
    <xf numFmtId="0" fontId="0" fillId="0" borderId="13" xfId="0" applyBorder="1" applyAlignment="1">
      <alignment horizontal="right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5" fillId="0" borderId="6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 applyAlignment="1">
      <alignment shrinkToFit="1"/>
    </xf>
    <xf numFmtId="0" fontId="5" fillId="0" borderId="9" xfId="0" applyFont="1" applyBorder="1" applyAlignment="1">
      <alignment horizontal="center" vertical="center"/>
    </xf>
    <xf numFmtId="0" fontId="0" fillId="0" borderId="11" xfId="0" applyBorder="1" applyAlignment="1">
      <alignment shrinkToFit="1"/>
    </xf>
    <xf numFmtId="0" fontId="6" fillId="0" borderId="9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0" fontId="6" fillId="0" borderId="20" xfId="0" applyFont="1" applyBorder="1" applyAlignment="1">
      <alignment horizontal="center" vertical="center"/>
    </xf>
    <xf numFmtId="0" fontId="0" fillId="0" borderId="21" xfId="0" applyBorder="1"/>
    <xf numFmtId="0" fontId="0" fillId="0" borderId="0" xfId="0" applyAlignment="1">
      <alignment horizontal="center" vertical="center"/>
    </xf>
    <xf numFmtId="0" fontId="0" fillId="0" borderId="22" xfId="0" applyBorder="1" applyAlignment="1">
      <alignment horizontal="right" vertical="center"/>
    </xf>
    <xf numFmtId="0" fontId="0" fillId="0" borderId="23" xfId="0" applyBorder="1"/>
    <xf numFmtId="0" fontId="0" fillId="0" borderId="23" xfId="0" applyBorder="1" applyAlignment="1">
      <alignment horizontal="center" vertical="center" textRotation="90" wrapText="1"/>
    </xf>
    <xf numFmtId="0" fontId="0" fillId="0" borderId="24" xfId="0" applyBorder="1"/>
    <xf numFmtId="0" fontId="0" fillId="0" borderId="0" xfId="0" applyAlignment="1">
      <alignment horizontal="center" vertical="center" textRotation="90" wrapText="1"/>
    </xf>
    <xf numFmtId="0" fontId="0" fillId="0" borderId="21" xfId="0" applyBorder="1" applyAlignment="1">
      <alignment horizontal="center" vertical="center" textRotation="90" wrapText="1"/>
    </xf>
    <xf numFmtId="0" fontId="5" fillId="0" borderId="25" xfId="0" applyFont="1" applyBorder="1" applyAlignment="1">
      <alignment horizontal="center" vertical="center"/>
    </xf>
    <xf numFmtId="0" fontId="0" fillId="0" borderId="26" xfId="0" applyBorder="1"/>
    <xf numFmtId="0" fontId="5" fillId="0" borderId="20" xfId="0" applyFont="1" applyBorder="1" applyAlignment="1">
      <alignment horizontal="left" vertical="center"/>
    </xf>
    <xf numFmtId="165" fontId="0" fillId="0" borderId="21" xfId="0" applyNumberFormat="1" applyBorder="1"/>
    <xf numFmtId="165" fontId="0" fillId="0" borderId="16" xfId="0" applyNumberForma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Continuous"/>
    </xf>
    <xf numFmtId="1" fontId="0" fillId="0" borderId="0" xfId="0" applyNumberFormat="1"/>
    <xf numFmtId="0" fontId="0" fillId="0" borderId="1" xfId="0" applyBorder="1" applyAlignment="1">
      <alignment horizontal="center" vertical="center" textRotation="90" wrapText="1"/>
    </xf>
    <xf numFmtId="3" fontId="4" fillId="0" borderId="1" xfId="0" applyNumberFormat="1" applyFont="1" applyBorder="1" applyAlignment="1" applyProtection="1">
      <alignment horizontal="center" shrinkToFit="1"/>
      <protection locked="0"/>
    </xf>
    <xf numFmtId="0" fontId="8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0" fillId="0" borderId="1" xfId="0" quotePrefix="1" applyBorder="1" applyAlignment="1" applyProtection="1">
      <alignment horizontal="center" vertical="center" textRotation="90" wrapText="1"/>
      <protection locked="0"/>
    </xf>
    <xf numFmtId="0" fontId="6" fillId="0" borderId="9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/>
    </xf>
    <xf numFmtId="0" fontId="0" fillId="0" borderId="18" xfId="0" applyBorder="1"/>
    <xf numFmtId="0" fontId="4" fillId="0" borderId="11" xfId="0" applyFont="1" applyBorder="1" applyAlignment="1">
      <alignment shrinkToFit="1"/>
    </xf>
    <xf numFmtId="0" fontId="4" fillId="0" borderId="3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1" fontId="4" fillId="0" borderId="29" xfId="0" applyNumberFormat="1" applyFont="1" applyBorder="1"/>
    <xf numFmtId="1" fontId="4" fillId="0" borderId="30" xfId="0" applyNumberFormat="1" applyFont="1" applyBorder="1"/>
    <xf numFmtId="0" fontId="4" fillId="0" borderId="11" xfId="0" applyFont="1" applyBorder="1" applyAlignment="1">
      <alignment horizontal="right"/>
    </xf>
    <xf numFmtId="0" fontId="1" fillId="0" borderId="1" xfId="0" applyFont="1" applyBorder="1" applyAlignment="1" applyProtection="1">
      <alignment horizontal="center" shrinkToFit="1"/>
      <protection locked="0"/>
    </xf>
    <xf numFmtId="0" fontId="4" fillId="0" borderId="19" xfId="0" applyFont="1" applyBorder="1" applyAlignment="1">
      <alignment horizontal="right"/>
    </xf>
    <xf numFmtId="0" fontId="1" fillId="0" borderId="1" xfId="0" applyFont="1" applyBorder="1" applyAlignment="1" applyProtection="1">
      <alignment horizontal="center" vertical="center" shrinkToFit="1"/>
      <protection locked="0"/>
    </xf>
    <xf numFmtId="0" fontId="13" fillId="2" borderId="0" xfId="0" applyFont="1" applyFill="1"/>
    <xf numFmtId="0" fontId="0" fillId="2" borderId="0" xfId="0" applyFill="1"/>
    <xf numFmtId="0" fontId="12" fillId="2" borderId="0" xfId="0" applyFont="1" applyFill="1"/>
    <xf numFmtId="0" fontId="14" fillId="2" borderId="0" xfId="0" applyFont="1" applyFill="1"/>
    <xf numFmtId="1" fontId="4" fillId="0" borderId="27" xfId="0" applyNumberFormat="1" applyFont="1" applyBorder="1"/>
    <xf numFmtId="0" fontId="15" fillId="0" borderId="0" xfId="0" applyFont="1"/>
    <xf numFmtId="0" fontId="6" fillId="0" borderId="31" xfId="0" applyFont="1" applyBorder="1" applyAlignment="1">
      <alignment horizontal="center" vertical="center"/>
    </xf>
    <xf numFmtId="0" fontId="0" fillId="0" borderId="32" xfId="0" applyBorder="1"/>
    <xf numFmtId="1" fontId="4" fillId="0" borderId="33" xfId="0" applyNumberFormat="1" applyFont="1" applyBorder="1"/>
    <xf numFmtId="1" fontId="4" fillId="0" borderId="34" xfId="0" applyNumberFormat="1" applyFont="1" applyBorder="1"/>
    <xf numFmtId="0" fontId="5" fillId="0" borderId="13" xfId="0" applyFont="1" applyBorder="1" applyAlignment="1">
      <alignment horizontal="left" vertical="center"/>
    </xf>
    <xf numFmtId="165" fontId="0" fillId="0" borderId="0" xfId="0" applyNumberFormat="1"/>
    <xf numFmtId="165" fontId="0" fillId="0" borderId="15" xfId="0" applyNumberFormat="1" applyBorder="1"/>
    <xf numFmtId="1" fontId="4" fillId="0" borderId="4" xfId="0" applyNumberFormat="1" applyFont="1" applyBorder="1"/>
    <xf numFmtId="1" fontId="4" fillId="0" borderId="18" xfId="0" applyNumberFormat="1" applyFont="1" applyBorder="1"/>
    <xf numFmtId="0" fontId="0" fillId="0" borderId="7" xfId="0" applyBorder="1" applyAlignment="1" applyProtection="1">
      <alignment horizontal="right"/>
      <protection locked="0"/>
    </xf>
    <xf numFmtId="0" fontId="0" fillId="0" borderId="26" xfId="0" applyBorder="1" applyAlignment="1" applyProtection="1">
      <alignment horizontal="right"/>
      <protection locked="0"/>
    </xf>
    <xf numFmtId="0" fontId="1" fillId="0" borderId="0" xfId="0" applyFont="1"/>
    <xf numFmtId="0" fontId="0" fillId="0" borderId="0" xfId="0" applyAlignment="1">
      <alignment shrinkToFit="1"/>
    </xf>
    <xf numFmtId="168" fontId="4" fillId="0" borderId="4" xfId="0" applyNumberFormat="1" applyFont="1" applyBorder="1" applyAlignment="1" applyProtection="1">
      <alignment horizontal="center" shrinkToFit="1"/>
      <protection locked="0"/>
    </xf>
    <xf numFmtId="168" fontId="0" fillId="0" borderId="5" xfId="0" applyNumberFormat="1" applyBorder="1" applyAlignment="1" applyProtection="1">
      <alignment horizontal="center"/>
      <protection locked="0"/>
    </xf>
    <xf numFmtId="168" fontId="4" fillId="0" borderId="1" xfId="0" applyNumberFormat="1" applyFont="1" applyBorder="1" applyAlignment="1" applyProtection="1">
      <alignment horizontal="center" shrinkToFit="1"/>
      <protection locked="0"/>
    </xf>
    <xf numFmtId="0" fontId="1" fillId="0" borderId="35" xfId="0" quotePrefix="1" applyFont="1" applyBorder="1" applyAlignment="1">
      <alignment horizontal="center" vertical="center" wrapText="1"/>
    </xf>
    <xf numFmtId="0" fontId="1" fillId="0" borderId="37" xfId="0" quotePrefix="1" applyFont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8" fillId="0" borderId="23" xfId="0" applyFont="1" applyBorder="1" applyAlignment="1">
      <alignment horizontal="center" vertical="center" textRotation="90" wrapText="1"/>
    </xf>
    <xf numFmtId="0" fontId="8" fillId="0" borderId="0" xfId="0" applyFont="1" applyAlignment="1">
      <alignment horizontal="center" vertical="center" textRotation="90" wrapText="1"/>
    </xf>
    <xf numFmtId="0" fontId="8" fillId="0" borderId="21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1" xfId="0" applyFont="1" applyBorder="1" applyAlignment="1">
      <alignment horizontal="center" vertical="center" textRotation="90" wrapText="1"/>
    </xf>
    <xf numFmtId="0" fontId="9" fillId="0" borderId="0" xfId="0" applyFont="1" applyAlignment="1">
      <alignment horizontal="left" vertical="center" textRotation="90" wrapText="1"/>
    </xf>
    <xf numFmtId="0" fontId="4" fillId="0" borderId="13" xfId="0" applyFont="1" applyBorder="1" applyAlignment="1">
      <alignment horizontal="left" vertical="center" textRotation="90" wrapText="1"/>
    </xf>
    <xf numFmtId="0" fontId="4" fillId="0" borderId="13" xfId="0" applyFont="1" applyBorder="1" applyAlignment="1">
      <alignment horizontal="left" vertical="center" textRotation="90"/>
    </xf>
    <xf numFmtId="0" fontId="0" fillId="0" borderId="23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21" xfId="0" applyBorder="1" applyAlignment="1">
      <alignment horizontal="center" vertical="center" textRotation="90" wrapText="1"/>
    </xf>
    <xf numFmtId="0" fontId="0" fillId="0" borderId="1" xfId="0" applyBorder="1" applyAlignment="1">
      <alignment horizontal="center" textRotation="90"/>
    </xf>
    <xf numFmtId="0" fontId="0" fillId="0" borderId="1" xfId="0" applyBorder="1" applyAlignment="1">
      <alignment horizontal="center" textRotation="90" wrapText="1"/>
    </xf>
  </cellXfs>
  <cellStyles count="2">
    <cellStyle name="Normal" xfId="0" builtinId="0"/>
    <cellStyle name="Vírgula" xfId="1" builtinId="3"/>
  </cellStyles>
  <dxfs count="22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827198543881747E-2"/>
          <c:y val="5.4466917125555382E-2"/>
          <c:w val="0.94621510112844476"/>
          <c:h val="0.88889437839877861"/>
        </c:manualLayout>
      </c:layout>
      <c:lineChart>
        <c:grouping val="standard"/>
        <c:varyColors val="0"/>
        <c:ser>
          <c:idx val="0"/>
          <c:order val="0"/>
          <c:tx>
            <c:strRef>
              <c:f>'SJCPIL-R 14-101 - DIA'!$C$32:$X$32</c:f>
              <c:strCache>
                <c:ptCount val="22"/>
                <c:pt idx="0">
                  <c:v> </c:v>
                </c:pt>
                <c:pt idx="1">
                  <c:v> 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  <c:pt idx="10">
                  <c:v> </c:v>
                </c:pt>
                <c:pt idx="11">
                  <c:v> </c:v>
                </c:pt>
                <c:pt idx="12">
                  <c:v> </c:v>
                </c:pt>
                <c:pt idx="13">
                  <c:v> </c:v>
                </c:pt>
                <c:pt idx="14">
                  <c:v> </c:v>
                </c:pt>
                <c:pt idx="15">
                  <c:v> </c:v>
                </c:pt>
                <c:pt idx="16">
                  <c:v> </c:v>
                </c:pt>
                <c:pt idx="17">
                  <c:v> </c:v>
                </c:pt>
                <c:pt idx="18">
                  <c:v> </c:v>
                </c:pt>
                <c:pt idx="19">
                  <c:v> </c:v>
                </c:pt>
                <c:pt idx="20">
                  <c:v> </c:v>
                </c:pt>
                <c:pt idx="21">
                  <c:v> 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pPr>
              <a:solidFill>
                <a:srgbClr val="002060"/>
              </a:solidFill>
            </c:spPr>
          </c:marker>
          <c:cat>
            <c:numRef>
              <c:f>'SJCPIL-R 14-101 - DIA'!$C$2:$X$2</c:f>
              <c:numCache>
                <c:formatCode>d/m;@</c:formatCode>
                <c:ptCount val="22"/>
              </c:numCache>
            </c:numRef>
          </c:cat>
          <c:val>
            <c:numRef>
              <c:f>'SJCPIL-R 14-101 - DIA'!$C$32:$X$32</c:f>
              <c:numCache>
                <c:formatCode>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9-4F40-A1C9-C74F7E7E8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980464"/>
        <c:axId val="37398399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yVal>
            <c:numRef>
              <c:f>'SJCPIL-R 14-101 - DIA'!$C$53:$X$53</c:f>
              <c:numCache>
                <c:formatCode>General</c:formatCode>
                <c:ptCount val="22"/>
                <c:pt idx="0" formatCode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39-4F40-A1C9-C74F7E7E8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36904"/>
        <c:axId val="375736512"/>
      </c:scatterChart>
      <c:catAx>
        <c:axId val="37398046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d/m;@" sourceLinked="1"/>
        <c:majorTickMark val="out"/>
        <c:minorTickMark val="none"/>
        <c:tickLblPos val="nextTo"/>
        <c:crossAx val="373983992"/>
        <c:crossesAt val="0"/>
        <c:auto val="0"/>
        <c:lblAlgn val="ctr"/>
        <c:lblOffset val="100"/>
        <c:noMultiLvlLbl val="1"/>
      </c:catAx>
      <c:valAx>
        <c:axId val="373983992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3980464"/>
        <c:crosses val="autoZero"/>
        <c:crossBetween val="between"/>
        <c:minorUnit val="50"/>
      </c:valAx>
      <c:valAx>
        <c:axId val="37573651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75736904"/>
        <c:crosses val="max"/>
        <c:crossBetween val="midCat"/>
      </c:valAx>
      <c:valAx>
        <c:axId val="37573690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757365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364871293423556E-2"/>
          <c:y val="7.3643985953732713E-2"/>
          <c:w val="0.94282134733158351"/>
          <c:h val="0.8894331513774244"/>
        </c:manualLayout>
      </c:layout>
      <c:lineChart>
        <c:grouping val="stacke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cat>
            <c:numRef>
              <c:f>'SJCPIL-R 14-101 - DIA'!$C$2:$X$2</c:f>
              <c:numCache>
                <c:formatCode>d/m;@</c:formatCode>
                <c:ptCount val="22"/>
              </c:numCache>
            </c:numRef>
          </c:cat>
          <c:val>
            <c:numRef>
              <c:f>'SJCPIL-R 14-101 - DIA'!$C$46:$X$46</c:f>
              <c:numCache>
                <c:formatCode>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0-45D4-B369-F3E32BE3A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734944"/>
        <c:axId val="375738080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yVal>
            <c:numRef>
              <c:f>'SJCPIL-R 14-101 - DIA'!$C$54:$X$54</c:f>
              <c:numCache>
                <c:formatCode>0</c:formatCode>
                <c:ptCount val="22"/>
                <c:pt idx="0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C0-45D4-B369-F3E32BE3A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31024"/>
        <c:axId val="375738472"/>
      </c:scatterChart>
      <c:catAx>
        <c:axId val="3757349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d/m;@" sourceLinked="1"/>
        <c:majorTickMark val="out"/>
        <c:minorTickMark val="none"/>
        <c:tickLblPos val="nextTo"/>
        <c:crossAx val="375738080"/>
        <c:crosses val="autoZero"/>
        <c:auto val="0"/>
        <c:lblAlgn val="ctr"/>
        <c:lblOffset val="100"/>
        <c:noMultiLvlLbl val="1"/>
      </c:catAx>
      <c:valAx>
        <c:axId val="375738080"/>
        <c:scaling>
          <c:orientation val="minMax"/>
          <c:max val="28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5734944"/>
        <c:crosses val="autoZero"/>
        <c:crossBetween val="between"/>
      </c:valAx>
      <c:valAx>
        <c:axId val="37573847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75731024"/>
        <c:crosses val="max"/>
        <c:crossBetween val="midCat"/>
      </c:valAx>
      <c:valAx>
        <c:axId val="37573102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7573847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827198543881747E-2"/>
          <c:y val="5.4466917125555382E-2"/>
          <c:w val="0.94621510112844476"/>
          <c:h val="0.88889437839877861"/>
        </c:manualLayout>
      </c:layout>
      <c:lineChart>
        <c:grouping val="standard"/>
        <c:varyColors val="0"/>
        <c:ser>
          <c:idx val="0"/>
          <c:order val="0"/>
          <c:tx>
            <c:strRef>
              <c:f>'SJCPIL-R 14-101 - NOITE'!$C$32:$Y$32</c:f>
              <c:strCache>
                <c:ptCount val="23"/>
                <c:pt idx="0">
                  <c:v> </c:v>
                </c:pt>
                <c:pt idx="1">
                  <c:v> 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  <c:pt idx="10">
                  <c:v> </c:v>
                </c:pt>
                <c:pt idx="11">
                  <c:v> </c:v>
                </c:pt>
                <c:pt idx="12">
                  <c:v> </c:v>
                </c:pt>
                <c:pt idx="13">
                  <c:v> </c:v>
                </c:pt>
                <c:pt idx="14">
                  <c:v> </c:v>
                </c:pt>
                <c:pt idx="15">
                  <c:v> </c:v>
                </c:pt>
                <c:pt idx="16">
                  <c:v> </c:v>
                </c:pt>
                <c:pt idx="17">
                  <c:v> </c:v>
                </c:pt>
                <c:pt idx="18">
                  <c:v> </c:v>
                </c:pt>
                <c:pt idx="19">
                  <c:v> </c:v>
                </c:pt>
                <c:pt idx="20">
                  <c:v> </c:v>
                </c:pt>
                <c:pt idx="21">
                  <c:v> </c:v>
                </c:pt>
                <c:pt idx="22">
                  <c:v> 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pPr>
              <a:solidFill>
                <a:srgbClr val="002060"/>
              </a:solidFill>
            </c:spPr>
          </c:marker>
          <c:cat>
            <c:numRef>
              <c:f>'SJCPIL-R 14-101 - NOITE'!$C$2:$Y$2</c:f>
              <c:numCache>
                <c:formatCode>d/m;@</c:formatCode>
                <c:ptCount val="23"/>
              </c:numCache>
            </c:numRef>
          </c:cat>
          <c:val>
            <c:numRef>
              <c:f>'SJCPIL-R 14-101 - NOITE'!$C$32:$Y$32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A3-4BC7-AA12-9CCC11433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737296"/>
        <c:axId val="37573298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yVal>
            <c:numRef>
              <c:f>'SJCPIL-R 14-101 - NOITE'!$C$53:$Y$53</c:f>
              <c:numCache>
                <c:formatCode>General</c:formatCode>
                <c:ptCount val="23"/>
                <c:pt idx="0" formatCode="0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A3-4BC7-AA12-9CCC11433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35336"/>
        <c:axId val="375737688"/>
      </c:scatterChart>
      <c:catAx>
        <c:axId val="37573729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d/m;@" sourceLinked="1"/>
        <c:majorTickMark val="out"/>
        <c:minorTickMark val="none"/>
        <c:tickLblPos val="nextTo"/>
        <c:crossAx val="375732984"/>
        <c:crossesAt val="0"/>
        <c:auto val="0"/>
        <c:lblAlgn val="ctr"/>
        <c:lblOffset val="100"/>
        <c:noMultiLvlLbl val="0"/>
      </c:catAx>
      <c:valAx>
        <c:axId val="375732984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5737296"/>
        <c:crosses val="autoZero"/>
        <c:crossBetween val="between"/>
        <c:minorUnit val="50"/>
      </c:valAx>
      <c:valAx>
        <c:axId val="375737688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75735336"/>
        <c:crosses val="max"/>
        <c:crossBetween val="midCat"/>
      </c:valAx>
      <c:valAx>
        <c:axId val="37573533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7573768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364841061533968E-2"/>
          <c:y val="4.7586602143811059E-2"/>
          <c:w val="0.94282134733158351"/>
          <c:h val="0.8894331513774244"/>
        </c:manualLayout>
      </c:layout>
      <c:barChart>
        <c:barDir val="col"/>
        <c:grouping val="clustere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invertIfNegative val="0"/>
          <c:cat>
            <c:numRef>
              <c:f>'SJCPIL-R 14-101 - NOITE'!$C$2:$Y$2</c:f>
              <c:numCache>
                <c:formatCode>d/m;@</c:formatCode>
                <c:ptCount val="23"/>
              </c:numCache>
            </c:numRef>
          </c:cat>
          <c:val>
            <c:numRef>
              <c:f>'SJCPIL-R 14-101 - NOITE'!$C$46:$Y$46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1-475C-86EB-66ED9FDA5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734552"/>
        <c:axId val="375732200"/>
      </c:bar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yVal>
            <c:numRef>
              <c:f>'SJCPIL-R 14-101 - NOITE'!$C$54:$Y$54</c:f>
              <c:numCache>
                <c:formatCode>0</c:formatCode>
                <c:ptCount val="23"/>
                <c:pt idx="0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31-475C-86EB-66ED9FDA5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733376"/>
        <c:axId val="375732592"/>
      </c:scatterChart>
      <c:catAx>
        <c:axId val="37573455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d/m;@" sourceLinked="1"/>
        <c:majorTickMark val="out"/>
        <c:minorTickMark val="none"/>
        <c:tickLblPos val="nextTo"/>
        <c:crossAx val="375732200"/>
        <c:crosses val="autoZero"/>
        <c:auto val="1"/>
        <c:lblAlgn val="ctr"/>
        <c:lblOffset val="100"/>
        <c:noMultiLvlLbl val="0"/>
      </c:catAx>
      <c:valAx>
        <c:axId val="375732200"/>
        <c:scaling>
          <c:orientation val="minMax"/>
          <c:max val="28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5734552"/>
        <c:crosses val="autoZero"/>
        <c:crossBetween val="between"/>
      </c:valAx>
      <c:valAx>
        <c:axId val="37573259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75733376"/>
        <c:crosses val="max"/>
        <c:crossBetween val="midCat"/>
      </c:valAx>
      <c:valAx>
        <c:axId val="37573337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757325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 - UM-1 - Tampão até Shima</a:t>
            </a:r>
          </a:p>
        </c:rich>
      </c:tx>
      <c:layout>
        <c:manualLayout>
          <c:xMode val="edge"/>
          <c:yMode val="edge"/>
          <c:x val="0.32362139231868675"/>
          <c:y val="2.86195756713878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368410168652737E-2"/>
          <c:y val="0.13131334719813237"/>
          <c:w val="0.82830427101503101"/>
          <c:h val="0.63973169147808073"/>
        </c:manualLayout>
      </c:layout>
      <c:barChart>
        <c:barDir val="col"/>
        <c:grouping val="clustered"/>
        <c:varyColors val="0"/>
        <c:ser>
          <c:idx val="2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1"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'Resumo de Custo'!$I$17:$I$28</c:f>
              <c:strCache>
                <c:ptCount val="12"/>
                <c:pt idx="3">
                  <c:v>Operação</c:v>
                </c:pt>
                <c:pt idx="4">
                  <c:v>#DIV/0!</c:v>
                </c:pt>
                <c:pt idx="5">
                  <c:v>#DIV/0!</c:v>
                </c:pt>
                <c:pt idx="6">
                  <c:v>#DIV/0!</c:v>
                </c:pt>
                <c:pt idx="7">
                  <c:v>#DIV/0!</c:v>
                </c:pt>
                <c:pt idx="8">
                  <c:v>#DIV/0!</c:v>
                </c:pt>
                <c:pt idx="9">
                  <c:v>#DIV/0!</c:v>
                </c:pt>
                <c:pt idx="10">
                  <c:v>#DIV/0!</c:v>
                </c:pt>
                <c:pt idx="11">
                  <c:v>#DIV/0!</c:v>
                </c:pt>
              </c:strCache>
            </c:strRef>
          </c:cat>
          <c:val>
            <c:numRef>
              <c:f>'Resumo de Custo'!$J$21:$J$33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F-4BE2-B2BE-07EC69D56DC4}"/>
            </c:ext>
          </c:extLst>
        </c:ser>
        <c:ser>
          <c:idx val="1"/>
          <c:order val="1"/>
          <c:tx>
            <c:v>Problemas</c:v>
          </c:tx>
          <c:spPr>
            <a:gradFill rotWithShape="0"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'Resumo de Custo'!$I$17:$I$28</c:f>
              <c:strCache>
                <c:ptCount val="12"/>
                <c:pt idx="3">
                  <c:v>Operação</c:v>
                </c:pt>
                <c:pt idx="4">
                  <c:v>#DIV/0!</c:v>
                </c:pt>
                <c:pt idx="5">
                  <c:v>#DIV/0!</c:v>
                </c:pt>
                <c:pt idx="6">
                  <c:v>#DIV/0!</c:v>
                </c:pt>
                <c:pt idx="7">
                  <c:v>#DIV/0!</c:v>
                </c:pt>
                <c:pt idx="8">
                  <c:v>#DIV/0!</c:v>
                </c:pt>
                <c:pt idx="9">
                  <c:v>#DIV/0!</c:v>
                </c:pt>
                <c:pt idx="10">
                  <c:v>#DIV/0!</c:v>
                </c:pt>
                <c:pt idx="11">
                  <c:v>#DIV/0!</c:v>
                </c:pt>
              </c:strCache>
            </c:strRef>
          </c:cat>
          <c:val>
            <c:numRef>
              <c:f>'Resumo de Custo'!$N$21:$N$33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34-442B-A117-DC55BF371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734160"/>
        <c:axId val="375733768"/>
      </c:barChart>
      <c:lineChart>
        <c:grouping val="standard"/>
        <c:varyColors val="0"/>
        <c:ser>
          <c:idx val="0"/>
          <c:order val="2"/>
          <c:tx>
            <c:v>Acumulado%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'Resumo de Custo'!$I$21:$I$33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'Resumo de Custo'!$M$21:$M$33</c:f>
              <c:numCache>
                <c:formatCode>#,#00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34-442B-A117-DC55BF371D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6475776"/>
        <c:axId val="376477344"/>
      </c:lineChart>
      <c:catAx>
        <c:axId val="375734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Operações</a:t>
                </a:r>
              </a:p>
            </c:rich>
          </c:tx>
          <c:layout>
            <c:manualLayout>
              <c:xMode val="edge"/>
              <c:yMode val="edge"/>
              <c:x val="0.46305954849458392"/>
              <c:y val="0.936028474899507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5733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5733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6649332080704141E-2"/>
              <c:y val="0.3787885015330741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5734160"/>
        <c:crosses val="autoZero"/>
        <c:crossBetween val="between"/>
      </c:valAx>
      <c:catAx>
        <c:axId val="376475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6477344"/>
        <c:crosses val="autoZero"/>
        <c:auto val="0"/>
        <c:lblAlgn val="ctr"/>
        <c:lblOffset val="100"/>
        <c:noMultiLvlLbl val="0"/>
      </c:catAx>
      <c:valAx>
        <c:axId val="376477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6045834440562017"/>
              <c:y val="0.3686874748255255"/>
            </c:manualLayout>
          </c:layout>
          <c:overlay val="0"/>
          <c:spPr>
            <a:noFill/>
            <a:ln w="25400">
              <a:noFill/>
            </a:ln>
          </c:spPr>
        </c:title>
        <c:numFmt formatCode="#,#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7647577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9525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1144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648088</xdr:colOff>
      <xdr:row>6</xdr:row>
      <xdr:rowOff>0</xdr:rowOff>
    </xdr:from>
    <xdr:to>
      <xdr:col>24</xdr:col>
      <xdr:colOff>66675</xdr:colOff>
      <xdr:row>15</xdr:row>
      <xdr:rowOff>0</xdr:rowOff>
    </xdr:to>
    <xdr:graphicFrame macro="">
      <xdr:nvGraphicFramePr>
        <xdr:cNvPr id="1027" name="Gráfico 3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665572</xdr:colOff>
      <xdr:row>32</xdr:row>
      <xdr:rowOff>72768</xdr:rowOff>
    </xdr:from>
    <xdr:to>
      <xdr:col>24</xdr:col>
      <xdr:colOff>151222</xdr:colOff>
      <xdr:row>42</xdr:row>
      <xdr:rowOff>26016</xdr:rowOff>
    </xdr:to>
    <xdr:graphicFrame macro="">
      <xdr:nvGraphicFramePr>
        <xdr:cNvPr id="1028" name="Gráfico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19050</xdr:rowOff>
        </xdr:from>
        <xdr:to>
          <xdr:col>20</xdr:col>
          <xdr:colOff>304800</xdr:colOff>
          <xdr:row>0</xdr:row>
          <xdr:rowOff>238125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190500</xdr:rowOff>
        </xdr:from>
        <xdr:to>
          <xdr:col>20</xdr:col>
          <xdr:colOff>304800</xdr:colOff>
          <xdr:row>1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9525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1144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648088</xdr:colOff>
      <xdr:row>6</xdr:row>
      <xdr:rowOff>0</xdr:rowOff>
    </xdr:from>
    <xdr:to>
      <xdr:col>25</xdr:col>
      <xdr:colOff>66675</xdr:colOff>
      <xdr:row>15</xdr:row>
      <xdr:rowOff>0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665572</xdr:colOff>
      <xdr:row>32</xdr:row>
      <xdr:rowOff>72768</xdr:rowOff>
    </xdr:from>
    <xdr:to>
      <xdr:col>25</xdr:col>
      <xdr:colOff>151222</xdr:colOff>
      <xdr:row>42</xdr:row>
      <xdr:rowOff>26016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0</xdr:row>
          <xdr:rowOff>9525</xdr:rowOff>
        </xdr:from>
        <xdr:to>
          <xdr:col>21</xdr:col>
          <xdr:colOff>295275</xdr:colOff>
          <xdr:row>0</xdr:row>
          <xdr:rowOff>228600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0</xdr:row>
          <xdr:rowOff>180975</xdr:rowOff>
        </xdr:from>
        <xdr:to>
          <xdr:col>21</xdr:col>
          <xdr:colOff>295275</xdr:colOff>
          <xdr:row>0</xdr:row>
          <xdr:rowOff>400050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23811</xdr:rowOff>
    </xdr:from>
    <xdr:to>
      <xdr:col>19</xdr:col>
      <xdr:colOff>419100</xdr:colOff>
      <xdr:row>54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PUB\QUALIDADE\2006\Falhas\UM-1\MONTAGEM\Grafico%20de%20Falh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5-102-04%20-%2022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5-102-04%20-%2021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1)%20UM-1/VA/SJCPIL-R%2015-115-00%20-%20UM-1%20-%202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99 Rev 02"/>
      <sheetName val="F-7.52 Rev 01"/>
      <sheetName val="F-7.58 Rev 02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SJCPIL-R 15-102 - DIA"/>
      <sheetName val="SJCPIL-R 15-102 - NOITE"/>
      <sheetName val="Pareto"/>
      <sheetName val="Dados do Gráfico"/>
      <sheetName val="SJCPIL-R 15-102-04 - 2201"/>
    </sheetNames>
    <definedNames>
      <definedName name="TT_PROD_UM1D" refersTo="='SJCPIL-R 15-102 - DIA'!$Y$5"/>
      <definedName name="TT_PROD_UM1N" refersTo="='SJCPIL-R 15-102 - NOITE'!$Y$5" sheetId="2"/>
    </definedNames>
    <sheetDataSet>
      <sheetData sheetId="0"/>
      <sheetData sheetId="1">
        <row r="5">
          <cell r="C5">
            <v>118023</v>
          </cell>
          <cell r="D5">
            <v>165570</v>
          </cell>
          <cell r="E5">
            <v>212495</v>
          </cell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>
            <v>496088</v>
          </cell>
        </row>
      </sheetData>
      <sheetData sheetId="2">
        <row r="5">
          <cell r="Y5">
            <v>0</v>
          </cell>
        </row>
      </sheetData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4">
          <cell r="Y4">
            <v>800</v>
          </cell>
        </row>
        <row r="9">
          <cell r="Y9">
            <v>1800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SJCPIL-R 15-102 - DIA"/>
      <sheetName val="SJCPIL-R 15-102 - NOITE"/>
      <sheetName val="Pareto"/>
      <sheetName val="Dados do Gráfico"/>
      <sheetName val="SJCPIL-R 15-102-04 - 2111"/>
    </sheetNames>
    <sheetDataSet>
      <sheetData sheetId="0"/>
      <sheetData sheetId="1">
        <row r="5">
          <cell r="Z5"/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UM-1 - Dia"/>
      <sheetName val="UM-1 - Noite"/>
      <sheetName val="Falhas por Modelo"/>
      <sheetName val="Tipos de Defeitos"/>
      <sheetName val="Gráfico"/>
      <sheetName val="Rascunho"/>
    </sheetNames>
    <sheetDataSet>
      <sheetData sheetId="0"/>
      <sheetData sheetId="1">
        <row r="3">
          <cell r="D3">
            <v>44580</v>
          </cell>
          <cell r="E3">
            <v>44586</v>
          </cell>
          <cell r="F3">
            <v>44588</v>
          </cell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118023</v>
          </cell>
          <cell r="E7">
            <v>165570</v>
          </cell>
          <cell r="F7">
            <v>212495</v>
          </cell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workbookViewId="0">
      <selection activeCell="C10" sqref="C10"/>
    </sheetView>
  </sheetViews>
  <sheetFormatPr defaultRowHeight="12.75" x14ac:dyDescent="0.2"/>
  <cols>
    <col min="1" max="16384" width="9.140625" style="79"/>
  </cols>
  <sheetData>
    <row r="2" spans="2:19" ht="27" x14ac:dyDescent="0.35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</row>
    <row r="7" spans="2:19" ht="18" x14ac:dyDescent="0.25">
      <c r="N7" s="80"/>
    </row>
    <row r="8" spans="2:19" ht="18" x14ac:dyDescent="0.25">
      <c r="N8" s="80"/>
    </row>
    <row r="9" spans="2:19" ht="18" x14ac:dyDescent="0.25">
      <c r="H9" s="80"/>
    </row>
    <row r="11" spans="2:19" ht="18" x14ac:dyDescent="0.25">
      <c r="H11" s="80"/>
      <c r="I11" s="80"/>
      <c r="K11" s="80"/>
      <c r="M11" s="80"/>
      <c r="N11" s="80"/>
      <c r="O11" s="80"/>
      <c r="P11" s="80"/>
      <c r="Q11" s="80"/>
      <c r="R11" s="80"/>
      <c r="S11" s="80"/>
    </row>
    <row r="12" spans="2:19" ht="18" x14ac:dyDescent="0.25"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</row>
    <row r="13" spans="2:19" ht="18" x14ac:dyDescent="0.25">
      <c r="B13" s="80"/>
      <c r="C13" s="80"/>
      <c r="D13" s="80"/>
      <c r="E13" s="80"/>
      <c r="F13" s="80"/>
      <c r="G13" s="80"/>
      <c r="H13" s="80"/>
      <c r="I13" s="80"/>
      <c r="K13" s="80"/>
      <c r="L13" s="80"/>
      <c r="M13" s="80"/>
      <c r="N13" s="80"/>
      <c r="O13" s="80"/>
      <c r="P13" s="80"/>
      <c r="Q13" s="80"/>
      <c r="R13" s="80"/>
      <c r="S13" s="80"/>
    </row>
    <row r="14" spans="2:19" ht="18" x14ac:dyDescent="0.25"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</row>
    <row r="15" spans="2:19" ht="18" x14ac:dyDescent="0.25"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</row>
    <row r="16" spans="2:19" ht="18" x14ac:dyDescent="0.25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2:14" ht="18" x14ac:dyDescent="0.25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2:14" ht="18" x14ac:dyDescent="0.25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2:14" ht="18" x14ac:dyDescent="0.25"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2:14" ht="18" x14ac:dyDescent="0.25"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2:14" ht="18" x14ac:dyDescent="0.25"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2:14" ht="18" x14ac:dyDescent="0.25"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2:14" ht="18" x14ac:dyDescent="0.25"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2:14" ht="18" x14ac:dyDescent="0.25"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2:14" ht="18" x14ac:dyDescent="0.25"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35" spans="2:6" x14ac:dyDescent="0.2">
      <c r="B35" s="81" t="s">
        <v>56</v>
      </c>
      <c r="C35" s="81"/>
      <c r="D35" s="81"/>
      <c r="E35" s="81"/>
      <c r="F35" s="81"/>
    </row>
    <row r="36" spans="2:6" x14ac:dyDescent="0.2">
      <c r="B36" s="81" t="s">
        <v>53</v>
      </c>
      <c r="C36" s="81"/>
      <c r="D36" s="81"/>
      <c r="E36" s="81"/>
      <c r="F36" s="81"/>
    </row>
    <row r="37" spans="2:6" x14ac:dyDescent="0.2">
      <c r="B37" s="81"/>
      <c r="C37" s="81"/>
      <c r="D37" s="81"/>
      <c r="E37" s="81"/>
      <c r="F37" s="81"/>
    </row>
    <row r="38" spans="2:6" x14ac:dyDescent="0.2">
      <c r="B38" s="81" t="s">
        <v>54</v>
      </c>
      <c r="C38" s="81"/>
      <c r="D38" s="81"/>
      <c r="E38" s="81"/>
      <c r="F38" s="81"/>
    </row>
    <row r="39" spans="2:6" x14ac:dyDescent="0.2">
      <c r="B39" s="81" t="s">
        <v>55</v>
      </c>
      <c r="C39" s="81"/>
      <c r="D39" s="81"/>
      <c r="E39" s="81"/>
      <c r="F39" s="81"/>
    </row>
  </sheetData>
  <sheetProtection algorithmName="SHA-512" hashValue="Eq6Gx+Yh+u3Z4Pg2KGwjNyYu8Z6wfCaH+wK4lwNY0ospIewmdGAY9lfmrHgml/kRSX6cPif1oNgTL0BbS95aNQ==" saltValue="f5xXGU5Rzc/xTDFGAC2C3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AA65"/>
  <sheetViews>
    <sheetView showZeros="0" zoomScaleNormal="100" zoomScaleSheetLayoutView="75" workbookViewId="0">
      <selection activeCell="C2" sqref="C2"/>
    </sheetView>
  </sheetViews>
  <sheetFormatPr defaultColWidth="11.42578125" defaultRowHeight="12.75" x14ac:dyDescent="0.2"/>
  <cols>
    <col min="1" max="1" width="16.5703125" customWidth="1"/>
    <col min="2" max="2" width="0.7109375" customWidth="1"/>
    <col min="3" max="24" width="6.5703125" customWidth="1"/>
    <col min="25" max="25" width="9.85546875" bestFit="1" customWidth="1"/>
    <col min="26" max="26" width="2.7109375" customWidth="1"/>
  </cols>
  <sheetData>
    <row r="1" spans="1:27" ht="32.25" customHeight="1" thickBot="1" x14ac:dyDescent="0.25">
      <c r="C1" s="22" t="s">
        <v>0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3" t="s">
        <v>64</v>
      </c>
      <c r="T1" s="24"/>
      <c r="V1" s="100" t="s">
        <v>60</v>
      </c>
      <c r="W1" s="101"/>
      <c r="X1" s="102" t="str">
        <f ca="1">MID(CELL("nome.arquivo"),SEARCH(".xl",CELL("nome.arquivo"))-2,2)&amp;" / 20"&amp;MID(CELL("nome.arquivo"),SEARCH(".xl",CELL("nome.arquivo"))-4,2)</f>
        <v>03 / 2022</v>
      </c>
      <c r="Y1" s="103"/>
    </row>
    <row r="2" spans="1:27" ht="14.85" customHeight="1" x14ac:dyDescent="0.2">
      <c r="A2" s="25" t="s">
        <v>1</v>
      </c>
      <c r="B2" s="26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8"/>
      <c r="W2" s="98"/>
      <c r="X2" s="98"/>
      <c r="Y2" s="27" t="s">
        <v>19</v>
      </c>
    </row>
    <row r="3" spans="1:27" ht="14.85" customHeight="1" x14ac:dyDescent="0.2">
      <c r="A3" s="28" t="s">
        <v>2</v>
      </c>
      <c r="B3" s="29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9"/>
      <c r="T3" s="75"/>
      <c r="U3" s="75"/>
      <c r="V3" s="9"/>
      <c r="W3" s="9"/>
      <c r="X3" s="9"/>
      <c r="Y3" s="30"/>
    </row>
    <row r="4" spans="1:27" ht="19.5" customHeight="1" x14ac:dyDescent="0.2">
      <c r="A4" s="28" t="s">
        <v>48</v>
      </c>
      <c r="B4" s="29"/>
      <c r="C4" s="8"/>
      <c r="D4" s="8"/>
      <c r="E4" s="75"/>
      <c r="F4" s="8"/>
      <c r="G4" s="75"/>
      <c r="H4" s="8"/>
      <c r="I4" s="8"/>
      <c r="J4" s="75"/>
      <c r="K4" s="8"/>
      <c r="L4" s="8"/>
      <c r="M4" s="8"/>
      <c r="N4" s="8"/>
      <c r="O4" s="75"/>
      <c r="P4" s="8"/>
      <c r="Q4" s="8"/>
      <c r="R4" s="8"/>
      <c r="S4" s="9"/>
      <c r="T4" s="9"/>
      <c r="U4" s="8"/>
      <c r="V4" s="9"/>
      <c r="W4" s="9"/>
      <c r="X4" s="9"/>
      <c r="Y4" s="31">
        <f>SUM(C4:X4)</f>
        <v>0</v>
      </c>
    </row>
    <row r="5" spans="1:27" ht="20.25" customHeight="1" x14ac:dyDescent="0.2">
      <c r="A5" s="28" t="s">
        <v>49</v>
      </c>
      <c r="B5" s="29"/>
      <c r="C5" s="10"/>
      <c r="D5" s="10"/>
      <c r="E5" s="10"/>
      <c r="F5" s="10"/>
      <c r="G5" s="10"/>
      <c r="H5" s="10"/>
      <c r="I5" s="10"/>
      <c r="J5" s="77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31">
        <f>SUM(C5:X5)</f>
        <v>0</v>
      </c>
    </row>
    <row r="6" spans="1:27" ht="20.25" customHeight="1" x14ac:dyDescent="0.2">
      <c r="A6" s="28" t="s">
        <v>52</v>
      </c>
      <c r="B6" s="29"/>
      <c r="C6" s="10"/>
      <c r="D6" s="10"/>
      <c r="E6" s="10"/>
      <c r="F6" s="10"/>
      <c r="G6" s="10"/>
      <c r="H6" s="10"/>
      <c r="I6" s="10"/>
      <c r="J6" s="7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31">
        <f>SUM(C6:X6)</f>
        <v>0</v>
      </c>
      <c r="AA6" s="83" cm="1">
        <f t="array" ref="AA6">[2]!TT_PROD_UM1D</f>
        <v>496088</v>
      </c>
    </row>
    <row r="7" spans="1:27" ht="12.75" customHeight="1" x14ac:dyDescent="0.2">
      <c r="A7" s="33"/>
      <c r="C7" s="114">
        <f>D57</f>
        <v>0</v>
      </c>
      <c r="D7" s="114">
        <f>E57</f>
        <v>0</v>
      </c>
      <c r="E7" s="114">
        <f>E58</f>
        <v>0</v>
      </c>
      <c r="F7" s="114">
        <f t="shared" ref="F7:G7" si="0">F57</f>
        <v>0</v>
      </c>
      <c r="G7" s="114">
        <f t="shared" si="0"/>
        <v>0</v>
      </c>
      <c r="H7" s="114"/>
      <c r="I7" s="114">
        <f t="shared" ref="I7:O7" si="1">I57</f>
        <v>0</v>
      </c>
      <c r="J7" s="114"/>
      <c r="K7" s="114">
        <f t="shared" si="1"/>
        <v>0</v>
      </c>
      <c r="L7" s="114">
        <f t="shared" si="1"/>
        <v>0</v>
      </c>
      <c r="M7" s="114">
        <f t="shared" si="1"/>
        <v>0</v>
      </c>
      <c r="N7" s="114">
        <f t="shared" si="1"/>
        <v>0</v>
      </c>
      <c r="O7" s="114">
        <f t="shared" si="1"/>
        <v>0</v>
      </c>
      <c r="P7" s="114">
        <f t="shared" ref="P7:X7" si="2">P57</f>
        <v>0</v>
      </c>
      <c r="Q7" s="114">
        <f t="shared" si="2"/>
        <v>0</v>
      </c>
      <c r="R7" s="114">
        <f t="shared" si="2"/>
        <v>0</v>
      </c>
      <c r="S7" s="114">
        <f t="shared" si="2"/>
        <v>0</v>
      </c>
      <c r="T7" s="114">
        <f t="shared" si="2"/>
        <v>0</v>
      </c>
      <c r="U7" s="114">
        <f t="shared" si="2"/>
        <v>0</v>
      </c>
      <c r="V7" s="114">
        <f t="shared" si="2"/>
        <v>0</v>
      </c>
      <c r="W7" s="114">
        <f t="shared" si="2"/>
        <v>0</v>
      </c>
      <c r="X7" s="114">
        <f t="shared" si="2"/>
        <v>0</v>
      </c>
      <c r="Y7" s="34"/>
    </row>
    <row r="8" spans="1:27" ht="12.75" customHeight="1" x14ac:dyDescent="0.2">
      <c r="A8" s="116" t="s">
        <v>3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35"/>
    </row>
    <row r="9" spans="1:27" ht="12.75" customHeight="1" x14ac:dyDescent="0.2">
      <c r="A9" s="116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35"/>
    </row>
    <row r="10" spans="1:27" ht="12.75" customHeight="1" x14ac:dyDescent="0.2">
      <c r="A10" s="116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35"/>
    </row>
    <row r="11" spans="1:27" ht="12.75" customHeight="1" x14ac:dyDescent="0.2">
      <c r="A11" s="116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35"/>
    </row>
    <row r="12" spans="1:27" ht="12.75" customHeight="1" x14ac:dyDescent="0.2">
      <c r="A12" s="116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35"/>
    </row>
    <row r="13" spans="1:27" ht="12.75" customHeight="1" x14ac:dyDescent="0.2">
      <c r="A13" s="116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35"/>
    </row>
    <row r="14" spans="1:27" ht="12.75" customHeight="1" x14ac:dyDescent="0.2">
      <c r="A14" s="116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35"/>
    </row>
    <row r="15" spans="1:27" ht="12.75" customHeight="1" thickBot="1" x14ac:dyDescent="0.25">
      <c r="A15" s="116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35"/>
    </row>
    <row r="16" spans="1:27" ht="14.85" customHeight="1" x14ac:dyDescent="0.2">
      <c r="A16" s="37" t="s">
        <v>4</v>
      </c>
      <c r="B16" s="38"/>
      <c r="C16" s="2"/>
      <c r="D16" s="93"/>
      <c r="E16" s="11"/>
      <c r="F16" s="11"/>
      <c r="G16" s="11"/>
      <c r="H16" s="11"/>
      <c r="I16" s="16"/>
      <c r="J16" s="11"/>
      <c r="K16" s="11"/>
      <c r="L16" s="11"/>
      <c r="M16" s="11"/>
      <c r="N16" s="11"/>
      <c r="O16" s="16"/>
      <c r="P16" s="11"/>
      <c r="Q16" s="11"/>
      <c r="R16" s="13"/>
      <c r="S16" s="11"/>
      <c r="T16" s="11"/>
      <c r="U16" s="13"/>
      <c r="V16" s="11"/>
      <c r="W16" s="11"/>
      <c r="X16" s="11"/>
      <c r="Y16" s="39">
        <f t="shared" ref="Y16:Y23" si="3">SUM(C16:X16)</f>
        <v>0</v>
      </c>
    </row>
    <row r="17" spans="1:25" ht="14.85" customHeight="1" x14ac:dyDescent="0.2">
      <c r="A17" s="40" t="s">
        <v>5</v>
      </c>
      <c r="B17" s="32"/>
      <c r="C17" s="3"/>
      <c r="D17" s="94"/>
      <c r="E17" s="12"/>
      <c r="F17" s="12"/>
      <c r="G17" s="12"/>
      <c r="H17" s="12"/>
      <c r="I17" s="17"/>
      <c r="J17" s="12"/>
      <c r="K17" s="12"/>
      <c r="L17" s="12"/>
      <c r="M17" s="12"/>
      <c r="N17" s="12"/>
      <c r="O17" s="17"/>
      <c r="P17" s="12"/>
      <c r="Q17" s="12"/>
      <c r="R17" s="10"/>
      <c r="S17" s="12"/>
      <c r="T17" s="12"/>
      <c r="U17" s="10"/>
      <c r="V17" s="12"/>
      <c r="W17" s="12"/>
      <c r="X17" s="12"/>
      <c r="Y17" s="41">
        <f t="shared" si="3"/>
        <v>0</v>
      </c>
    </row>
    <row r="18" spans="1:25" ht="14.85" customHeight="1" x14ac:dyDescent="0.2">
      <c r="A18" s="40" t="s">
        <v>6</v>
      </c>
      <c r="B18" s="32"/>
      <c r="C18" s="3"/>
      <c r="D18" s="94"/>
      <c r="E18" s="12"/>
      <c r="F18" s="12"/>
      <c r="G18" s="12"/>
      <c r="H18" s="12"/>
      <c r="I18" s="17"/>
      <c r="J18" s="12"/>
      <c r="K18" s="12"/>
      <c r="L18" s="12"/>
      <c r="M18" s="12"/>
      <c r="N18" s="12"/>
      <c r="O18" s="17"/>
      <c r="P18" s="12"/>
      <c r="Q18" s="12"/>
      <c r="R18" s="10"/>
      <c r="S18" s="12"/>
      <c r="T18" s="12"/>
      <c r="U18" s="10"/>
      <c r="V18" s="12"/>
      <c r="W18" s="12"/>
      <c r="X18" s="12"/>
      <c r="Y18" s="41">
        <f t="shared" si="3"/>
        <v>0</v>
      </c>
    </row>
    <row r="19" spans="1:25" ht="14.85" customHeight="1" x14ac:dyDescent="0.2">
      <c r="A19" s="40" t="s">
        <v>63</v>
      </c>
      <c r="B19" s="32"/>
      <c r="C19" s="3"/>
      <c r="D19" s="12"/>
      <c r="E19" s="12"/>
      <c r="F19" s="12"/>
      <c r="G19" s="12"/>
      <c r="H19" s="12"/>
      <c r="I19" s="17"/>
      <c r="J19" s="12"/>
      <c r="K19" s="12"/>
      <c r="L19" s="12"/>
      <c r="M19" s="12"/>
      <c r="N19" s="12"/>
      <c r="O19" s="17"/>
      <c r="P19" s="12"/>
      <c r="Q19" s="12"/>
      <c r="R19" s="10"/>
      <c r="S19" s="12"/>
      <c r="T19" s="12"/>
      <c r="U19" s="10"/>
      <c r="V19" s="12"/>
      <c r="W19" s="12"/>
      <c r="X19" s="12"/>
      <c r="Y19" s="41">
        <f t="shared" si="3"/>
        <v>0</v>
      </c>
    </row>
    <row r="20" spans="1:25" ht="14.85" customHeight="1" x14ac:dyDescent="0.2">
      <c r="A20" s="40" t="s">
        <v>7</v>
      </c>
      <c r="B20" s="32"/>
      <c r="C20" s="3"/>
      <c r="D20" s="12"/>
      <c r="E20" s="12"/>
      <c r="F20" s="12"/>
      <c r="G20" s="12"/>
      <c r="H20" s="12"/>
      <c r="I20" s="17"/>
      <c r="J20" s="12"/>
      <c r="K20" s="12"/>
      <c r="L20" s="12"/>
      <c r="M20" s="12"/>
      <c r="N20" s="12"/>
      <c r="O20" s="17"/>
      <c r="P20" s="12"/>
      <c r="Q20" s="12"/>
      <c r="R20" s="10"/>
      <c r="S20" s="12"/>
      <c r="T20" s="12"/>
      <c r="U20" s="10"/>
      <c r="V20" s="12"/>
      <c r="W20" s="12"/>
      <c r="X20" s="12"/>
      <c r="Y20" s="41">
        <f t="shared" si="3"/>
        <v>0</v>
      </c>
    </row>
    <row r="21" spans="1:25" ht="14.85" customHeight="1" x14ac:dyDescent="0.2">
      <c r="A21" s="40" t="s">
        <v>8</v>
      </c>
      <c r="B21" s="32"/>
      <c r="C21" s="3"/>
      <c r="D21" s="12"/>
      <c r="E21" s="12"/>
      <c r="F21" s="12"/>
      <c r="G21" s="12"/>
      <c r="H21" s="12"/>
      <c r="I21" s="17"/>
      <c r="J21" s="12"/>
      <c r="K21" s="12"/>
      <c r="L21" s="12"/>
      <c r="M21" s="12"/>
      <c r="N21" s="12"/>
      <c r="O21" s="17"/>
      <c r="P21" s="12"/>
      <c r="Q21" s="12"/>
      <c r="R21" s="10"/>
      <c r="S21" s="12"/>
      <c r="T21" s="12"/>
      <c r="U21" s="10"/>
      <c r="V21" s="12"/>
      <c r="W21" s="12"/>
      <c r="X21" s="12"/>
      <c r="Y21" s="41">
        <f t="shared" si="3"/>
        <v>0</v>
      </c>
    </row>
    <row r="22" spans="1:25" ht="14.85" customHeight="1" x14ac:dyDescent="0.2">
      <c r="A22" s="40" t="s">
        <v>9</v>
      </c>
      <c r="B22" s="32"/>
      <c r="C22" s="3"/>
      <c r="D22" s="12"/>
      <c r="E22" s="12"/>
      <c r="F22" s="12"/>
      <c r="G22" s="12"/>
      <c r="H22" s="12"/>
      <c r="I22" s="17"/>
      <c r="J22" s="12"/>
      <c r="K22" s="12"/>
      <c r="L22" s="12"/>
      <c r="M22" s="12"/>
      <c r="N22" s="12"/>
      <c r="O22" s="17"/>
      <c r="P22" s="12"/>
      <c r="Q22" s="12"/>
      <c r="R22" s="10"/>
      <c r="S22" s="12"/>
      <c r="T22" s="12"/>
      <c r="U22" s="10"/>
      <c r="V22" s="12"/>
      <c r="W22" s="12"/>
      <c r="X22" s="12"/>
      <c r="Y22" s="41">
        <f t="shared" si="3"/>
        <v>0</v>
      </c>
    </row>
    <row r="23" spans="1:25" ht="14.85" customHeight="1" x14ac:dyDescent="0.2">
      <c r="A23" s="40" t="s">
        <v>10</v>
      </c>
      <c r="B23" s="32"/>
      <c r="C23" s="3"/>
      <c r="D23" s="12"/>
      <c r="E23" s="12"/>
      <c r="F23" s="12"/>
      <c r="G23" s="12"/>
      <c r="H23" s="12"/>
      <c r="I23" s="17"/>
      <c r="J23" s="12"/>
      <c r="K23" s="12"/>
      <c r="L23" s="12"/>
      <c r="M23" s="12"/>
      <c r="N23" s="12"/>
      <c r="O23" s="17"/>
      <c r="P23" s="12"/>
      <c r="Q23" s="12"/>
      <c r="R23" s="10"/>
      <c r="S23" s="12"/>
      <c r="T23" s="12"/>
      <c r="U23" s="10"/>
      <c r="V23" s="12"/>
      <c r="W23" s="12"/>
      <c r="X23" s="12"/>
      <c r="Y23" s="41">
        <f t="shared" si="3"/>
        <v>0</v>
      </c>
    </row>
    <row r="24" spans="1:25" ht="14.85" customHeight="1" x14ac:dyDescent="0.2">
      <c r="A24" s="42" t="s">
        <v>50</v>
      </c>
      <c r="B24" s="32"/>
      <c r="C24" s="70">
        <f t="shared" ref="C24:X24" si="4">SUM(C16:C23)</f>
        <v>0</v>
      </c>
      <c r="D24" s="71">
        <f t="shared" si="4"/>
        <v>0</v>
      </c>
      <c r="E24" s="71">
        <f t="shared" si="4"/>
        <v>0</v>
      </c>
      <c r="F24" s="71">
        <f t="shared" si="4"/>
        <v>0</v>
      </c>
      <c r="G24" s="71">
        <f t="shared" si="4"/>
        <v>0</v>
      </c>
      <c r="H24" s="71">
        <f t="shared" si="4"/>
        <v>0</v>
      </c>
      <c r="I24" s="71">
        <f>SUM(I16:I23)</f>
        <v>0</v>
      </c>
      <c r="J24" s="71">
        <f t="shared" si="4"/>
        <v>0</v>
      </c>
      <c r="K24" s="71">
        <f t="shared" si="4"/>
        <v>0</v>
      </c>
      <c r="L24" s="71">
        <f t="shared" si="4"/>
        <v>0</v>
      </c>
      <c r="M24" s="71">
        <f t="shared" si="4"/>
        <v>0</v>
      </c>
      <c r="N24" s="71">
        <f t="shared" si="4"/>
        <v>0</v>
      </c>
      <c r="O24" s="71">
        <f t="shared" si="4"/>
        <v>0</v>
      </c>
      <c r="P24" s="71">
        <f t="shared" si="4"/>
        <v>0</v>
      </c>
      <c r="Q24" s="71">
        <f t="shared" si="4"/>
        <v>0</v>
      </c>
      <c r="R24" s="71">
        <f t="shared" si="4"/>
        <v>0</v>
      </c>
      <c r="S24" s="71">
        <f t="shared" si="4"/>
        <v>0</v>
      </c>
      <c r="T24" s="71">
        <f t="shared" si="4"/>
        <v>0</v>
      </c>
      <c r="U24" s="71">
        <f t="shared" si="4"/>
        <v>0</v>
      </c>
      <c r="V24" s="71">
        <f t="shared" si="4"/>
        <v>0</v>
      </c>
      <c r="W24" s="71">
        <f t="shared" si="4"/>
        <v>0</v>
      </c>
      <c r="X24" s="71">
        <f t="shared" si="4"/>
        <v>0</v>
      </c>
      <c r="Y24" s="74">
        <f t="shared" ref="Y24" si="5">SUM(Y16:Y23)</f>
        <v>0</v>
      </c>
    </row>
    <row r="25" spans="1:25" ht="14.85" customHeight="1" x14ac:dyDescent="0.2">
      <c r="A25" s="40" t="s">
        <v>11</v>
      </c>
      <c r="B25" s="32"/>
      <c r="C25" s="3"/>
      <c r="D25" s="12"/>
      <c r="E25" s="12"/>
      <c r="F25" s="12"/>
      <c r="G25" s="12"/>
      <c r="H25" s="12"/>
      <c r="I25" s="17"/>
      <c r="J25" s="12"/>
      <c r="K25" s="12"/>
      <c r="L25" s="12"/>
      <c r="M25" s="12"/>
      <c r="N25" s="12"/>
      <c r="O25" s="17"/>
      <c r="P25" s="12"/>
      <c r="Q25" s="12"/>
      <c r="R25" s="10"/>
      <c r="S25" s="12"/>
      <c r="T25" s="12"/>
      <c r="U25" s="10"/>
      <c r="V25" s="12"/>
      <c r="W25" s="12"/>
      <c r="X25" s="12"/>
      <c r="Y25" s="41">
        <f>SUM(C25:X25)</f>
        <v>0</v>
      </c>
    </row>
    <row r="26" spans="1:25" ht="14.85" customHeight="1" x14ac:dyDescent="0.2">
      <c r="A26" s="40" t="s">
        <v>12</v>
      </c>
      <c r="B26" s="32"/>
      <c r="C26" s="3"/>
      <c r="D26" s="12"/>
      <c r="E26" s="12"/>
      <c r="F26" s="12"/>
      <c r="G26" s="12"/>
      <c r="H26" s="12"/>
      <c r="I26" s="17"/>
      <c r="J26" s="12"/>
      <c r="K26" s="12"/>
      <c r="L26" s="12"/>
      <c r="M26" s="12"/>
      <c r="N26" s="12"/>
      <c r="O26" s="17"/>
      <c r="P26" s="12"/>
      <c r="Q26" s="12"/>
      <c r="R26" s="10"/>
      <c r="S26" s="12"/>
      <c r="T26" s="12"/>
      <c r="U26" s="10"/>
      <c r="V26" s="12"/>
      <c r="W26" s="12"/>
      <c r="X26" s="12"/>
      <c r="Y26" s="41">
        <f>SUM(C26:X26)</f>
        <v>0</v>
      </c>
    </row>
    <row r="27" spans="1:25" ht="14.85" customHeight="1" x14ac:dyDescent="0.2">
      <c r="A27" s="40" t="s">
        <v>13</v>
      </c>
      <c r="B27" s="32"/>
      <c r="C27" s="3"/>
      <c r="D27" s="12"/>
      <c r="E27" s="12"/>
      <c r="F27" s="12"/>
      <c r="G27" s="12"/>
      <c r="H27" s="12"/>
      <c r="I27" s="17"/>
      <c r="J27" s="12"/>
      <c r="K27" s="12"/>
      <c r="L27" s="12"/>
      <c r="M27" s="12"/>
      <c r="N27" s="12"/>
      <c r="O27" s="17"/>
      <c r="P27" s="12"/>
      <c r="Q27" s="12"/>
      <c r="R27" s="10"/>
      <c r="S27" s="12"/>
      <c r="T27" s="12"/>
      <c r="U27" s="10"/>
      <c r="V27" s="12"/>
      <c r="W27" s="12"/>
      <c r="X27" s="12"/>
      <c r="Y27" s="41">
        <f>SUM(C27:X27)</f>
        <v>0</v>
      </c>
    </row>
    <row r="28" spans="1:25" ht="15" customHeight="1" x14ac:dyDescent="0.2">
      <c r="A28" s="40" t="s">
        <v>14</v>
      </c>
      <c r="B28" s="32"/>
      <c r="C28" s="3"/>
      <c r="D28" s="12"/>
      <c r="E28" s="12"/>
      <c r="F28" s="12"/>
      <c r="G28" s="12"/>
      <c r="H28" s="12"/>
      <c r="I28" s="17"/>
      <c r="J28" s="12"/>
      <c r="K28" s="12"/>
      <c r="L28" s="12"/>
      <c r="M28" s="12"/>
      <c r="N28" s="12"/>
      <c r="O28" s="17"/>
      <c r="P28" s="12"/>
      <c r="Q28" s="12"/>
      <c r="R28" s="10"/>
      <c r="S28" s="12"/>
      <c r="T28" s="12"/>
      <c r="U28" s="10"/>
      <c r="V28" s="12"/>
      <c r="W28" s="12"/>
      <c r="X28" s="12"/>
      <c r="Y28" s="41">
        <f>SUM(C28:X28)</f>
        <v>0</v>
      </c>
    </row>
    <row r="29" spans="1:25" ht="15" customHeight="1" x14ac:dyDescent="0.2">
      <c r="A29" s="40" t="s">
        <v>15</v>
      </c>
      <c r="B29" s="32"/>
      <c r="C29" s="3"/>
      <c r="D29" s="12"/>
      <c r="E29" s="12"/>
      <c r="F29" s="12"/>
      <c r="G29" s="12"/>
      <c r="H29" s="12"/>
      <c r="I29" s="17"/>
      <c r="J29" s="12"/>
      <c r="K29" s="12"/>
      <c r="L29" s="12"/>
      <c r="M29" s="12"/>
      <c r="N29" s="12"/>
      <c r="O29" s="17"/>
      <c r="P29" s="12"/>
      <c r="Q29" s="12"/>
      <c r="R29" s="10"/>
      <c r="S29" s="12"/>
      <c r="T29" s="12"/>
      <c r="U29" s="10"/>
      <c r="V29" s="12"/>
      <c r="W29" s="12"/>
      <c r="X29" s="12"/>
      <c r="Y29" s="41">
        <f>SUM(C29:X29)</f>
        <v>0</v>
      </c>
    </row>
    <row r="30" spans="1:25" ht="27.75" customHeight="1" x14ac:dyDescent="0.2">
      <c r="A30" s="66" t="s">
        <v>51</v>
      </c>
      <c r="B30" s="43">
        <f>SUM(B16:B29)</f>
        <v>0</v>
      </c>
      <c r="C30" s="70">
        <f t="shared" ref="C30:X30" si="6">SUM(C25:C29)</f>
        <v>0</v>
      </c>
      <c r="D30" s="76">
        <f t="shared" si="6"/>
        <v>0</v>
      </c>
      <c r="E30" s="71">
        <f t="shared" si="6"/>
        <v>0</v>
      </c>
      <c r="F30" s="71">
        <f t="shared" si="6"/>
        <v>0</v>
      </c>
      <c r="G30" s="71">
        <f t="shared" si="6"/>
        <v>0</v>
      </c>
      <c r="H30" s="71">
        <f t="shared" si="6"/>
        <v>0</v>
      </c>
      <c r="I30" s="71">
        <f t="shared" si="6"/>
        <v>0</v>
      </c>
      <c r="J30" s="71">
        <f t="shared" si="6"/>
        <v>0</v>
      </c>
      <c r="K30" s="71">
        <f t="shared" si="6"/>
        <v>0</v>
      </c>
      <c r="L30" s="71">
        <f t="shared" si="6"/>
        <v>0</v>
      </c>
      <c r="M30" s="71">
        <f t="shared" si="6"/>
        <v>0</v>
      </c>
      <c r="N30" s="71">
        <f t="shared" si="6"/>
        <v>0</v>
      </c>
      <c r="O30" s="71">
        <f t="shared" si="6"/>
        <v>0</v>
      </c>
      <c r="P30" s="71">
        <f t="shared" si="6"/>
        <v>0</v>
      </c>
      <c r="Q30" s="71">
        <f t="shared" si="6"/>
        <v>0</v>
      </c>
      <c r="R30" s="71">
        <f t="shared" si="6"/>
        <v>0</v>
      </c>
      <c r="S30" s="71">
        <f t="shared" si="6"/>
        <v>0</v>
      </c>
      <c r="T30" s="71">
        <f t="shared" si="6"/>
        <v>0</v>
      </c>
      <c r="U30" s="71">
        <f t="shared" ref="U30" si="7">SUM(U25:U29)</f>
        <v>0</v>
      </c>
      <c r="V30" s="71">
        <f t="shared" si="6"/>
        <v>0</v>
      </c>
      <c r="W30" s="71">
        <f t="shared" si="6"/>
        <v>0</v>
      </c>
      <c r="X30" s="71">
        <f t="shared" si="6"/>
        <v>0</v>
      </c>
      <c r="Y30" s="74">
        <f t="shared" ref="Y30" si="8">SUM(Y25:Y29)</f>
        <v>0</v>
      </c>
    </row>
    <row r="31" spans="1:25" ht="14.85" customHeight="1" x14ac:dyDescent="0.2">
      <c r="A31" s="67" t="s">
        <v>19</v>
      </c>
      <c r="B31" s="43"/>
      <c r="C31" s="70">
        <f>C24+C30</f>
        <v>0</v>
      </c>
      <c r="D31" s="71">
        <f t="shared" ref="D31:X31" si="9">D24+D30</f>
        <v>0</v>
      </c>
      <c r="E31" s="71">
        <f t="shared" si="9"/>
        <v>0</v>
      </c>
      <c r="F31" s="71">
        <f t="shared" si="9"/>
        <v>0</v>
      </c>
      <c r="G31" s="71">
        <f t="shared" si="9"/>
        <v>0</v>
      </c>
      <c r="H31" s="71">
        <f t="shared" si="9"/>
        <v>0</v>
      </c>
      <c r="I31" s="71">
        <f t="shared" si="9"/>
        <v>0</v>
      </c>
      <c r="J31" s="71">
        <f t="shared" si="9"/>
        <v>0</v>
      </c>
      <c r="K31" s="71">
        <f t="shared" si="9"/>
        <v>0</v>
      </c>
      <c r="L31" s="71">
        <f t="shared" si="9"/>
        <v>0</v>
      </c>
      <c r="M31" s="71">
        <f t="shared" si="9"/>
        <v>0</v>
      </c>
      <c r="N31" s="71">
        <f t="shared" si="9"/>
        <v>0</v>
      </c>
      <c r="O31" s="71">
        <f t="shared" si="9"/>
        <v>0</v>
      </c>
      <c r="P31" s="71">
        <f t="shared" si="9"/>
        <v>0</v>
      </c>
      <c r="Q31" s="71">
        <f t="shared" si="9"/>
        <v>0</v>
      </c>
      <c r="R31" s="71">
        <f t="shared" si="9"/>
        <v>0</v>
      </c>
      <c r="S31" s="71">
        <f t="shared" si="9"/>
        <v>0</v>
      </c>
      <c r="T31" s="71">
        <f t="shared" si="9"/>
        <v>0</v>
      </c>
      <c r="U31" s="71">
        <f t="shared" ref="U31" si="10">U24+U30</f>
        <v>0</v>
      </c>
      <c r="V31" s="71">
        <f t="shared" si="9"/>
        <v>0</v>
      </c>
      <c r="W31" s="71">
        <f t="shared" si="9"/>
        <v>0</v>
      </c>
      <c r="X31" s="71">
        <f t="shared" si="9"/>
        <v>0</v>
      </c>
      <c r="Y31" s="69">
        <f>SUM(C31:X31)</f>
        <v>0</v>
      </c>
    </row>
    <row r="32" spans="1:25" ht="14.85" customHeight="1" thickBot="1" x14ac:dyDescent="0.25">
      <c r="A32" s="44" t="s">
        <v>47</v>
      </c>
      <c r="B32" s="45"/>
      <c r="C32" s="82" t="str">
        <f t="shared" ref="C32:Y32" si="11">IF(ISERR(C31/C6)," ",C31/C6*1000000)</f>
        <v xml:space="preserve"> </v>
      </c>
      <c r="D32" s="72" t="str">
        <f t="shared" si="11"/>
        <v xml:space="preserve"> </v>
      </c>
      <c r="E32" s="72" t="str">
        <f t="shared" si="11"/>
        <v xml:space="preserve"> </v>
      </c>
      <c r="F32" s="72" t="str">
        <f t="shared" si="11"/>
        <v xml:space="preserve"> </v>
      </c>
      <c r="G32" s="72" t="str">
        <f t="shared" si="11"/>
        <v xml:space="preserve"> </v>
      </c>
      <c r="H32" s="72" t="str">
        <f t="shared" si="11"/>
        <v xml:space="preserve"> </v>
      </c>
      <c r="I32" s="72" t="str">
        <f t="shared" si="11"/>
        <v xml:space="preserve"> </v>
      </c>
      <c r="J32" s="72" t="str">
        <f t="shared" si="11"/>
        <v xml:space="preserve"> </v>
      </c>
      <c r="K32" s="72" t="str">
        <f t="shared" si="11"/>
        <v xml:space="preserve"> </v>
      </c>
      <c r="L32" s="72" t="str">
        <f t="shared" si="11"/>
        <v xml:space="preserve"> </v>
      </c>
      <c r="M32" s="72" t="str">
        <f t="shared" si="11"/>
        <v xml:space="preserve"> </v>
      </c>
      <c r="N32" s="72" t="str">
        <f t="shared" si="11"/>
        <v xml:space="preserve"> </v>
      </c>
      <c r="O32" s="72" t="str">
        <f t="shared" si="11"/>
        <v xml:space="preserve"> </v>
      </c>
      <c r="P32" s="72" t="str">
        <f t="shared" si="11"/>
        <v xml:space="preserve"> </v>
      </c>
      <c r="Q32" s="72" t="str">
        <f t="shared" si="11"/>
        <v xml:space="preserve"> </v>
      </c>
      <c r="R32" s="72" t="str">
        <f t="shared" si="11"/>
        <v xml:space="preserve"> </v>
      </c>
      <c r="S32" s="72" t="str">
        <f t="shared" si="11"/>
        <v xml:space="preserve"> </v>
      </c>
      <c r="T32" s="72" t="str">
        <f t="shared" si="11"/>
        <v xml:space="preserve"> </v>
      </c>
      <c r="U32" s="72" t="str">
        <f t="shared" ref="U32" si="12">IF(ISERR(U31/U6)," ",U31/U6*1000000)</f>
        <v xml:space="preserve"> </v>
      </c>
      <c r="V32" s="72" t="str">
        <f t="shared" si="11"/>
        <v xml:space="preserve"> </v>
      </c>
      <c r="W32" s="72" t="str">
        <f t="shared" si="11"/>
        <v xml:space="preserve"> </v>
      </c>
      <c r="X32" s="72" t="str">
        <f t="shared" si="11"/>
        <v xml:space="preserve"> </v>
      </c>
      <c r="Y32" s="73" t="str">
        <f t="shared" si="11"/>
        <v xml:space="preserve"> </v>
      </c>
    </row>
    <row r="33" spans="1:25" ht="7.5" customHeight="1" thickBot="1" x14ac:dyDescent="0.25">
      <c r="A33" s="46"/>
    </row>
    <row r="34" spans="1:25" ht="12.75" customHeight="1" x14ac:dyDescent="0.2">
      <c r="A34" s="47"/>
      <c r="B34" s="48"/>
      <c r="C34" s="117">
        <f t="shared" ref="C34:J34" si="13">C58</f>
        <v>0</v>
      </c>
      <c r="D34" s="104">
        <f>D58</f>
        <v>0</v>
      </c>
      <c r="E34" s="104">
        <f t="shared" ref="E34" si="14">E58</f>
        <v>0</v>
      </c>
      <c r="F34" s="104">
        <f t="shared" si="13"/>
        <v>0</v>
      </c>
      <c r="G34" s="104">
        <f t="shared" si="13"/>
        <v>0</v>
      </c>
      <c r="H34" s="104">
        <f>H58</f>
        <v>0</v>
      </c>
      <c r="I34" s="104">
        <f>I58</f>
        <v>0</v>
      </c>
      <c r="J34" s="117">
        <f t="shared" si="13"/>
        <v>0</v>
      </c>
      <c r="K34" s="111">
        <f>K58</f>
        <v>0</v>
      </c>
      <c r="L34" s="111">
        <f>L58</f>
        <v>0</v>
      </c>
      <c r="M34" s="111">
        <f>M58</f>
        <v>0</v>
      </c>
      <c r="N34" s="111">
        <f>N58</f>
        <v>0</v>
      </c>
      <c r="O34" s="117">
        <f t="shared" ref="O34:V34" si="15">O58</f>
        <v>0</v>
      </c>
      <c r="P34" s="117">
        <f t="shared" si="15"/>
        <v>0</v>
      </c>
      <c r="Q34" s="117">
        <f t="shared" si="15"/>
        <v>0</v>
      </c>
      <c r="R34" s="117">
        <f t="shared" si="15"/>
        <v>0</v>
      </c>
      <c r="S34" s="117">
        <f t="shared" si="15"/>
        <v>0</v>
      </c>
      <c r="T34" s="117">
        <f t="shared" si="15"/>
        <v>0</v>
      </c>
      <c r="U34" s="117">
        <f t="shared" si="15"/>
        <v>0</v>
      </c>
      <c r="V34" s="117">
        <f t="shared" si="15"/>
        <v>0</v>
      </c>
      <c r="W34" s="49"/>
      <c r="X34" s="117">
        <f>X58</f>
        <v>0</v>
      </c>
      <c r="Y34" s="50"/>
    </row>
    <row r="35" spans="1:25" ht="12.75" customHeight="1" x14ac:dyDescent="0.2">
      <c r="A35" s="115" t="s">
        <v>16</v>
      </c>
      <c r="C35" s="118"/>
      <c r="D35" s="105"/>
      <c r="E35" s="105"/>
      <c r="F35" s="105"/>
      <c r="G35" s="105"/>
      <c r="H35" s="105"/>
      <c r="I35" s="105"/>
      <c r="J35" s="118"/>
      <c r="K35" s="112"/>
      <c r="L35" s="112"/>
      <c r="M35" s="112"/>
      <c r="N35" s="112"/>
      <c r="O35" s="118"/>
      <c r="P35" s="118"/>
      <c r="Q35" s="118"/>
      <c r="R35" s="118"/>
      <c r="S35" s="118"/>
      <c r="T35" s="118"/>
      <c r="U35" s="118"/>
      <c r="V35" s="118"/>
      <c r="W35" s="51"/>
      <c r="X35" s="118"/>
      <c r="Y35" s="35"/>
    </row>
    <row r="36" spans="1:25" ht="12.75" customHeight="1" x14ac:dyDescent="0.2">
      <c r="A36" s="115"/>
      <c r="C36" s="118"/>
      <c r="D36" s="105"/>
      <c r="E36" s="105"/>
      <c r="F36" s="105"/>
      <c r="G36" s="105"/>
      <c r="H36" s="105"/>
      <c r="I36" s="105"/>
      <c r="J36" s="118"/>
      <c r="K36" s="112"/>
      <c r="L36" s="112"/>
      <c r="M36" s="112"/>
      <c r="N36" s="112"/>
      <c r="O36" s="118"/>
      <c r="P36" s="118"/>
      <c r="Q36" s="118"/>
      <c r="R36" s="118"/>
      <c r="S36" s="118"/>
      <c r="T36" s="118"/>
      <c r="U36" s="118"/>
      <c r="V36" s="118"/>
      <c r="W36" s="51"/>
      <c r="X36" s="118"/>
      <c r="Y36" s="35"/>
    </row>
    <row r="37" spans="1:25" ht="12.75" customHeight="1" x14ac:dyDescent="0.2">
      <c r="A37" s="115"/>
      <c r="C37" s="118"/>
      <c r="D37" s="105"/>
      <c r="E37" s="105"/>
      <c r="F37" s="105"/>
      <c r="G37" s="105"/>
      <c r="H37" s="105"/>
      <c r="I37" s="105"/>
      <c r="J37" s="118"/>
      <c r="K37" s="112"/>
      <c r="L37" s="112"/>
      <c r="M37" s="112"/>
      <c r="N37" s="112"/>
      <c r="O37" s="118"/>
      <c r="P37" s="118"/>
      <c r="Q37" s="118"/>
      <c r="R37" s="118"/>
      <c r="S37" s="118"/>
      <c r="T37" s="118"/>
      <c r="U37" s="118"/>
      <c r="V37" s="118"/>
      <c r="W37" s="51"/>
      <c r="X37" s="118"/>
      <c r="Y37" s="35"/>
    </row>
    <row r="38" spans="1:25" ht="12.75" customHeight="1" x14ac:dyDescent="0.2">
      <c r="A38" s="115"/>
      <c r="C38" s="118"/>
      <c r="D38" s="105"/>
      <c r="E38" s="105"/>
      <c r="F38" s="105"/>
      <c r="G38" s="105"/>
      <c r="H38" s="105"/>
      <c r="I38" s="105"/>
      <c r="J38" s="118"/>
      <c r="K38" s="112"/>
      <c r="L38" s="112"/>
      <c r="M38" s="112"/>
      <c r="N38" s="112"/>
      <c r="O38" s="118"/>
      <c r="P38" s="118"/>
      <c r="Q38" s="118"/>
      <c r="R38" s="118"/>
      <c r="S38" s="118"/>
      <c r="T38" s="118"/>
      <c r="U38" s="118"/>
      <c r="V38" s="118"/>
      <c r="W38" s="51"/>
      <c r="X38" s="118"/>
      <c r="Y38" s="35"/>
    </row>
    <row r="39" spans="1:25" ht="12.75" customHeight="1" x14ac:dyDescent="0.2">
      <c r="A39" s="115"/>
      <c r="C39" s="118"/>
      <c r="D39" s="105"/>
      <c r="E39" s="105"/>
      <c r="F39" s="105"/>
      <c r="G39" s="105"/>
      <c r="H39" s="105"/>
      <c r="I39" s="105"/>
      <c r="J39" s="118"/>
      <c r="K39" s="112"/>
      <c r="L39" s="112"/>
      <c r="M39" s="112"/>
      <c r="N39" s="112"/>
      <c r="O39" s="118"/>
      <c r="P39" s="118"/>
      <c r="Q39" s="118"/>
      <c r="R39" s="118"/>
      <c r="S39" s="118"/>
      <c r="T39" s="118"/>
      <c r="U39" s="118"/>
      <c r="V39" s="118"/>
      <c r="W39" s="51"/>
      <c r="X39" s="118"/>
      <c r="Y39" s="35"/>
    </row>
    <row r="40" spans="1:25" ht="12.75" customHeight="1" x14ac:dyDescent="0.2">
      <c r="A40" s="115"/>
      <c r="C40" s="118"/>
      <c r="D40" s="105"/>
      <c r="E40" s="105"/>
      <c r="F40" s="105"/>
      <c r="G40" s="105"/>
      <c r="H40" s="105"/>
      <c r="I40" s="105"/>
      <c r="J40" s="118"/>
      <c r="K40" s="112"/>
      <c r="L40" s="112"/>
      <c r="M40" s="112"/>
      <c r="N40" s="112"/>
      <c r="O40" s="118"/>
      <c r="P40" s="118"/>
      <c r="Q40" s="118"/>
      <c r="R40" s="118"/>
      <c r="S40" s="118"/>
      <c r="T40" s="118"/>
      <c r="U40" s="118"/>
      <c r="V40" s="118"/>
      <c r="W40" s="51"/>
      <c r="X40" s="118"/>
      <c r="Y40" s="35"/>
    </row>
    <row r="41" spans="1:25" ht="12.75" customHeight="1" x14ac:dyDescent="0.2">
      <c r="A41" s="115"/>
      <c r="C41" s="118"/>
      <c r="D41" s="105"/>
      <c r="E41" s="105"/>
      <c r="F41" s="105"/>
      <c r="G41" s="105"/>
      <c r="H41" s="105"/>
      <c r="I41" s="105"/>
      <c r="J41" s="118"/>
      <c r="K41" s="112"/>
      <c r="L41" s="112"/>
      <c r="M41" s="112"/>
      <c r="N41" s="112"/>
      <c r="O41" s="118"/>
      <c r="P41" s="118"/>
      <c r="Q41" s="118"/>
      <c r="R41" s="118"/>
      <c r="S41" s="118"/>
      <c r="T41" s="118"/>
      <c r="U41" s="118"/>
      <c r="V41" s="118"/>
      <c r="W41" s="51"/>
      <c r="X41" s="118"/>
      <c r="Y41" s="35"/>
    </row>
    <row r="42" spans="1:25" ht="12.75" customHeight="1" thickBot="1" x14ac:dyDescent="0.25">
      <c r="A42" s="115"/>
      <c r="C42" s="119"/>
      <c r="D42" s="106"/>
      <c r="E42" s="106"/>
      <c r="F42" s="106"/>
      <c r="G42" s="106"/>
      <c r="H42" s="106"/>
      <c r="I42" s="106"/>
      <c r="J42" s="119"/>
      <c r="K42" s="113"/>
      <c r="L42" s="113"/>
      <c r="M42" s="113"/>
      <c r="N42" s="113"/>
      <c r="O42" s="119"/>
      <c r="P42" s="119"/>
      <c r="Q42" s="119"/>
      <c r="R42" s="119"/>
      <c r="S42" s="119"/>
      <c r="T42" s="119"/>
      <c r="U42" s="119"/>
      <c r="V42" s="119"/>
      <c r="W42" s="52"/>
      <c r="X42" s="119"/>
      <c r="Y42" s="36"/>
    </row>
    <row r="43" spans="1:25" ht="12.75" customHeight="1" x14ac:dyDescent="0.2">
      <c r="A43" s="37" t="s">
        <v>17</v>
      </c>
      <c r="B43" s="26"/>
      <c r="C43" s="4"/>
      <c r="D43" s="4"/>
      <c r="E43" s="4"/>
      <c r="F43" s="4"/>
      <c r="G43" s="4"/>
      <c r="H43" s="4"/>
      <c r="I43" s="16"/>
      <c r="J43" s="4"/>
      <c r="K43" s="4"/>
      <c r="L43" s="4"/>
      <c r="M43" s="4"/>
      <c r="N43" s="4"/>
      <c r="O43" s="16"/>
      <c r="P43" s="16"/>
      <c r="Q43" s="4"/>
      <c r="R43" s="13"/>
      <c r="S43" s="4"/>
      <c r="T43" s="4"/>
      <c r="U43" s="13"/>
      <c r="V43" s="4"/>
      <c r="W43" s="4"/>
      <c r="X43" s="4"/>
      <c r="Y43" s="68">
        <f>SUM(C43:X43)</f>
        <v>0</v>
      </c>
    </row>
    <row r="44" spans="1:25" ht="12.75" customHeight="1" x14ac:dyDescent="0.2">
      <c r="A44" s="53" t="s">
        <v>18</v>
      </c>
      <c r="B44" s="54"/>
      <c r="C44" s="5"/>
      <c r="D44" s="5"/>
      <c r="E44" s="5"/>
      <c r="F44" s="5"/>
      <c r="G44" s="5"/>
      <c r="H44" s="5"/>
      <c r="I44" s="17"/>
      <c r="J44" s="5"/>
      <c r="K44" s="5"/>
      <c r="L44" s="5"/>
      <c r="M44" s="5"/>
      <c r="N44" s="5"/>
      <c r="O44" s="17"/>
      <c r="P44" s="17"/>
      <c r="Q44" s="5"/>
      <c r="R44" s="10"/>
      <c r="S44" s="5"/>
      <c r="T44" s="5"/>
      <c r="U44" s="10"/>
      <c r="V44" s="5"/>
      <c r="W44" s="5"/>
      <c r="X44" s="5"/>
      <c r="Y44" s="30">
        <f>SUM(C44:X44)</f>
        <v>0</v>
      </c>
    </row>
    <row r="45" spans="1:25" ht="12.75" customHeight="1" x14ac:dyDescent="0.2">
      <c r="A45" s="53" t="s">
        <v>19</v>
      </c>
      <c r="B45" s="54"/>
      <c r="C45" s="1">
        <f t="shared" ref="C45:X45" si="16">SUM(C43:C44)</f>
        <v>0</v>
      </c>
      <c r="D45" s="1">
        <f t="shared" si="16"/>
        <v>0</v>
      </c>
      <c r="E45" s="1">
        <f t="shared" si="16"/>
        <v>0</v>
      </c>
      <c r="F45" s="1">
        <f t="shared" si="16"/>
        <v>0</v>
      </c>
      <c r="G45" s="1">
        <f t="shared" si="16"/>
        <v>0</v>
      </c>
      <c r="H45" s="1">
        <f t="shared" si="16"/>
        <v>0</v>
      </c>
      <c r="I45" s="1">
        <f t="shared" si="16"/>
        <v>0</v>
      </c>
      <c r="J45" s="1">
        <f t="shared" si="16"/>
        <v>0</v>
      </c>
      <c r="K45" s="1">
        <f>K43+K44</f>
        <v>0</v>
      </c>
      <c r="L45" s="1">
        <f>L43+L44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6"/>
        <v>0</v>
      </c>
      <c r="T45" s="1">
        <f t="shared" si="16"/>
        <v>0</v>
      </c>
      <c r="U45" s="1">
        <f t="shared" si="16"/>
        <v>0</v>
      </c>
      <c r="V45" s="1">
        <f t="shared" si="16"/>
        <v>0</v>
      </c>
      <c r="W45" s="1">
        <f t="shared" si="16"/>
        <v>0</v>
      </c>
      <c r="X45" s="1">
        <f t="shared" si="16"/>
        <v>0</v>
      </c>
      <c r="Y45" s="30">
        <f>SUM(C45:X45)</f>
        <v>0</v>
      </c>
    </row>
    <row r="46" spans="1:25" ht="12.75" customHeight="1" thickBot="1" x14ac:dyDescent="0.25">
      <c r="A46" s="84" t="s">
        <v>47</v>
      </c>
      <c r="B46" s="85"/>
      <c r="C46" s="86" t="str">
        <f>IF(ISERR(C45/C6),"",C45/C6*1000000)</f>
        <v/>
      </c>
      <c r="D46" s="86" t="str">
        <f t="shared" ref="D46:X46" si="17">IF(ISERR(D45/D6),"",D45/D6*1000000)</f>
        <v/>
      </c>
      <c r="E46" s="86" t="str">
        <f t="shared" si="17"/>
        <v/>
      </c>
      <c r="F46" s="86" t="str">
        <f t="shared" si="17"/>
        <v/>
      </c>
      <c r="G46" s="86" t="str">
        <f t="shared" si="17"/>
        <v/>
      </c>
      <c r="H46" s="86" t="str">
        <f t="shared" si="17"/>
        <v/>
      </c>
      <c r="I46" s="86" t="str">
        <f t="shared" si="17"/>
        <v/>
      </c>
      <c r="J46" s="86" t="str">
        <f t="shared" si="17"/>
        <v/>
      </c>
      <c r="K46" s="86" t="str">
        <f t="shared" si="17"/>
        <v/>
      </c>
      <c r="L46" s="86" t="str">
        <f t="shared" si="17"/>
        <v/>
      </c>
      <c r="M46" s="86" t="str">
        <f t="shared" si="17"/>
        <v/>
      </c>
      <c r="N46" s="86" t="str">
        <f t="shared" si="17"/>
        <v/>
      </c>
      <c r="O46" s="86" t="str">
        <f t="shared" si="17"/>
        <v/>
      </c>
      <c r="P46" s="86" t="str">
        <f t="shared" si="17"/>
        <v/>
      </c>
      <c r="Q46" s="86" t="str">
        <f t="shared" si="17"/>
        <v/>
      </c>
      <c r="R46" s="86" t="str">
        <f t="shared" si="17"/>
        <v/>
      </c>
      <c r="S46" s="86" t="str">
        <f t="shared" si="17"/>
        <v/>
      </c>
      <c r="T46" s="86" t="str">
        <f t="shared" si="17"/>
        <v/>
      </c>
      <c r="U46" s="86" t="str">
        <f t="shared" si="17"/>
        <v/>
      </c>
      <c r="V46" s="86" t="str">
        <f t="shared" si="17"/>
        <v/>
      </c>
      <c r="W46" s="86" t="str">
        <f t="shared" si="17"/>
        <v/>
      </c>
      <c r="X46" s="86" t="str">
        <f t="shared" si="17"/>
        <v/>
      </c>
      <c r="Y46" s="87" t="str">
        <f t="shared" ref="Y46" si="18">IF(ISERR(Y45/Y6),"",Y45/Y6*1000000)</f>
        <v/>
      </c>
    </row>
    <row r="47" spans="1:25" ht="12.75" customHeight="1" x14ac:dyDescent="0.2">
      <c r="A47" s="107" t="s">
        <v>58</v>
      </c>
      <c r="B47" s="108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2"/>
    </row>
    <row r="48" spans="1:25" ht="12.75" customHeight="1" thickBot="1" x14ac:dyDescent="0.25">
      <c r="A48" s="109" t="s">
        <v>57</v>
      </c>
      <c r="B48" s="110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3"/>
    </row>
    <row r="49" spans="1:27" ht="12.75" customHeight="1" x14ac:dyDescent="0.2">
      <c r="A49" s="88" t="s">
        <v>44</v>
      </c>
      <c r="C49" s="89"/>
      <c r="D49" s="89"/>
      <c r="E49" s="89"/>
      <c r="F49" s="89"/>
      <c r="G49" s="89"/>
      <c r="H49" s="89"/>
      <c r="I49" s="88" t="s">
        <v>45</v>
      </c>
      <c r="J49" s="89"/>
      <c r="K49" s="89"/>
      <c r="L49" s="89"/>
      <c r="M49" s="89"/>
      <c r="N49" s="89"/>
      <c r="O49" s="89"/>
      <c r="P49" s="89"/>
      <c r="Q49" s="90"/>
      <c r="R49" s="89"/>
      <c r="S49" s="89"/>
      <c r="T49" s="89"/>
      <c r="U49" s="89"/>
      <c r="V49" s="89"/>
      <c r="W49" s="89"/>
      <c r="X49" s="89"/>
      <c r="Y49" s="90"/>
    </row>
    <row r="50" spans="1:27" ht="12.75" customHeight="1" thickBot="1" x14ac:dyDescent="0.25">
      <c r="A50" s="55" t="s">
        <v>43</v>
      </c>
      <c r="B50" s="45"/>
      <c r="C50" s="56"/>
      <c r="D50" s="56"/>
      <c r="E50" s="56"/>
      <c r="F50" s="56"/>
      <c r="G50" s="56"/>
      <c r="H50" s="56"/>
      <c r="I50" s="55" t="s">
        <v>43</v>
      </c>
      <c r="J50" s="56"/>
      <c r="K50" s="56"/>
      <c r="L50" s="56"/>
      <c r="M50" s="56"/>
      <c r="N50" s="56"/>
      <c r="O50" s="56"/>
      <c r="P50" s="56"/>
      <c r="Q50" s="57"/>
      <c r="R50" s="56"/>
      <c r="S50" s="56"/>
      <c r="T50" s="56"/>
      <c r="U50" s="56"/>
      <c r="V50" s="56"/>
      <c r="W50" s="56"/>
      <c r="X50" s="56"/>
      <c r="Y50" s="57"/>
    </row>
    <row r="51" spans="1:27" x14ac:dyDescent="0.2">
      <c r="A51" s="58" t="s">
        <v>20</v>
      </c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</row>
    <row r="53" spans="1:27" x14ac:dyDescent="0.2">
      <c r="A53" t="s">
        <v>21</v>
      </c>
      <c r="C53" s="60">
        <f>'[3]SJCPIL 16-006-08'!$Y$4</f>
        <v>800</v>
      </c>
    </row>
    <row r="54" spans="1:27" x14ac:dyDescent="0.2">
      <c r="A54" t="s">
        <v>22</v>
      </c>
      <c r="C54" s="60">
        <f>'[3]SJCPIL 16-006-08'!$Y$9</f>
        <v>1800</v>
      </c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</row>
    <row r="56" spans="1:27" x14ac:dyDescent="0.2">
      <c r="A56" s="1" t="s">
        <v>28</v>
      </c>
      <c r="B56" s="1"/>
      <c r="C56" s="99">
        <f>C2</f>
        <v>0</v>
      </c>
      <c r="D56" s="99">
        <f t="shared" ref="D56:X56" si="19">D2</f>
        <v>0</v>
      </c>
      <c r="E56" s="99">
        <f t="shared" si="19"/>
        <v>0</v>
      </c>
      <c r="F56" s="99">
        <f t="shared" si="19"/>
        <v>0</v>
      </c>
      <c r="G56" s="99">
        <f t="shared" si="19"/>
        <v>0</v>
      </c>
      <c r="H56" s="99">
        <f t="shared" si="19"/>
        <v>0</v>
      </c>
      <c r="I56" s="99">
        <f t="shared" si="19"/>
        <v>0</v>
      </c>
      <c r="J56" s="99">
        <f t="shared" si="19"/>
        <v>0</v>
      </c>
      <c r="K56" s="99">
        <f t="shared" si="19"/>
        <v>0</v>
      </c>
      <c r="L56" s="99">
        <f t="shared" si="19"/>
        <v>0</v>
      </c>
      <c r="M56" s="99">
        <f t="shared" si="19"/>
        <v>0</v>
      </c>
      <c r="N56" s="99">
        <f t="shared" si="19"/>
        <v>0</v>
      </c>
      <c r="O56" s="99">
        <f t="shared" si="19"/>
        <v>0</v>
      </c>
      <c r="P56" s="99">
        <f t="shared" si="19"/>
        <v>0</v>
      </c>
      <c r="Q56" s="99">
        <f t="shared" si="19"/>
        <v>0</v>
      </c>
      <c r="R56" s="99">
        <f t="shared" si="19"/>
        <v>0</v>
      </c>
      <c r="S56" s="99">
        <f t="shared" si="19"/>
        <v>0</v>
      </c>
      <c r="T56" s="99">
        <f t="shared" si="19"/>
        <v>0</v>
      </c>
      <c r="U56" s="99">
        <f t="shared" si="19"/>
        <v>0</v>
      </c>
      <c r="V56" s="99">
        <f t="shared" si="19"/>
        <v>0</v>
      </c>
      <c r="W56" s="99">
        <f t="shared" si="19"/>
        <v>0</v>
      </c>
      <c r="X56" s="99">
        <f t="shared" si="19"/>
        <v>0</v>
      </c>
    </row>
    <row r="57" spans="1:27" ht="126.75" customHeight="1" x14ac:dyDescent="0.2">
      <c r="A57" s="61" t="s">
        <v>29</v>
      </c>
      <c r="B57" s="61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Q57" s="63"/>
      <c r="R57" s="63"/>
      <c r="S57" s="63"/>
      <c r="T57" s="63"/>
      <c r="U57" s="64"/>
      <c r="V57" s="64"/>
      <c r="W57" s="64"/>
      <c r="X57" s="64"/>
    </row>
    <row r="58" spans="1:27" ht="134.25" customHeight="1" x14ac:dyDescent="0.2">
      <c r="A58" s="61" t="s">
        <v>30</v>
      </c>
      <c r="B58" s="61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4"/>
      <c r="T58" s="64"/>
      <c r="U58" s="64"/>
      <c r="V58" s="64"/>
      <c r="W58" s="64"/>
      <c r="X58" s="65"/>
    </row>
    <row r="60" spans="1:27" x14ac:dyDescent="0.2">
      <c r="C60">
        <f>C4-C5</f>
        <v>0</v>
      </c>
      <c r="D60">
        <f t="shared" ref="D60:X60" si="20">D4-D5</f>
        <v>0</v>
      </c>
      <c r="E60">
        <f t="shared" si="20"/>
        <v>0</v>
      </c>
      <c r="F60">
        <f t="shared" si="20"/>
        <v>0</v>
      </c>
      <c r="G60">
        <f t="shared" si="20"/>
        <v>0</v>
      </c>
      <c r="H60">
        <f t="shared" si="20"/>
        <v>0</v>
      </c>
      <c r="I60">
        <f t="shared" si="20"/>
        <v>0</v>
      </c>
      <c r="J60">
        <f t="shared" si="20"/>
        <v>0</v>
      </c>
      <c r="K60">
        <f t="shared" si="20"/>
        <v>0</v>
      </c>
      <c r="L60">
        <f t="shared" si="20"/>
        <v>0</v>
      </c>
      <c r="M60">
        <f t="shared" si="20"/>
        <v>0</v>
      </c>
      <c r="N60">
        <f t="shared" si="20"/>
        <v>0</v>
      </c>
      <c r="O60">
        <f t="shared" si="20"/>
        <v>0</v>
      </c>
      <c r="P60">
        <f t="shared" si="20"/>
        <v>0</v>
      </c>
      <c r="Q60">
        <f t="shared" si="20"/>
        <v>0</v>
      </c>
      <c r="R60">
        <f t="shared" si="20"/>
        <v>0</v>
      </c>
      <c r="S60">
        <f t="shared" si="20"/>
        <v>0</v>
      </c>
      <c r="T60">
        <f t="shared" si="20"/>
        <v>0</v>
      </c>
      <c r="U60">
        <f t="shared" si="20"/>
        <v>0</v>
      </c>
      <c r="V60">
        <f t="shared" si="20"/>
        <v>0</v>
      </c>
      <c r="W60">
        <f t="shared" si="20"/>
        <v>0</v>
      </c>
      <c r="X60">
        <f t="shared" si="20"/>
        <v>0</v>
      </c>
    </row>
    <row r="61" spans="1:27" x14ac:dyDescent="0.2">
      <c r="C61">
        <f>C5-C6</f>
        <v>0</v>
      </c>
      <c r="D61">
        <f t="shared" ref="D61:X61" si="21">D5-D6</f>
        <v>0</v>
      </c>
      <c r="E61">
        <f t="shared" si="21"/>
        <v>0</v>
      </c>
      <c r="F61">
        <f t="shared" si="21"/>
        <v>0</v>
      </c>
      <c r="G61">
        <f t="shared" si="21"/>
        <v>0</v>
      </c>
      <c r="H61">
        <f t="shared" si="21"/>
        <v>0</v>
      </c>
      <c r="I61">
        <f t="shared" si="21"/>
        <v>0</v>
      </c>
      <c r="J61">
        <f t="shared" si="21"/>
        <v>0</v>
      </c>
      <c r="K61">
        <f t="shared" si="21"/>
        <v>0</v>
      </c>
      <c r="L61">
        <f t="shared" si="21"/>
        <v>0</v>
      </c>
      <c r="M61">
        <f t="shared" si="21"/>
        <v>0</v>
      </c>
      <c r="N61">
        <f t="shared" si="21"/>
        <v>0</v>
      </c>
      <c r="O61">
        <f t="shared" si="21"/>
        <v>0</v>
      </c>
      <c r="P61">
        <f t="shared" si="21"/>
        <v>0</v>
      </c>
      <c r="Q61">
        <f t="shared" si="21"/>
        <v>0</v>
      </c>
      <c r="R61">
        <f t="shared" si="21"/>
        <v>0</v>
      </c>
      <c r="S61">
        <f t="shared" si="21"/>
        <v>0</v>
      </c>
      <c r="T61">
        <f t="shared" si="21"/>
        <v>0</v>
      </c>
      <c r="U61">
        <f t="shared" si="21"/>
        <v>0</v>
      </c>
      <c r="V61">
        <f t="shared" si="21"/>
        <v>0</v>
      </c>
      <c r="W61">
        <f t="shared" si="21"/>
        <v>0</v>
      </c>
      <c r="X61">
        <f t="shared" si="21"/>
        <v>0</v>
      </c>
    </row>
    <row r="64" spans="1:27" x14ac:dyDescent="0.2">
      <c r="A64" s="95" t="s">
        <v>62</v>
      </c>
      <c r="C64" s="96">
        <f>'[2]SJCPIL-R 15-102 - DIA'!C$5</f>
        <v>118023</v>
      </c>
      <c r="D64" s="96">
        <f>'[2]SJCPIL-R 15-102 - DIA'!D$5</f>
        <v>165570</v>
      </c>
      <c r="E64" s="96">
        <f>'[2]SJCPIL-R 15-102 - DIA'!E$5</f>
        <v>212495</v>
      </c>
      <c r="F64" s="96">
        <f>'[2]SJCPIL-R 15-102 - DIA'!F$5</f>
        <v>0</v>
      </c>
      <c r="G64" s="96">
        <f>'[2]SJCPIL-R 15-102 - DIA'!G$5</f>
        <v>0</v>
      </c>
      <c r="H64" s="96">
        <f>'[2]SJCPIL-R 15-102 - DIA'!H$5</f>
        <v>0</v>
      </c>
      <c r="I64" s="96">
        <f>'[2]SJCPIL-R 15-102 - DIA'!I$5</f>
        <v>0</v>
      </c>
      <c r="J64" s="96">
        <f>'[2]SJCPIL-R 15-102 - DIA'!J$5</f>
        <v>0</v>
      </c>
      <c r="K64" s="96">
        <f>'[2]SJCPIL-R 15-102 - DIA'!K$5</f>
        <v>0</v>
      </c>
      <c r="L64" s="96">
        <f>'[2]SJCPIL-R 15-102 - DIA'!L$5</f>
        <v>0</v>
      </c>
      <c r="M64" s="96">
        <f>'[2]SJCPIL-R 15-102 - DIA'!M$5</f>
        <v>0</v>
      </c>
      <c r="N64" s="96">
        <f>'[2]SJCPIL-R 15-102 - DIA'!N$5</f>
        <v>0</v>
      </c>
      <c r="O64" s="96">
        <f>'[2]SJCPIL-R 15-102 - DIA'!O$5</f>
        <v>0</v>
      </c>
      <c r="P64" s="96">
        <f>'[2]SJCPIL-R 15-102 - DIA'!P$5</f>
        <v>0</v>
      </c>
      <c r="Q64" s="96">
        <f>'[2]SJCPIL-R 15-102 - DIA'!Q$5</f>
        <v>0</v>
      </c>
      <c r="R64" s="96">
        <f>'[2]SJCPIL-R 15-102 - DIA'!R$5</f>
        <v>0</v>
      </c>
      <c r="S64" s="96">
        <f>'[2]SJCPIL-R 15-102 - DIA'!S$5</f>
        <v>0</v>
      </c>
      <c r="T64" s="96">
        <f>'[2]SJCPIL-R 15-102 - DIA'!T$5</f>
        <v>0</v>
      </c>
      <c r="U64" s="96">
        <f>'[2]SJCPIL-R 15-102 - DIA'!U$5</f>
        <v>0</v>
      </c>
      <c r="V64" s="96">
        <f>'[2]SJCPIL-R 15-102 - DIA'!V$5</f>
        <v>0</v>
      </c>
      <c r="W64" s="96">
        <f>'[2]SJCPIL-R 15-102 - DIA'!W$5</f>
        <v>0</v>
      </c>
      <c r="X64" s="96">
        <f>'[2]SJCPIL-R 15-102 - DIA'!X$5</f>
        <v>0</v>
      </c>
      <c r="Y64" s="96">
        <f>'[2]SJCPIL-R 15-102 - DIA'!Y$5</f>
        <v>496088</v>
      </c>
      <c r="AA64" s="96">
        <f>'[4]SJCPIL-R 15-102 - DIA'!Z$5</f>
        <v>0</v>
      </c>
    </row>
    <row r="65" spans="1:25" x14ac:dyDescent="0.2">
      <c r="A65" s="95" t="s">
        <v>61</v>
      </c>
      <c r="C65" s="96">
        <f t="array" ref="C65">SUM(IF(('[5]UM-1 - Dia'!$D$3:$AR$3)=C2,'[5]UM-1 - Dia'!$D$7:$AR$7))</f>
        <v>0</v>
      </c>
      <c r="D65" s="96">
        <f t="array" ref="D65">SUM(IF(('[5]UM-1 - Dia'!$D$3:$AR$3)=D2,'[5]UM-1 - Dia'!$D$7:$AR$7))</f>
        <v>0</v>
      </c>
      <c r="E65" s="96">
        <f t="array" ref="E65">SUM(IF(('[5]UM-1 - Dia'!$D$3:$AR$3)=E2,'[5]UM-1 - Dia'!$D$7:$AR$7))</f>
        <v>0</v>
      </c>
      <c r="F65" s="96">
        <f t="array" ref="F65">SUM(IF(('[5]UM-1 - Dia'!$D$3:$AR$3)=F2,'[5]UM-1 - Dia'!$D$7:$AR$7))</f>
        <v>0</v>
      </c>
      <c r="G65" s="96">
        <f t="array" ref="G65">SUM(IF(('[5]UM-1 - Dia'!$D$3:$AR$3)=G2,'[5]UM-1 - Dia'!$D$7:$AR$7))</f>
        <v>0</v>
      </c>
      <c r="H65" s="96">
        <f t="array" ref="H65">SUM(IF(('[5]UM-1 - Dia'!$D$3:$AR$3)=H2,'[5]UM-1 - Dia'!$D$7:$AR$7))</f>
        <v>0</v>
      </c>
      <c r="I65" s="96">
        <f t="array" ref="I65">SUM(IF(('[5]UM-1 - Dia'!$D$3:$AR$3)=I2,'[5]UM-1 - Dia'!$D$7:$AR$7))</f>
        <v>0</v>
      </c>
      <c r="J65" s="96">
        <f t="array" ref="J65">SUM(IF(('[5]UM-1 - Dia'!$D$3:$AR$3)=J2,'[5]UM-1 - Dia'!$D$7:$AR$7))</f>
        <v>0</v>
      </c>
      <c r="K65" s="96">
        <f t="array" ref="K65">SUM(IF(('[5]UM-1 - Dia'!$D$3:$AR$3)=K2,'[5]UM-1 - Dia'!$D$7:$AR$7))</f>
        <v>0</v>
      </c>
      <c r="L65" s="96">
        <f t="array" ref="L65">SUM(IF(('[5]UM-1 - Dia'!$D$3:$AR$3)=L2,'[5]UM-1 - Dia'!$D$7:$AR$7))</f>
        <v>0</v>
      </c>
      <c r="M65" s="96">
        <f t="array" ref="M65">SUM(IF(('[5]UM-1 - Dia'!$D$3:$AR$3)=M2,'[5]UM-1 - Dia'!$D$7:$AR$7))</f>
        <v>0</v>
      </c>
      <c r="N65" s="96">
        <f t="array" ref="N65">SUM(IF(('[5]UM-1 - Dia'!$D$3:$AR$3)=N2,'[5]UM-1 - Dia'!$D$7:$AR$7))</f>
        <v>0</v>
      </c>
      <c r="O65" s="96">
        <f t="array" ref="O65">SUM(IF(('[5]UM-1 - Dia'!$D$3:$AR$3)=O2,'[5]UM-1 - Dia'!$D$7:$AR$7))</f>
        <v>0</v>
      </c>
      <c r="P65" s="96">
        <f t="array" ref="P65">SUM(IF(('[5]UM-1 - Dia'!$D$3:$AR$3)=P2,'[5]UM-1 - Dia'!$D$7:$AR$7))</f>
        <v>0</v>
      </c>
      <c r="Q65" s="96">
        <f t="array" ref="Q65">SUM(IF(('[5]UM-1 - Dia'!$D$3:$AR$3)=Q2,'[5]UM-1 - Dia'!$D$7:$AR$7))</f>
        <v>0</v>
      </c>
      <c r="R65" s="96">
        <f t="array" ref="R65">SUM(IF(('[5]UM-1 - Dia'!$D$3:$AR$3)=R2,'[5]UM-1 - Dia'!$D$7:$AR$7))</f>
        <v>0</v>
      </c>
      <c r="S65" s="96">
        <f t="array" ref="S65">SUM(IF(('[5]UM-1 - Dia'!$D$3:$AR$3)=S2,'[5]UM-1 - Dia'!$D$7:$AR$7))</f>
        <v>0</v>
      </c>
      <c r="T65" s="96">
        <f t="array" ref="T65">SUM(IF(('[5]UM-1 - Dia'!$D$3:$AR$3)=T2,'[5]UM-1 - Dia'!$D$7:$AR$7))</f>
        <v>0</v>
      </c>
      <c r="U65" s="96">
        <f t="array" ref="U65">SUM(IF(('[5]UM-1 - Dia'!$D$3:$AR$3)=U2,'[5]UM-1 - Dia'!$D$7:$AR$7))</f>
        <v>0</v>
      </c>
      <c r="V65" s="96">
        <f t="array" ref="V65">SUM(IF(('[5]UM-1 - Dia'!$D$3:$AR$3)=V2,'[5]UM-1 - Dia'!$D$7:$AR$7))</f>
        <v>0</v>
      </c>
      <c r="W65" s="96">
        <f t="array" ref="W65">SUM(IF(('[5]UM-1 - Dia'!$D$3:$AR$3)=W2,'[5]UM-1 - Dia'!$D$7:$AR$7))</f>
        <v>0</v>
      </c>
      <c r="X65" s="96">
        <f t="array" ref="X65">SUM(IF(('[5]UM-1 - Dia'!$D$3:$AR$3)=X2,'[5]UM-1 - Dia'!$D$7:$AR$7))</f>
        <v>0</v>
      </c>
      <c r="Y65" s="96">
        <f>SUM(C65:X65)</f>
        <v>0</v>
      </c>
    </row>
  </sheetData>
  <sheetProtection selectLockedCells="1"/>
  <mergeCells count="49">
    <mergeCell ref="Q7:Q15"/>
    <mergeCell ref="F34:F42"/>
    <mergeCell ref="J34:J42"/>
    <mergeCell ref="N7:N15"/>
    <mergeCell ref="J7:J15"/>
    <mergeCell ref="I7:I15"/>
    <mergeCell ref="X34:X42"/>
    <mergeCell ref="T34:T42"/>
    <mergeCell ref="U34:U42"/>
    <mergeCell ref="G34:G42"/>
    <mergeCell ref="I34:I42"/>
    <mergeCell ref="H34:H42"/>
    <mergeCell ref="R34:R42"/>
    <mergeCell ref="O34:O42"/>
    <mergeCell ref="P34:P42"/>
    <mergeCell ref="Q34:Q42"/>
    <mergeCell ref="V34:V42"/>
    <mergeCell ref="S7:S15"/>
    <mergeCell ref="A35:A42"/>
    <mergeCell ref="A8:A15"/>
    <mergeCell ref="K7:K15"/>
    <mergeCell ref="S34:S42"/>
    <mergeCell ref="D7:D15"/>
    <mergeCell ref="E7:E15"/>
    <mergeCell ref="F7:F15"/>
    <mergeCell ref="H7:H15"/>
    <mergeCell ref="L7:L15"/>
    <mergeCell ref="M7:M15"/>
    <mergeCell ref="C7:C15"/>
    <mergeCell ref="R7:R15"/>
    <mergeCell ref="C34:C42"/>
    <mergeCell ref="D34:D42"/>
    <mergeCell ref="P7:P15"/>
    <mergeCell ref="V1:W1"/>
    <mergeCell ref="X1:Y1"/>
    <mergeCell ref="E34:E42"/>
    <mergeCell ref="A47:B47"/>
    <mergeCell ref="A48:B48"/>
    <mergeCell ref="N34:N42"/>
    <mergeCell ref="K34:K42"/>
    <mergeCell ref="L34:L42"/>
    <mergeCell ref="M34:M42"/>
    <mergeCell ref="W7:W15"/>
    <mergeCell ref="V7:V15"/>
    <mergeCell ref="U7:U15"/>
    <mergeCell ref="X7:X15"/>
    <mergeCell ref="T7:T15"/>
    <mergeCell ref="O7:O15"/>
    <mergeCell ref="G7:G15"/>
  </mergeCells>
  <phoneticPr fontId="0" type="noConversion"/>
  <conditionalFormatting sqref="C24:Y24">
    <cfRule type="cellIs" dxfId="21" priority="8" stopIfTrue="1" operator="notEqual">
      <formula>C$4-C$5</formula>
    </cfRule>
  </conditionalFormatting>
  <conditionalFormatting sqref="C30:Y30">
    <cfRule type="cellIs" dxfId="20" priority="9" stopIfTrue="1" operator="notEqual">
      <formula>C$6-C$5</formula>
    </cfRule>
  </conditionalFormatting>
  <conditionalFormatting sqref="Y45">
    <cfRule type="cellIs" dxfId="19" priority="10" stopIfTrue="1" operator="notEqual">
      <formula>SUM($C$43:$X$44)</formula>
    </cfRule>
  </conditionalFormatting>
  <conditionalFormatting sqref="Y5">
    <cfRule type="cellIs" dxfId="18" priority="11" stopIfTrue="1" operator="notEqual">
      <formula>SUM($C$5:$X$5)</formula>
    </cfRule>
  </conditionalFormatting>
  <conditionalFormatting sqref="Y6">
    <cfRule type="expression" dxfId="17" priority="7">
      <formula>$Y$6&lt;&gt;$AA$6</formula>
    </cfRule>
    <cfRule type="cellIs" dxfId="16" priority="12" stopIfTrue="1" operator="notEqual">
      <formula>SUM($C$6:$X$6)</formula>
    </cfRule>
  </conditionalFormatting>
  <conditionalFormatting sqref="Y4">
    <cfRule type="cellIs" dxfId="15" priority="13" stopIfTrue="1" operator="notEqual">
      <formula>SUM($C$4:$X$4)</formula>
    </cfRule>
  </conditionalFormatting>
  <conditionalFormatting sqref="Y31">
    <cfRule type="cellIs" dxfId="14" priority="14" stopIfTrue="1" operator="notEqual">
      <formula>SUM($Y$16:$Y$22,$C$25:$X$29)</formula>
    </cfRule>
  </conditionalFormatting>
  <conditionalFormatting sqref="C6:I6 K6:W6">
    <cfRule type="expression" dxfId="13" priority="5">
      <formula>C$6&lt;&gt;C$64</formula>
    </cfRule>
    <cfRule type="expression" dxfId="12" priority="6">
      <formula>C$6&lt;&gt;C$65</formula>
    </cfRule>
  </conditionalFormatting>
  <conditionalFormatting sqref="X6">
    <cfRule type="expression" dxfId="11" priority="3">
      <formula>X$6&lt;&gt;X$64</formula>
    </cfRule>
    <cfRule type="expression" dxfId="10" priority="4">
      <formula>X$6&lt;&gt;X$65</formula>
    </cfRule>
  </conditionalFormatting>
  <conditionalFormatting sqref="J6">
    <cfRule type="expression" dxfId="9" priority="1">
      <formula>J$6&lt;&gt;J$64</formula>
    </cfRule>
    <cfRule type="expression" dxfId="8" priority="2">
      <formula>J$6&lt;&gt;J$65</formula>
    </cfRule>
  </conditionalFormatting>
  <dataValidations count="1">
    <dataValidation type="date" allowBlank="1" showInputMessage="1" showErrorMessage="1" sqref="C2:X2" xr:uid="{00000000-0002-0000-01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27559055118110237" header="0.27559055118110237" footer="0.19685039370078741"/>
  <pageSetup paperSize="9" scale="71" orientation="landscape" r:id="rId1"/>
  <headerFooter alignWithMargins="0">
    <oddFooter>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20</xdr:col>
                    <xdr:colOff>304800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Check Box 7">
              <controlPr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190500</xdr:rowOff>
                  </from>
                  <to>
                    <xdr:col>20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AB61"/>
  <sheetViews>
    <sheetView showZeros="0" zoomScaleNormal="100" zoomScaleSheetLayoutView="75" workbookViewId="0">
      <selection activeCell="C7" sqref="C7:C15"/>
    </sheetView>
  </sheetViews>
  <sheetFormatPr defaultColWidth="11.42578125" defaultRowHeight="12.75" x14ac:dyDescent="0.2"/>
  <cols>
    <col min="1" max="1" width="16.5703125" customWidth="1"/>
    <col min="2" max="2" width="0.7109375" customWidth="1"/>
    <col min="3" max="25" width="6.5703125" customWidth="1"/>
    <col min="26" max="26" width="9.85546875" bestFit="1" customWidth="1"/>
    <col min="27" max="27" width="2.7109375" customWidth="1"/>
  </cols>
  <sheetData>
    <row r="1" spans="1:28" ht="32.25" customHeight="1" thickBot="1" x14ac:dyDescent="0.25">
      <c r="C1" s="22" t="s">
        <v>0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3" t="s">
        <v>64</v>
      </c>
      <c r="U1" s="24"/>
      <c r="W1" s="100" t="s">
        <v>60</v>
      </c>
      <c r="X1" s="101"/>
      <c r="Y1" s="102" t="str">
        <f ca="1">'SJCPIL-R 14-101 - DIA'!X1</f>
        <v>03 / 2022</v>
      </c>
      <c r="Z1" s="103"/>
    </row>
    <row r="2" spans="1:28" ht="14.85" customHeight="1" x14ac:dyDescent="0.2">
      <c r="A2" s="25" t="s">
        <v>1</v>
      </c>
      <c r="B2" s="26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8"/>
      <c r="X2" s="98"/>
      <c r="Y2" s="98"/>
      <c r="Z2" s="27" t="s">
        <v>19</v>
      </c>
    </row>
    <row r="3" spans="1:28" ht="14.85" customHeight="1" x14ac:dyDescent="0.2">
      <c r="A3" s="28" t="s">
        <v>2</v>
      </c>
      <c r="B3" s="29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9"/>
      <c r="U3" s="75"/>
      <c r="V3" s="75"/>
      <c r="W3" s="9"/>
      <c r="X3" s="9"/>
      <c r="Y3" s="9"/>
      <c r="Z3" s="30"/>
    </row>
    <row r="4" spans="1:28" ht="19.5" customHeight="1" x14ac:dyDescent="0.2">
      <c r="A4" s="28" t="s">
        <v>48</v>
      </c>
      <c r="B4" s="29"/>
      <c r="C4" s="8"/>
      <c r="D4" s="8"/>
      <c r="E4" s="75"/>
      <c r="F4" s="8"/>
      <c r="G4" s="8"/>
      <c r="H4" s="8"/>
      <c r="I4" s="8"/>
      <c r="J4" s="75"/>
      <c r="K4" s="8"/>
      <c r="L4" s="8"/>
      <c r="M4" s="8"/>
      <c r="N4" s="8"/>
      <c r="O4" s="75"/>
      <c r="P4" s="8"/>
      <c r="Q4" s="8"/>
      <c r="R4" s="8"/>
      <c r="S4" s="8"/>
      <c r="T4" s="9"/>
      <c r="U4" s="9"/>
      <c r="V4" s="8"/>
      <c r="W4" s="9"/>
      <c r="X4" s="9"/>
      <c r="Y4" s="9"/>
      <c r="Z4" s="31">
        <f>SUM(C4:Y4)</f>
        <v>0</v>
      </c>
    </row>
    <row r="5" spans="1:28" ht="20.25" customHeight="1" x14ac:dyDescent="0.2">
      <c r="A5" s="28" t="s">
        <v>49</v>
      </c>
      <c r="B5" s="29"/>
      <c r="C5" s="10"/>
      <c r="D5" s="10"/>
      <c r="E5" s="10"/>
      <c r="F5" s="10"/>
      <c r="G5" s="10"/>
      <c r="H5" s="10"/>
      <c r="I5" s="10"/>
      <c r="J5" s="77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1">
        <f>SUM(C5:Y5)</f>
        <v>0</v>
      </c>
    </row>
    <row r="6" spans="1:28" ht="20.25" customHeight="1" x14ac:dyDescent="0.2">
      <c r="A6" s="28" t="s">
        <v>52</v>
      </c>
      <c r="B6" s="29"/>
      <c r="C6" s="10"/>
      <c r="D6" s="10"/>
      <c r="E6" s="10"/>
      <c r="F6" s="10"/>
      <c r="G6" s="10"/>
      <c r="H6" s="10"/>
      <c r="I6" s="10"/>
      <c r="J6" s="7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1">
        <f>SUM(C6:Y6)</f>
        <v>0</v>
      </c>
      <c r="AB6" s="83">
        <f>'[2]SJCPIL-R 15-102 - NOITE'!TT_PROD_UM1N</f>
        <v>0</v>
      </c>
    </row>
    <row r="7" spans="1:28" ht="12.75" customHeight="1" x14ac:dyDescent="0.2">
      <c r="A7" s="33"/>
      <c r="C7" s="114">
        <f t="shared" ref="C7:G7" si="0">C57</f>
        <v>0</v>
      </c>
      <c r="D7" s="114">
        <f t="shared" ref="D7:E7" si="1">D57</f>
        <v>0</v>
      </c>
      <c r="E7" s="114">
        <f t="shared" si="1"/>
        <v>0</v>
      </c>
      <c r="F7" s="114">
        <f t="shared" si="0"/>
        <v>0</v>
      </c>
      <c r="G7" s="114">
        <f t="shared" si="0"/>
        <v>0</v>
      </c>
      <c r="H7" s="114"/>
      <c r="I7" s="114">
        <f t="shared" ref="I7:Y7" si="2">I57</f>
        <v>0</v>
      </c>
      <c r="J7" s="114"/>
      <c r="K7" s="114">
        <f t="shared" si="2"/>
        <v>0</v>
      </c>
      <c r="L7" s="114">
        <f t="shared" si="2"/>
        <v>0</v>
      </c>
      <c r="M7" s="114">
        <f t="shared" si="2"/>
        <v>0</v>
      </c>
      <c r="N7" s="114">
        <f t="shared" si="2"/>
        <v>0</v>
      </c>
      <c r="O7" s="114">
        <f t="shared" si="2"/>
        <v>0</v>
      </c>
      <c r="P7" s="114">
        <f t="shared" ref="P7" si="3">P57</f>
        <v>0</v>
      </c>
      <c r="Q7" s="114">
        <f t="shared" si="2"/>
        <v>0</v>
      </c>
      <c r="R7" s="114">
        <f t="shared" si="2"/>
        <v>0</v>
      </c>
      <c r="S7" s="114">
        <f t="shared" si="2"/>
        <v>0</v>
      </c>
      <c r="T7" s="114">
        <f t="shared" si="2"/>
        <v>0</v>
      </c>
      <c r="U7" s="114">
        <f t="shared" si="2"/>
        <v>0</v>
      </c>
      <c r="V7" s="114">
        <f t="shared" si="2"/>
        <v>0</v>
      </c>
      <c r="W7" s="114">
        <f t="shared" si="2"/>
        <v>0</v>
      </c>
      <c r="X7" s="114">
        <f t="shared" si="2"/>
        <v>0</v>
      </c>
      <c r="Y7" s="114">
        <f t="shared" si="2"/>
        <v>0</v>
      </c>
      <c r="Z7" s="34"/>
    </row>
    <row r="8" spans="1:28" ht="12.75" customHeight="1" x14ac:dyDescent="0.2">
      <c r="A8" s="116" t="s">
        <v>3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35"/>
    </row>
    <row r="9" spans="1:28" ht="12.75" customHeight="1" x14ac:dyDescent="0.2">
      <c r="A9" s="116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35"/>
    </row>
    <row r="10" spans="1:28" ht="12.75" customHeight="1" x14ac:dyDescent="0.2">
      <c r="A10" s="116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35"/>
    </row>
    <row r="11" spans="1:28" ht="12.75" customHeight="1" x14ac:dyDescent="0.2">
      <c r="A11" s="116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35"/>
    </row>
    <row r="12" spans="1:28" ht="12.75" customHeight="1" x14ac:dyDescent="0.2">
      <c r="A12" s="116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35"/>
    </row>
    <row r="13" spans="1:28" ht="12.75" customHeight="1" x14ac:dyDescent="0.2">
      <c r="A13" s="116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35"/>
    </row>
    <row r="14" spans="1:28" ht="12.75" customHeight="1" x14ac:dyDescent="0.2">
      <c r="A14" s="116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35"/>
    </row>
    <row r="15" spans="1:28" ht="12.75" customHeight="1" thickBot="1" x14ac:dyDescent="0.25">
      <c r="A15" s="116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35"/>
    </row>
    <row r="16" spans="1:28" ht="14.85" customHeight="1" x14ac:dyDescent="0.2">
      <c r="A16" s="37" t="s">
        <v>4</v>
      </c>
      <c r="B16" s="38"/>
      <c r="C16" s="2"/>
      <c r="D16" s="93"/>
      <c r="E16" s="11"/>
      <c r="F16" s="11"/>
      <c r="G16" s="11"/>
      <c r="H16" s="11"/>
      <c r="I16" s="16"/>
      <c r="J16" s="11"/>
      <c r="K16" s="11"/>
      <c r="L16" s="11"/>
      <c r="M16" s="11"/>
      <c r="N16" s="11"/>
      <c r="O16" s="16"/>
      <c r="P16" s="11"/>
      <c r="Q16" s="11"/>
      <c r="R16" s="11"/>
      <c r="S16" s="13"/>
      <c r="T16" s="11"/>
      <c r="U16" s="11"/>
      <c r="V16" s="13"/>
      <c r="W16" s="11"/>
      <c r="X16" s="11"/>
      <c r="Y16" s="11"/>
      <c r="Z16" s="39">
        <f t="shared" ref="Z16:Z29" si="4">SUM(C16:Y16)</f>
        <v>0</v>
      </c>
    </row>
    <row r="17" spans="1:26" ht="14.85" customHeight="1" x14ac:dyDescent="0.2">
      <c r="A17" s="40" t="s">
        <v>5</v>
      </c>
      <c r="B17" s="32"/>
      <c r="C17" s="3"/>
      <c r="D17" s="94"/>
      <c r="E17" s="12"/>
      <c r="F17" s="12"/>
      <c r="G17" s="12"/>
      <c r="H17" s="12"/>
      <c r="I17" s="17"/>
      <c r="J17" s="12"/>
      <c r="K17" s="12"/>
      <c r="L17" s="12"/>
      <c r="M17" s="12"/>
      <c r="N17" s="12"/>
      <c r="O17" s="17"/>
      <c r="P17" s="12"/>
      <c r="Q17" s="12"/>
      <c r="R17" s="12"/>
      <c r="S17" s="10"/>
      <c r="T17" s="12"/>
      <c r="U17" s="12"/>
      <c r="V17" s="10"/>
      <c r="W17" s="12"/>
      <c r="X17" s="12"/>
      <c r="Y17" s="12"/>
      <c r="Z17" s="41">
        <f t="shared" si="4"/>
        <v>0</v>
      </c>
    </row>
    <row r="18" spans="1:26" ht="14.85" customHeight="1" x14ac:dyDescent="0.2">
      <c r="A18" s="40" t="s">
        <v>6</v>
      </c>
      <c r="B18" s="32"/>
      <c r="C18" s="3"/>
      <c r="D18" s="94"/>
      <c r="E18" s="12"/>
      <c r="F18" s="12"/>
      <c r="G18" s="12"/>
      <c r="H18" s="12"/>
      <c r="I18" s="17"/>
      <c r="J18" s="12"/>
      <c r="K18" s="12"/>
      <c r="L18" s="12"/>
      <c r="M18" s="12"/>
      <c r="N18" s="12"/>
      <c r="O18" s="17"/>
      <c r="P18" s="12"/>
      <c r="Q18" s="12"/>
      <c r="R18" s="12"/>
      <c r="S18" s="10"/>
      <c r="T18" s="12"/>
      <c r="U18" s="12"/>
      <c r="V18" s="10"/>
      <c r="W18" s="12"/>
      <c r="X18" s="12"/>
      <c r="Y18" s="12"/>
      <c r="Z18" s="41">
        <f t="shared" si="4"/>
        <v>0</v>
      </c>
    </row>
    <row r="19" spans="1:26" ht="14.85" customHeight="1" x14ac:dyDescent="0.2">
      <c r="A19" s="40" t="s">
        <v>63</v>
      </c>
      <c r="B19" s="32"/>
      <c r="C19" s="3"/>
      <c r="D19" s="94"/>
      <c r="E19" s="12"/>
      <c r="F19" s="12"/>
      <c r="G19" s="12"/>
      <c r="H19" s="12"/>
      <c r="I19" s="17"/>
      <c r="J19" s="12"/>
      <c r="K19" s="12"/>
      <c r="L19" s="12"/>
      <c r="M19" s="12"/>
      <c r="N19" s="12"/>
      <c r="O19" s="17"/>
      <c r="P19" s="12"/>
      <c r="Q19" s="12"/>
      <c r="R19" s="12"/>
      <c r="S19" s="10"/>
      <c r="T19" s="12"/>
      <c r="U19" s="12"/>
      <c r="V19" s="10"/>
      <c r="W19" s="12"/>
      <c r="X19" s="12"/>
      <c r="Y19" s="12"/>
      <c r="Z19" s="41">
        <f t="shared" si="4"/>
        <v>0</v>
      </c>
    </row>
    <row r="20" spans="1:26" ht="14.85" customHeight="1" x14ac:dyDescent="0.2">
      <c r="A20" s="40" t="s">
        <v>7</v>
      </c>
      <c r="B20" s="32"/>
      <c r="C20" s="3"/>
      <c r="D20" s="12"/>
      <c r="E20" s="12"/>
      <c r="F20" s="12"/>
      <c r="G20" s="12"/>
      <c r="H20" s="12"/>
      <c r="I20" s="17"/>
      <c r="J20" s="12"/>
      <c r="K20" s="12"/>
      <c r="L20" s="12"/>
      <c r="M20" s="12"/>
      <c r="N20" s="12"/>
      <c r="O20" s="17"/>
      <c r="P20" s="12"/>
      <c r="Q20" s="12"/>
      <c r="R20" s="12"/>
      <c r="S20" s="10"/>
      <c r="T20" s="12"/>
      <c r="U20" s="12"/>
      <c r="V20" s="10"/>
      <c r="W20" s="12"/>
      <c r="X20" s="12"/>
      <c r="Y20" s="12"/>
      <c r="Z20" s="41">
        <f t="shared" si="4"/>
        <v>0</v>
      </c>
    </row>
    <row r="21" spans="1:26" ht="14.85" customHeight="1" x14ac:dyDescent="0.2">
      <c r="A21" s="40" t="s">
        <v>8</v>
      </c>
      <c r="B21" s="32"/>
      <c r="C21" s="3"/>
      <c r="D21" s="12"/>
      <c r="E21" s="12"/>
      <c r="F21" s="12"/>
      <c r="G21" s="12"/>
      <c r="H21" s="12"/>
      <c r="I21" s="17"/>
      <c r="J21" s="12"/>
      <c r="K21" s="12"/>
      <c r="L21" s="12"/>
      <c r="M21" s="12"/>
      <c r="N21" s="12"/>
      <c r="O21" s="17"/>
      <c r="P21" s="12"/>
      <c r="Q21" s="12"/>
      <c r="R21" s="12"/>
      <c r="S21" s="10"/>
      <c r="T21" s="12"/>
      <c r="U21" s="12"/>
      <c r="V21" s="10"/>
      <c r="W21" s="12"/>
      <c r="X21" s="12"/>
      <c r="Y21" s="12"/>
      <c r="Z21" s="41">
        <f t="shared" si="4"/>
        <v>0</v>
      </c>
    </row>
    <row r="22" spans="1:26" ht="14.85" customHeight="1" x14ac:dyDescent="0.2">
      <c r="A22" s="40" t="s">
        <v>9</v>
      </c>
      <c r="B22" s="32"/>
      <c r="C22" s="3"/>
      <c r="D22" s="12"/>
      <c r="E22" s="12"/>
      <c r="F22" s="12"/>
      <c r="G22" s="12"/>
      <c r="H22" s="12"/>
      <c r="I22" s="17"/>
      <c r="J22" s="12"/>
      <c r="K22" s="12"/>
      <c r="L22" s="12"/>
      <c r="M22" s="12"/>
      <c r="N22" s="12"/>
      <c r="O22" s="17"/>
      <c r="P22" s="12"/>
      <c r="Q22" s="12"/>
      <c r="R22" s="12"/>
      <c r="S22" s="10"/>
      <c r="T22" s="12"/>
      <c r="U22" s="12"/>
      <c r="V22" s="10"/>
      <c r="W22" s="12"/>
      <c r="X22" s="12"/>
      <c r="Y22" s="12"/>
      <c r="Z22" s="41">
        <f t="shared" si="4"/>
        <v>0</v>
      </c>
    </row>
    <row r="23" spans="1:26" ht="14.85" customHeight="1" x14ac:dyDescent="0.2">
      <c r="A23" s="40" t="s">
        <v>10</v>
      </c>
      <c r="B23" s="32"/>
      <c r="C23" s="3"/>
      <c r="D23" s="12"/>
      <c r="E23" s="12"/>
      <c r="F23" s="12"/>
      <c r="G23" s="12"/>
      <c r="H23" s="12"/>
      <c r="I23" s="17"/>
      <c r="J23" s="12"/>
      <c r="K23" s="12"/>
      <c r="L23" s="12"/>
      <c r="M23" s="12"/>
      <c r="N23" s="12"/>
      <c r="O23" s="17"/>
      <c r="P23" s="12"/>
      <c r="Q23" s="12"/>
      <c r="R23" s="12"/>
      <c r="S23" s="10"/>
      <c r="T23" s="12"/>
      <c r="U23" s="12"/>
      <c r="V23" s="10"/>
      <c r="W23" s="12"/>
      <c r="X23" s="12"/>
      <c r="Y23" s="12"/>
      <c r="Z23" s="41">
        <f t="shared" si="4"/>
        <v>0</v>
      </c>
    </row>
    <row r="24" spans="1:26" ht="14.85" customHeight="1" x14ac:dyDescent="0.2">
      <c r="A24" s="42" t="s">
        <v>50</v>
      </c>
      <c r="B24" s="32"/>
      <c r="C24" s="70">
        <f t="shared" ref="C24:Z24" si="5">SUM(C16:C23)</f>
        <v>0</v>
      </c>
      <c r="D24" s="71">
        <f t="shared" si="5"/>
        <v>0</v>
      </c>
      <c r="E24" s="71">
        <f t="shared" si="5"/>
        <v>0</v>
      </c>
      <c r="F24" s="71">
        <f t="shared" si="5"/>
        <v>0</v>
      </c>
      <c r="G24" s="71">
        <f t="shared" si="5"/>
        <v>0</v>
      </c>
      <c r="H24" s="71">
        <f t="shared" si="5"/>
        <v>0</v>
      </c>
      <c r="I24" s="71">
        <f t="shared" si="5"/>
        <v>0</v>
      </c>
      <c r="J24" s="71">
        <f t="shared" si="5"/>
        <v>0</v>
      </c>
      <c r="K24" s="71">
        <f t="shared" si="5"/>
        <v>0</v>
      </c>
      <c r="L24" s="71">
        <f t="shared" si="5"/>
        <v>0</v>
      </c>
      <c r="M24" s="71">
        <f t="shared" si="5"/>
        <v>0</v>
      </c>
      <c r="N24" s="71">
        <f t="shared" si="5"/>
        <v>0</v>
      </c>
      <c r="O24" s="71">
        <f t="shared" si="5"/>
        <v>0</v>
      </c>
      <c r="P24" s="71">
        <f t="shared" si="5"/>
        <v>0</v>
      </c>
      <c r="Q24" s="71">
        <f t="shared" si="5"/>
        <v>0</v>
      </c>
      <c r="R24" s="71">
        <f t="shared" si="5"/>
        <v>0</v>
      </c>
      <c r="S24" s="71">
        <f t="shared" si="5"/>
        <v>0</v>
      </c>
      <c r="T24" s="71">
        <f t="shared" si="5"/>
        <v>0</v>
      </c>
      <c r="U24" s="71">
        <f t="shared" si="5"/>
        <v>0</v>
      </c>
      <c r="V24" s="71">
        <f t="shared" si="5"/>
        <v>0</v>
      </c>
      <c r="W24" s="71">
        <f t="shared" si="5"/>
        <v>0</v>
      </c>
      <c r="X24" s="71">
        <f t="shared" si="5"/>
        <v>0</v>
      </c>
      <c r="Y24" s="71">
        <f t="shared" si="5"/>
        <v>0</v>
      </c>
      <c r="Z24" s="74">
        <f t="shared" si="5"/>
        <v>0</v>
      </c>
    </row>
    <row r="25" spans="1:26" ht="14.85" customHeight="1" x14ac:dyDescent="0.2">
      <c r="A25" s="40" t="s">
        <v>11</v>
      </c>
      <c r="B25" s="32"/>
      <c r="C25" s="3"/>
      <c r="D25" s="12"/>
      <c r="E25" s="12"/>
      <c r="F25" s="12"/>
      <c r="G25" s="12"/>
      <c r="H25" s="12"/>
      <c r="I25" s="17"/>
      <c r="J25" s="12"/>
      <c r="K25" s="12"/>
      <c r="L25" s="12"/>
      <c r="M25" s="12"/>
      <c r="N25" s="12"/>
      <c r="O25" s="17"/>
      <c r="P25" s="12"/>
      <c r="Q25" s="12"/>
      <c r="R25" s="12"/>
      <c r="S25" s="10"/>
      <c r="T25" s="12"/>
      <c r="U25" s="12"/>
      <c r="V25" s="10"/>
      <c r="W25" s="12"/>
      <c r="X25" s="12"/>
      <c r="Y25" s="12"/>
      <c r="Z25" s="41">
        <f t="shared" si="4"/>
        <v>0</v>
      </c>
    </row>
    <row r="26" spans="1:26" ht="14.85" customHeight="1" x14ac:dyDescent="0.2">
      <c r="A26" s="40" t="s">
        <v>12</v>
      </c>
      <c r="B26" s="32"/>
      <c r="C26" s="3"/>
      <c r="D26" s="12"/>
      <c r="E26" s="12"/>
      <c r="F26" s="12"/>
      <c r="G26" s="12"/>
      <c r="H26" s="12"/>
      <c r="I26" s="17"/>
      <c r="J26" s="12"/>
      <c r="K26" s="12"/>
      <c r="L26" s="12"/>
      <c r="M26" s="12"/>
      <c r="N26" s="12"/>
      <c r="O26" s="17"/>
      <c r="P26" s="12"/>
      <c r="Q26" s="12"/>
      <c r="R26" s="12"/>
      <c r="S26" s="10"/>
      <c r="T26" s="12"/>
      <c r="U26" s="12"/>
      <c r="V26" s="10"/>
      <c r="W26" s="12"/>
      <c r="X26" s="12"/>
      <c r="Y26" s="12"/>
      <c r="Z26" s="41">
        <f t="shared" si="4"/>
        <v>0</v>
      </c>
    </row>
    <row r="27" spans="1:26" ht="14.85" customHeight="1" x14ac:dyDescent="0.2">
      <c r="A27" s="40" t="s">
        <v>13</v>
      </c>
      <c r="B27" s="32"/>
      <c r="C27" s="3"/>
      <c r="D27" s="12"/>
      <c r="E27" s="12"/>
      <c r="F27" s="12"/>
      <c r="G27" s="12"/>
      <c r="H27" s="12"/>
      <c r="I27" s="17"/>
      <c r="J27" s="12"/>
      <c r="K27" s="12"/>
      <c r="L27" s="12"/>
      <c r="M27" s="12"/>
      <c r="N27" s="12"/>
      <c r="O27" s="17"/>
      <c r="P27" s="12"/>
      <c r="Q27" s="12"/>
      <c r="R27" s="12"/>
      <c r="S27" s="10"/>
      <c r="T27" s="12"/>
      <c r="U27" s="12"/>
      <c r="V27" s="10"/>
      <c r="W27" s="12"/>
      <c r="X27" s="12"/>
      <c r="Y27" s="12"/>
      <c r="Z27" s="41">
        <f t="shared" si="4"/>
        <v>0</v>
      </c>
    </row>
    <row r="28" spans="1:26" ht="15" customHeight="1" x14ac:dyDescent="0.2">
      <c r="A28" s="40" t="s">
        <v>14</v>
      </c>
      <c r="B28" s="32"/>
      <c r="C28" s="3"/>
      <c r="D28" s="12"/>
      <c r="E28" s="12"/>
      <c r="F28" s="12"/>
      <c r="G28" s="12"/>
      <c r="H28" s="12"/>
      <c r="I28" s="17"/>
      <c r="J28" s="12"/>
      <c r="K28" s="12"/>
      <c r="L28" s="12"/>
      <c r="M28" s="12"/>
      <c r="N28" s="12"/>
      <c r="O28" s="17"/>
      <c r="P28" s="12"/>
      <c r="Q28" s="12"/>
      <c r="R28" s="12"/>
      <c r="S28" s="10"/>
      <c r="T28" s="12"/>
      <c r="U28" s="12"/>
      <c r="V28" s="10"/>
      <c r="W28" s="12"/>
      <c r="X28" s="12"/>
      <c r="Y28" s="12"/>
      <c r="Z28" s="41">
        <f t="shared" si="4"/>
        <v>0</v>
      </c>
    </row>
    <row r="29" spans="1:26" ht="15" customHeight="1" x14ac:dyDescent="0.2">
      <c r="A29" s="40" t="s">
        <v>15</v>
      </c>
      <c r="B29" s="32"/>
      <c r="C29" s="3"/>
      <c r="D29" s="12"/>
      <c r="E29" s="12"/>
      <c r="F29" s="12"/>
      <c r="G29" s="12"/>
      <c r="H29" s="12"/>
      <c r="I29" s="17"/>
      <c r="J29" s="12"/>
      <c r="K29" s="12"/>
      <c r="L29" s="12"/>
      <c r="M29" s="12"/>
      <c r="N29" s="12"/>
      <c r="O29" s="17"/>
      <c r="P29" s="12"/>
      <c r="Q29" s="12"/>
      <c r="R29" s="12"/>
      <c r="S29" s="10"/>
      <c r="T29" s="12"/>
      <c r="U29" s="12"/>
      <c r="V29" s="10"/>
      <c r="W29" s="12"/>
      <c r="X29" s="12"/>
      <c r="Y29" s="12"/>
      <c r="Z29" s="41">
        <f t="shared" si="4"/>
        <v>0</v>
      </c>
    </row>
    <row r="30" spans="1:26" ht="27.75" customHeight="1" x14ac:dyDescent="0.2">
      <c r="A30" s="66" t="s">
        <v>51</v>
      </c>
      <c r="B30" s="43">
        <f>SUM(B16:B29)</f>
        <v>0</v>
      </c>
      <c r="C30" s="70">
        <f t="shared" ref="C30:Z30" si="6">SUM(C25:C29)</f>
        <v>0</v>
      </c>
      <c r="D30" s="76">
        <f t="shared" si="6"/>
        <v>0</v>
      </c>
      <c r="E30" s="71">
        <f t="shared" si="6"/>
        <v>0</v>
      </c>
      <c r="F30" s="71">
        <f t="shared" si="6"/>
        <v>0</v>
      </c>
      <c r="G30" s="71">
        <f t="shared" si="6"/>
        <v>0</v>
      </c>
      <c r="H30" s="71">
        <f t="shared" si="6"/>
        <v>0</v>
      </c>
      <c r="I30" s="71">
        <f t="shared" si="6"/>
        <v>0</v>
      </c>
      <c r="J30" s="71">
        <f t="shared" si="6"/>
        <v>0</v>
      </c>
      <c r="K30" s="71">
        <f t="shared" si="6"/>
        <v>0</v>
      </c>
      <c r="L30" s="71">
        <f t="shared" si="6"/>
        <v>0</v>
      </c>
      <c r="M30" s="71">
        <f t="shared" si="6"/>
        <v>0</v>
      </c>
      <c r="N30" s="71">
        <f t="shared" si="6"/>
        <v>0</v>
      </c>
      <c r="O30" s="71">
        <f t="shared" si="6"/>
        <v>0</v>
      </c>
      <c r="P30" s="71">
        <f t="shared" si="6"/>
        <v>0</v>
      </c>
      <c r="Q30" s="71">
        <f t="shared" si="6"/>
        <v>0</v>
      </c>
      <c r="R30" s="71">
        <f t="shared" si="6"/>
        <v>0</v>
      </c>
      <c r="S30" s="71">
        <f t="shared" si="6"/>
        <v>0</v>
      </c>
      <c r="T30" s="71">
        <f t="shared" si="6"/>
        <v>0</v>
      </c>
      <c r="U30" s="71">
        <f t="shared" si="6"/>
        <v>0</v>
      </c>
      <c r="V30" s="71">
        <f t="shared" si="6"/>
        <v>0</v>
      </c>
      <c r="W30" s="71">
        <f t="shared" si="6"/>
        <v>0</v>
      </c>
      <c r="X30" s="71">
        <f t="shared" si="6"/>
        <v>0</v>
      </c>
      <c r="Y30" s="71">
        <f t="shared" si="6"/>
        <v>0</v>
      </c>
      <c r="Z30" s="74">
        <f t="shared" si="6"/>
        <v>0</v>
      </c>
    </row>
    <row r="31" spans="1:26" ht="14.85" customHeight="1" x14ac:dyDescent="0.2">
      <c r="A31" s="67" t="s">
        <v>19</v>
      </c>
      <c r="B31" s="43"/>
      <c r="C31" s="70">
        <f>C24+C30</f>
        <v>0</v>
      </c>
      <c r="D31" s="71">
        <f t="shared" ref="D31:Y31" si="7">D24+D30</f>
        <v>0</v>
      </c>
      <c r="E31" s="71">
        <f t="shared" si="7"/>
        <v>0</v>
      </c>
      <c r="F31" s="71">
        <f t="shared" si="7"/>
        <v>0</v>
      </c>
      <c r="G31" s="71">
        <f t="shared" si="7"/>
        <v>0</v>
      </c>
      <c r="H31" s="71">
        <f t="shared" si="7"/>
        <v>0</v>
      </c>
      <c r="I31" s="71">
        <f t="shared" si="7"/>
        <v>0</v>
      </c>
      <c r="J31" s="71">
        <f t="shared" si="7"/>
        <v>0</v>
      </c>
      <c r="K31" s="71">
        <f t="shared" si="7"/>
        <v>0</v>
      </c>
      <c r="L31" s="71">
        <f t="shared" si="7"/>
        <v>0</v>
      </c>
      <c r="M31" s="71">
        <f t="shared" si="7"/>
        <v>0</v>
      </c>
      <c r="N31" s="71">
        <f t="shared" si="7"/>
        <v>0</v>
      </c>
      <c r="O31" s="71">
        <f t="shared" si="7"/>
        <v>0</v>
      </c>
      <c r="P31" s="71">
        <f t="shared" si="7"/>
        <v>0</v>
      </c>
      <c r="Q31" s="71">
        <f t="shared" si="7"/>
        <v>0</v>
      </c>
      <c r="R31" s="71">
        <f t="shared" si="7"/>
        <v>0</v>
      </c>
      <c r="S31" s="71">
        <f t="shared" si="7"/>
        <v>0</v>
      </c>
      <c r="T31" s="71">
        <f t="shared" si="7"/>
        <v>0</v>
      </c>
      <c r="U31" s="71">
        <f t="shared" si="7"/>
        <v>0</v>
      </c>
      <c r="V31" s="71">
        <f t="shared" si="7"/>
        <v>0</v>
      </c>
      <c r="W31" s="71">
        <f t="shared" si="7"/>
        <v>0</v>
      </c>
      <c r="X31" s="71">
        <f t="shared" si="7"/>
        <v>0</v>
      </c>
      <c r="Y31" s="71">
        <f t="shared" si="7"/>
        <v>0</v>
      </c>
      <c r="Z31" s="69">
        <f>SUM(C31:Y31)</f>
        <v>0</v>
      </c>
    </row>
    <row r="32" spans="1:26" ht="14.85" customHeight="1" thickBot="1" x14ac:dyDescent="0.25">
      <c r="A32" s="44" t="s">
        <v>47</v>
      </c>
      <c r="B32" s="45"/>
      <c r="C32" s="82" t="str">
        <f t="shared" ref="C32:Z32" si="8">IF(ISERR(C31/C6)," ",C31/C6*1000000)</f>
        <v xml:space="preserve"> </v>
      </c>
      <c r="D32" s="72" t="str">
        <f t="shared" si="8"/>
        <v xml:space="preserve"> </v>
      </c>
      <c r="E32" s="72" t="str">
        <f t="shared" si="8"/>
        <v xml:space="preserve"> </v>
      </c>
      <c r="F32" s="72" t="str">
        <f t="shared" si="8"/>
        <v xml:space="preserve"> </v>
      </c>
      <c r="G32" s="72" t="str">
        <f t="shared" si="8"/>
        <v xml:space="preserve"> </v>
      </c>
      <c r="H32" s="72" t="str">
        <f t="shared" si="8"/>
        <v xml:space="preserve"> </v>
      </c>
      <c r="I32" s="72" t="str">
        <f t="shared" si="8"/>
        <v xml:space="preserve"> </v>
      </c>
      <c r="J32" s="72" t="str">
        <f t="shared" si="8"/>
        <v xml:space="preserve"> </v>
      </c>
      <c r="K32" s="72" t="str">
        <f t="shared" si="8"/>
        <v xml:space="preserve"> </v>
      </c>
      <c r="L32" s="72" t="str">
        <f t="shared" si="8"/>
        <v xml:space="preserve"> </v>
      </c>
      <c r="M32" s="72" t="str">
        <f t="shared" si="8"/>
        <v xml:space="preserve"> </v>
      </c>
      <c r="N32" s="72" t="str">
        <f t="shared" si="8"/>
        <v xml:space="preserve"> </v>
      </c>
      <c r="O32" s="72" t="str">
        <f t="shared" si="8"/>
        <v xml:space="preserve"> </v>
      </c>
      <c r="P32" s="72" t="str">
        <f t="shared" si="8"/>
        <v xml:space="preserve"> </v>
      </c>
      <c r="Q32" s="72" t="str">
        <f t="shared" si="8"/>
        <v xml:space="preserve"> </v>
      </c>
      <c r="R32" s="72" t="str">
        <f t="shared" si="8"/>
        <v xml:space="preserve"> </v>
      </c>
      <c r="S32" s="72" t="str">
        <f t="shared" si="8"/>
        <v xml:space="preserve"> </v>
      </c>
      <c r="T32" s="72" t="str">
        <f t="shared" si="8"/>
        <v xml:space="preserve"> </v>
      </c>
      <c r="U32" s="72" t="str">
        <f t="shared" si="8"/>
        <v xml:space="preserve"> </v>
      </c>
      <c r="V32" s="72" t="str">
        <f t="shared" si="8"/>
        <v xml:space="preserve"> </v>
      </c>
      <c r="W32" s="72" t="str">
        <f t="shared" si="8"/>
        <v xml:space="preserve"> </v>
      </c>
      <c r="X32" s="72" t="str">
        <f t="shared" si="8"/>
        <v xml:space="preserve"> </v>
      </c>
      <c r="Y32" s="72" t="str">
        <f t="shared" si="8"/>
        <v xml:space="preserve"> </v>
      </c>
      <c r="Z32" s="73" t="str">
        <f t="shared" si="8"/>
        <v xml:space="preserve"> </v>
      </c>
    </row>
    <row r="33" spans="1:26" ht="7.5" customHeight="1" thickBot="1" x14ac:dyDescent="0.25">
      <c r="A33" s="46"/>
    </row>
    <row r="34" spans="1:26" ht="12.75" customHeight="1" x14ac:dyDescent="0.2">
      <c r="A34" s="47"/>
      <c r="B34" s="48"/>
      <c r="C34" s="117">
        <f t="shared" ref="C34:J34" si="9">C58</f>
        <v>0</v>
      </c>
      <c r="D34" s="104">
        <f t="shared" si="9"/>
        <v>0</v>
      </c>
      <c r="E34" s="104">
        <f t="shared" si="9"/>
        <v>0</v>
      </c>
      <c r="F34" s="104">
        <f t="shared" si="9"/>
        <v>0</v>
      </c>
      <c r="G34" s="104">
        <f t="shared" si="9"/>
        <v>0</v>
      </c>
      <c r="H34" s="104">
        <f>H58</f>
        <v>0</v>
      </c>
      <c r="I34" s="104">
        <f>I58</f>
        <v>0</v>
      </c>
      <c r="J34" s="117">
        <f t="shared" si="9"/>
        <v>0</v>
      </c>
      <c r="K34" s="111">
        <f>K58</f>
        <v>0</v>
      </c>
      <c r="L34" s="111">
        <f>L58</f>
        <v>0</v>
      </c>
      <c r="M34" s="111">
        <f>M58</f>
        <v>0</v>
      </c>
      <c r="N34" s="111">
        <f>N58</f>
        <v>0</v>
      </c>
      <c r="O34" s="117">
        <f t="shared" ref="O34:W34" si="10">O58</f>
        <v>0</v>
      </c>
      <c r="P34" s="117">
        <f t="shared" si="10"/>
        <v>0</v>
      </c>
      <c r="Q34" s="117">
        <f t="shared" si="10"/>
        <v>0</v>
      </c>
      <c r="R34" s="117">
        <f t="shared" si="10"/>
        <v>0</v>
      </c>
      <c r="S34" s="117">
        <f t="shared" si="10"/>
        <v>0</v>
      </c>
      <c r="T34" s="117">
        <f t="shared" si="10"/>
        <v>0</v>
      </c>
      <c r="U34" s="117">
        <f t="shared" si="10"/>
        <v>0</v>
      </c>
      <c r="V34" s="117">
        <f t="shared" si="10"/>
        <v>0</v>
      </c>
      <c r="W34" s="117">
        <f t="shared" si="10"/>
        <v>0</v>
      </c>
      <c r="X34" s="49"/>
      <c r="Y34" s="117">
        <f>Y58</f>
        <v>0</v>
      </c>
      <c r="Z34" s="50"/>
    </row>
    <row r="35" spans="1:26" ht="12.75" customHeight="1" x14ac:dyDescent="0.2">
      <c r="A35" s="115" t="s">
        <v>16</v>
      </c>
      <c r="C35" s="118"/>
      <c r="D35" s="105"/>
      <c r="E35" s="105"/>
      <c r="F35" s="105"/>
      <c r="G35" s="105"/>
      <c r="H35" s="105"/>
      <c r="I35" s="105"/>
      <c r="J35" s="118"/>
      <c r="K35" s="112"/>
      <c r="L35" s="112"/>
      <c r="M35" s="112"/>
      <c r="N35" s="112"/>
      <c r="O35" s="118"/>
      <c r="P35" s="118"/>
      <c r="Q35" s="118"/>
      <c r="R35" s="118"/>
      <c r="S35" s="118"/>
      <c r="T35" s="118"/>
      <c r="U35" s="118"/>
      <c r="V35" s="118"/>
      <c r="W35" s="118"/>
      <c r="X35" s="51"/>
      <c r="Y35" s="118"/>
      <c r="Z35" s="35"/>
    </row>
    <row r="36" spans="1:26" ht="12.75" customHeight="1" x14ac:dyDescent="0.2">
      <c r="A36" s="115"/>
      <c r="C36" s="118"/>
      <c r="D36" s="105"/>
      <c r="E36" s="105"/>
      <c r="F36" s="105"/>
      <c r="G36" s="105"/>
      <c r="H36" s="105"/>
      <c r="I36" s="105"/>
      <c r="J36" s="118"/>
      <c r="K36" s="112"/>
      <c r="L36" s="112"/>
      <c r="M36" s="112"/>
      <c r="N36" s="112"/>
      <c r="O36" s="118"/>
      <c r="P36" s="118"/>
      <c r="Q36" s="118"/>
      <c r="R36" s="118"/>
      <c r="S36" s="118"/>
      <c r="T36" s="118"/>
      <c r="U36" s="118"/>
      <c r="V36" s="118"/>
      <c r="W36" s="118"/>
      <c r="X36" s="51"/>
      <c r="Y36" s="118"/>
      <c r="Z36" s="35"/>
    </row>
    <row r="37" spans="1:26" ht="12.75" customHeight="1" x14ac:dyDescent="0.2">
      <c r="A37" s="115"/>
      <c r="C37" s="118"/>
      <c r="D37" s="105"/>
      <c r="E37" s="105"/>
      <c r="F37" s="105"/>
      <c r="G37" s="105"/>
      <c r="H37" s="105"/>
      <c r="I37" s="105"/>
      <c r="J37" s="118"/>
      <c r="K37" s="112"/>
      <c r="L37" s="112"/>
      <c r="M37" s="112"/>
      <c r="N37" s="112"/>
      <c r="O37" s="118"/>
      <c r="P37" s="118"/>
      <c r="Q37" s="118"/>
      <c r="R37" s="118"/>
      <c r="S37" s="118"/>
      <c r="T37" s="118"/>
      <c r="U37" s="118"/>
      <c r="V37" s="118"/>
      <c r="W37" s="118"/>
      <c r="X37" s="51"/>
      <c r="Y37" s="118"/>
      <c r="Z37" s="35"/>
    </row>
    <row r="38" spans="1:26" ht="12.75" customHeight="1" x14ac:dyDescent="0.2">
      <c r="A38" s="115"/>
      <c r="C38" s="118"/>
      <c r="D38" s="105"/>
      <c r="E38" s="105"/>
      <c r="F38" s="105"/>
      <c r="G38" s="105"/>
      <c r="H38" s="105"/>
      <c r="I38" s="105"/>
      <c r="J38" s="118"/>
      <c r="K38" s="112"/>
      <c r="L38" s="112"/>
      <c r="M38" s="112"/>
      <c r="N38" s="112"/>
      <c r="O38" s="118"/>
      <c r="P38" s="118"/>
      <c r="Q38" s="118"/>
      <c r="R38" s="118"/>
      <c r="S38" s="118"/>
      <c r="T38" s="118"/>
      <c r="U38" s="118"/>
      <c r="V38" s="118"/>
      <c r="W38" s="118"/>
      <c r="X38" s="51"/>
      <c r="Y38" s="118"/>
      <c r="Z38" s="35"/>
    </row>
    <row r="39" spans="1:26" ht="12.75" customHeight="1" x14ac:dyDescent="0.2">
      <c r="A39" s="115"/>
      <c r="C39" s="118"/>
      <c r="D39" s="105"/>
      <c r="E39" s="105"/>
      <c r="F39" s="105"/>
      <c r="G39" s="105"/>
      <c r="H39" s="105"/>
      <c r="I39" s="105"/>
      <c r="J39" s="118"/>
      <c r="K39" s="112"/>
      <c r="L39" s="112"/>
      <c r="M39" s="112"/>
      <c r="N39" s="112"/>
      <c r="O39" s="118"/>
      <c r="P39" s="118"/>
      <c r="Q39" s="118"/>
      <c r="R39" s="118"/>
      <c r="S39" s="118"/>
      <c r="T39" s="118"/>
      <c r="U39" s="118"/>
      <c r="V39" s="118"/>
      <c r="W39" s="118"/>
      <c r="X39" s="51"/>
      <c r="Y39" s="118"/>
      <c r="Z39" s="35"/>
    </row>
    <row r="40" spans="1:26" ht="12.75" customHeight="1" x14ac:dyDescent="0.2">
      <c r="A40" s="115"/>
      <c r="C40" s="118"/>
      <c r="D40" s="105"/>
      <c r="E40" s="105"/>
      <c r="F40" s="105"/>
      <c r="G40" s="105"/>
      <c r="H40" s="105"/>
      <c r="I40" s="105"/>
      <c r="J40" s="118"/>
      <c r="K40" s="112"/>
      <c r="L40" s="112"/>
      <c r="M40" s="112"/>
      <c r="N40" s="112"/>
      <c r="O40" s="118"/>
      <c r="P40" s="118"/>
      <c r="Q40" s="118"/>
      <c r="R40" s="118"/>
      <c r="S40" s="118"/>
      <c r="T40" s="118"/>
      <c r="U40" s="118"/>
      <c r="V40" s="118"/>
      <c r="W40" s="118"/>
      <c r="X40" s="51"/>
      <c r="Y40" s="118"/>
      <c r="Z40" s="35"/>
    </row>
    <row r="41" spans="1:26" ht="12.75" customHeight="1" x14ac:dyDescent="0.2">
      <c r="A41" s="115"/>
      <c r="C41" s="118"/>
      <c r="D41" s="105"/>
      <c r="E41" s="105"/>
      <c r="F41" s="105"/>
      <c r="G41" s="105"/>
      <c r="H41" s="105"/>
      <c r="I41" s="105"/>
      <c r="J41" s="118"/>
      <c r="K41" s="112"/>
      <c r="L41" s="112"/>
      <c r="M41" s="112"/>
      <c r="N41" s="112"/>
      <c r="O41" s="118"/>
      <c r="P41" s="118"/>
      <c r="Q41" s="118"/>
      <c r="R41" s="118"/>
      <c r="S41" s="118"/>
      <c r="T41" s="118"/>
      <c r="U41" s="118"/>
      <c r="V41" s="118"/>
      <c r="W41" s="118"/>
      <c r="X41" s="51"/>
      <c r="Y41" s="118"/>
      <c r="Z41" s="35"/>
    </row>
    <row r="42" spans="1:26" ht="12.75" customHeight="1" thickBot="1" x14ac:dyDescent="0.25">
      <c r="A42" s="115"/>
      <c r="C42" s="119"/>
      <c r="D42" s="106"/>
      <c r="E42" s="106"/>
      <c r="F42" s="106"/>
      <c r="G42" s="106"/>
      <c r="H42" s="106"/>
      <c r="I42" s="106"/>
      <c r="J42" s="119"/>
      <c r="K42" s="113"/>
      <c r="L42" s="113"/>
      <c r="M42" s="113"/>
      <c r="N42" s="113"/>
      <c r="O42" s="119"/>
      <c r="P42" s="119"/>
      <c r="Q42" s="119"/>
      <c r="R42" s="119"/>
      <c r="S42" s="119"/>
      <c r="T42" s="119"/>
      <c r="U42" s="119"/>
      <c r="V42" s="119"/>
      <c r="W42" s="119"/>
      <c r="X42" s="52"/>
      <c r="Y42" s="119"/>
      <c r="Z42" s="36"/>
    </row>
    <row r="43" spans="1:26" ht="12.75" customHeight="1" x14ac:dyDescent="0.2">
      <c r="A43" s="37" t="s">
        <v>17</v>
      </c>
      <c r="B43" s="26"/>
      <c r="C43" s="4"/>
      <c r="D43" s="4"/>
      <c r="E43" s="4"/>
      <c r="F43" s="4"/>
      <c r="G43" s="4"/>
      <c r="H43" s="4"/>
      <c r="I43" s="16"/>
      <c r="J43" s="4"/>
      <c r="K43" s="4"/>
      <c r="L43" s="4"/>
      <c r="M43" s="4"/>
      <c r="N43" s="4"/>
      <c r="O43" s="16"/>
      <c r="P43" s="16"/>
      <c r="Q43" s="4"/>
      <c r="R43" s="4"/>
      <c r="S43" s="13"/>
      <c r="T43" s="4"/>
      <c r="U43" s="4"/>
      <c r="V43" s="13"/>
      <c r="W43" s="4"/>
      <c r="X43" s="4"/>
      <c r="Y43" s="4"/>
      <c r="Z43" s="68">
        <f>SUM(C43:Y43)</f>
        <v>0</v>
      </c>
    </row>
    <row r="44" spans="1:26" ht="12.75" customHeight="1" x14ac:dyDescent="0.2">
      <c r="A44" s="53" t="s">
        <v>18</v>
      </c>
      <c r="B44" s="54"/>
      <c r="C44" s="5"/>
      <c r="D44" s="5"/>
      <c r="E44" s="5"/>
      <c r="F44" s="5"/>
      <c r="G44" s="5"/>
      <c r="H44" s="5"/>
      <c r="I44" s="17"/>
      <c r="J44" s="5"/>
      <c r="K44" s="5"/>
      <c r="L44" s="5"/>
      <c r="M44" s="5"/>
      <c r="N44" s="5"/>
      <c r="O44" s="17"/>
      <c r="P44" s="17"/>
      <c r="Q44" s="5"/>
      <c r="R44" s="5"/>
      <c r="S44" s="10"/>
      <c r="T44" s="5"/>
      <c r="U44" s="5"/>
      <c r="V44" s="10"/>
      <c r="W44" s="5"/>
      <c r="X44" s="5"/>
      <c r="Y44" s="5"/>
      <c r="Z44" s="30">
        <f>SUM(C44:Y44)</f>
        <v>0</v>
      </c>
    </row>
    <row r="45" spans="1:26" ht="12.75" customHeight="1" x14ac:dyDescent="0.2">
      <c r="A45" s="53" t="s">
        <v>19</v>
      </c>
      <c r="B45" s="54"/>
      <c r="C45" s="1"/>
      <c r="D45" s="1"/>
      <c r="E45" s="1"/>
      <c r="F45" s="1"/>
      <c r="G45" s="1">
        <f t="shared" ref="G45:Y45" si="11">G43+G44</f>
        <v>0</v>
      </c>
      <c r="H45" s="1">
        <f t="shared" si="11"/>
        <v>0</v>
      </c>
      <c r="I45" s="1">
        <f t="shared" si="11"/>
        <v>0</v>
      </c>
      <c r="J45" s="1">
        <f t="shared" si="11"/>
        <v>0</v>
      </c>
      <c r="K45" s="1">
        <f t="shared" si="11"/>
        <v>0</v>
      </c>
      <c r="L45" s="1">
        <f t="shared" si="11"/>
        <v>0</v>
      </c>
      <c r="M45" s="1">
        <f t="shared" si="11"/>
        <v>0</v>
      </c>
      <c r="N45" s="1">
        <f t="shared" si="11"/>
        <v>0</v>
      </c>
      <c r="O45" s="1">
        <f t="shared" si="11"/>
        <v>0</v>
      </c>
      <c r="P45" s="1">
        <f t="shared" si="11"/>
        <v>0</v>
      </c>
      <c r="Q45" s="1">
        <f t="shared" si="11"/>
        <v>0</v>
      </c>
      <c r="R45" s="1">
        <f t="shared" si="11"/>
        <v>0</v>
      </c>
      <c r="S45" s="1">
        <f t="shared" si="11"/>
        <v>0</v>
      </c>
      <c r="T45" s="1">
        <f t="shared" si="11"/>
        <v>0</v>
      </c>
      <c r="U45" s="1">
        <f t="shared" si="11"/>
        <v>0</v>
      </c>
      <c r="V45" s="1">
        <f t="shared" si="11"/>
        <v>0</v>
      </c>
      <c r="W45" s="1">
        <f t="shared" si="11"/>
        <v>0</v>
      </c>
      <c r="X45" s="1">
        <f t="shared" si="11"/>
        <v>0</v>
      </c>
      <c r="Y45" s="1">
        <f t="shared" si="11"/>
        <v>0</v>
      </c>
      <c r="Z45" s="30">
        <f>SUM(C45:Y45)</f>
        <v>0</v>
      </c>
    </row>
    <row r="46" spans="1:26" ht="12.75" customHeight="1" thickBot="1" x14ac:dyDescent="0.25">
      <c r="A46" s="84" t="s">
        <v>47</v>
      </c>
      <c r="B46" s="85"/>
      <c r="C46" s="86" t="str">
        <f>IF(ISERR(C45/C6),"",C45/C6*1000000)</f>
        <v/>
      </c>
      <c r="D46" s="86" t="str">
        <f t="shared" ref="D46:Z46" si="12">IF(ISERR(D45/D6),"",D45/D6*1000000)</f>
        <v/>
      </c>
      <c r="E46" s="86" t="str">
        <f t="shared" si="12"/>
        <v/>
      </c>
      <c r="F46" s="86" t="str">
        <f t="shared" si="12"/>
        <v/>
      </c>
      <c r="G46" s="86" t="str">
        <f t="shared" si="12"/>
        <v/>
      </c>
      <c r="H46" s="86" t="str">
        <f t="shared" si="12"/>
        <v/>
      </c>
      <c r="I46" s="86" t="str">
        <f t="shared" si="12"/>
        <v/>
      </c>
      <c r="J46" s="86" t="str">
        <f t="shared" si="12"/>
        <v/>
      </c>
      <c r="K46" s="86" t="str">
        <f t="shared" si="12"/>
        <v/>
      </c>
      <c r="L46" s="86" t="str">
        <f t="shared" si="12"/>
        <v/>
      </c>
      <c r="M46" s="86" t="str">
        <f t="shared" si="12"/>
        <v/>
      </c>
      <c r="N46" s="86" t="str">
        <f t="shared" si="12"/>
        <v/>
      </c>
      <c r="O46" s="86" t="str">
        <f t="shared" si="12"/>
        <v/>
      </c>
      <c r="P46" s="86" t="str">
        <f t="shared" si="12"/>
        <v/>
      </c>
      <c r="Q46" s="86" t="str">
        <f t="shared" si="12"/>
        <v/>
      </c>
      <c r="R46" s="86" t="str">
        <f t="shared" si="12"/>
        <v/>
      </c>
      <c r="S46" s="86" t="str">
        <f t="shared" si="12"/>
        <v/>
      </c>
      <c r="T46" s="86" t="str">
        <f t="shared" si="12"/>
        <v/>
      </c>
      <c r="U46" s="86" t="str">
        <f t="shared" si="12"/>
        <v/>
      </c>
      <c r="V46" s="86" t="str">
        <f t="shared" si="12"/>
        <v/>
      </c>
      <c r="W46" s="86" t="str">
        <f t="shared" si="12"/>
        <v/>
      </c>
      <c r="X46" s="86" t="str">
        <f t="shared" si="12"/>
        <v/>
      </c>
      <c r="Y46" s="86" t="str">
        <f t="shared" si="12"/>
        <v/>
      </c>
      <c r="Z46" s="87" t="str">
        <f t="shared" si="12"/>
        <v/>
      </c>
    </row>
    <row r="47" spans="1:26" ht="12.75" customHeight="1" x14ac:dyDescent="0.2">
      <c r="A47" s="107" t="s">
        <v>58</v>
      </c>
      <c r="B47" s="108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2"/>
    </row>
    <row r="48" spans="1:26" ht="12.75" customHeight="1" thickBot="1" x14ac:dyDescent="0.25">
      <c r="A48" s="109" t="s">
        <v>57</v>
      </c>
      <c r="B48" s="110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3"/>
    </row>
    <row r="49" spans="1:26" ht="12.75" customHeight="1" x14ac:dyDescent="0.2">
      <c r="A49" s="88" t="s">
        <v>44</v>
      </c>
      <c r="C49" s="89"/>
      <c r="D49" s="89"/>
      <c r="E49" s="89"/>
      <c r="F49" s="89"/>
      <c r="G49" s="89"/>
      <c r="H49" s="89"/>
      <c r="I49" s="88" t="s">
        <v>45</v>
      </c>
      <c r="J49" s="89"/>
      <c r="K49" s="89"/>
      <c r="L49" s="89"/>
      <c r="M49" s="89"/>
      <c r="N49" s="89"/>
      <c r="O49" s="89"/>
      <c r="P49" s="89"/>
      <c r="Q49" s="90"/>
      <c r="R49" s="88" t="s">
        <v>46</v>
      </c>
      <c r="S49" s="89"/>
      <c r="T49" s="89"/>
      <c r="U49" s="89"/>
      <c r="V49" s="89"/>
      <c r="W49" s="89"/>
      <c r="X49" s="89"/>
      <c r="Y49" s="89"/>
      <c r="Z49" s="90"/>
    </row>
    <row r="50" spans="1:26" ht="12.75" customHeight="1" thickBot="1" x14ac:dyDescent="0.25">
      <c r="A50" s="55" t="s">
        <v>43</v>
      </c>
      <c r="B50" s="45"/>
      <c r="C50" s="56"/>
      <c r="D50" s="56"/>
      <c r="E50" s="56"/>
      <c r="F50" s="56"/>
      <c r="G50" s="56"/>
      <c r="H50" s="56"/>
      <c r="I50" s="55" t="s">
        <v>43</v>
      </c>
      <c r="J50" s="56"/>
      <c r="K50" s="56"/>
      <c r="L50" s="56"/>
      <c r="M50" s="56"/>
      <c r="N50" s="56"/>
      <c r="O50" s="56"/>
      <c r="P50" s="56"/>
      <c r="Q50" s="57"/>
      <c r="R50" s="55" t="s">
        <v>43</v>
      </c>
      <c r="S50" s="56"/>
      <c r="T50" s="56"/>
      <c r="U50" s="56"/>
      <c r="V50" s="56"/>
      <c r="W50" s="56"/>
      <c r="X50" s="56"/>
      <c r="Y50" s="56"/>
      <c r="Z50" s="57"/>
    </row>
    <row r="51" spans="1:26" x14ac:dyDescent="0.2">
      <c r="A51" s="58" t="s">
        <v>20</v>
      </c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</row>
    <row r="53" spans="1:26" x14ac:dyDescent="0.2">
      <c r="A53" t="s">
        <v>21</v>
      </c>
      <c r="C53" s="60">
        <f>TARGET_1</f>
        <v>800</v>
      </c>
    </row>
    <row r="54" spans="1:26" x14ac:dyDescent="0.2">
      <c r="A54" t="s">
        <v>22</v>
      </c>
      <c r="C54" s="60">
        <f>TARGET_2</f>
        <v>1800</v>
      </c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</row>
    <row r="56" spans="1:26" x14ac:dyDescent="0.2">
      <c r="A56" s="1" t="s">
        <v>28</v>
      </c>
      <c r="B56" s="1"/>
      <c r="C56" s="62">
        <f>C2</f>
        <v>0</v>
      </c>
      <c r="D56" s="62">
        <f t="shared" ref="D56:Y56" si="13">D2</f>
        <v>0</v>
      </c>
      <c r="E56" s="62">
        <f t="shared" si="13"/>
        <v>0</v>
      </c>
      <c r="F56" s="62">
        <f t="shared" si="13"/>
        <v>0</v>
      </c>
      <c r="G56" s="62">
        <f t="shared" si="13"/>
        <v>0</v>
      </c>
      <c r="H56" s="62">
        <f t="shared" si="13"/>
        <v>0</v>
      </c>
      <c r="I56" s="62">
        <f t="shared" si="13"/>
        <v>0</v>
      </c>
      <c r="J56" s="62">
        <f t="shared" si="13"/>
        <v>0</v>
      </c>
      <c r="K56" s="62">
        <f t="shared" si="13"/>
        <v>0</v>
      </c>
      <c r="L56" s="62">
        <f t="shared" si="13"/>
        <v>0</v>
      </c>
      <c r="M56" s="62">
        <f t="shared" si="13"/>
        <v>0</v>
      </c>
      <c r="N56" s="62">
        <f t="shared" si="13"/>
        <v>0</v>
      </c>
      <c r="O56" s="62">
        <f t="shared" si="13"/>
        <v>0</v>
      </c>
      <c r="P56" s="62">
        <f t="shared" si="13"/>
        <v>0</v>
      </c>
      <c r="Q56" s="62">
        <f t="shared" si="13"/>
        <v>0</v>
      </c>
      <c r="R56" s="62">
        <f t="shared" si="13"/>
        <v>0</v>
      </c>
      <c r="S56" s="62">
        <f t="shared" si="13"/>
        <v>0</v>
      </c>
      <c r="T56" s="62">
        <f t="shared" si="13"/>
        <v>0</v>
      </c>
      <c r="U56" s="62">
        <f t="shared" si="13"/>
        <v>0</v>
      </c>
      <c r="V56" s="62">
        <f t="shared" si="13"/>
        <v>0</v>
      </c>
      <c r="W56" s="62">
        <f t="shared" si="13"/>
        <v>0</v>
      </c>
      <c r="X56" s="62">
        <f t="shared" si="13"/>
        <v>0</v>
      </c>
      <c r="Y56" s="62">
        <f t="shared" si="13"/>
        <v>0</v>
      </c>
    </row>
    <row r="57" spans="1:26" ht="126.75" customHeight="1" x14ac:dyDescent="0.2">
      <c r="A57" s="61" t="s">
        <v>29</v>
      </c>
      <c r="B57" s="61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Q57" s="63"/>
      <c r="R57" s="63"/>
      <c r="S57" s="63"/>
      <c r="T57" s="63"/>
      <c r="U57" s="63"/>
      <c r="V57" s="64"/>
      <c r="W57" s="64"/>
      <c r="X57" s="64"/>
      <c r="Y57" s="64"/>
    </row>
    <row r="58" spans="1:26" ht="134.25" customHeight="1" x14ac:dyDescent="0.2">
      <c r="A58" s="61" t="s">
        <v>30</v>
      </c>
      <c r="B58" s="61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4"/>
      <c r="U58" s="64"/>
      <c r="V58" s="64"/>
      <c r="W58" s="64"/>
      <c r="X58" s="64"/>
      <c r="Y58" s="65"/>
    </row>
    <row r="60" spans="1:26" x14ac:dyDescent="0.2">
      <c r="C60">
        <f>C4-C5</f>
        <v>0</v>
      </c>
      <c r="D60">
        <f t="shared" ref="D60:Y61" si="14">D4-D5</f>
        <v>0</v>
      </c>
      <c r="E60">
        <f t="shared" si="14"/>
        <v>0</v>
      </c>
      <c r="F60">
        <f t="shared" si="14"/>
        <v>0</v>
      </c>
      <c r="G60">
        <f t="shared" si="14"/>
        <v>0</v>
      </c>
      <c r="H60">
        <f t="shared" si="14"/>
        <v>0</v>
      </c>
      <c r="I60">
        <f t="shared" si="14"/>
        <v>0</v>
      </c>
      <c r="J60">
        <f t="shared" si="14"/>
        <v>0</v>
      </c>
      <c r="K60">
        <f t="shared" si="14"/>
        <v>0</v>
      </c>
      <c r="L60">
        <f t="shared" si="14"/>
        <v>0</v>
      </c>
      <c r="M60">
        <f t="shared" si="14"/>
        <v>0</v>
      </c>
      <c r="N60">
        <f t="shared" si="14"/>
        <v>0</v>
      </c>
      <c r="O60">
        <f t="shared" si="14"/>
        <v>0</v>
      </c>
      <c r="P60">
        <f t="shared" si="14"/>
        <v>0</v>
      </c>
      <c r="Q60">
        <f t="shared" si="14"/>
        <v>0</v>
      </c>
      <c r="R60">
        <f t="shared" si="14"/>
        <v>0</v>
      </c>
      <c r="S60">
        <f t="shared" si="14"/>
        <v>0</v>
      </c>
      <c r="T60">
        <f t="shared" si="14"/>
        <v>0</v>
      </c>
      <c r="U60">
        <f t="shared" si="14"/>
        <v>0</v>
      </c>
      <c r="V60">
        <f t="shared" si="14"/>
        <v>0</v>
      </c>
      <c r="W60">
        <f t="shared" si="14"/>
        <v>0</v>
      </c>
      <c r="X60">
        <f t="shared" si="14"/>
        <v>0</v>
      </c>
      <c r="Y60">
        <f t="shared" si="14"/>
        <v>0</v>
      </c>
    </row>
    <row r="61" spans="1:26" x14ac:dyDescent="0.2">
      <c r="C61">
        <f>C5-C6</f>
        <v>0</v>
      </c>
      <c r="D61">
        <f t="shared" si="14"/>
        <v>0</v>
      </c>
      <c r="E61">
        <f t="shared" si="14"/>
        <v>0</v>
      </c>
      <c r="F61">
        <f t="shared" si="14"/>
        <v>0</v>
      </c>
      <c r="G61">
        <f t="shared" si="14"/>
        <v>0</v>
      </c>
      <c r="H61">
        <f t="shared" si="14"/>
        <v>0</v>
      </c>
      <c r="I61">
        <f t="shared" si="14"/>
        <v>0</v>
      </c>
      <c r="J61">
        <f t="shared" si="14"/>
        <v>0</v>
      </c>
      <c r="K61">
        <f t="shared" si="14"/>
        <v>0</v>
      </c>
      <c r="L61">
        <f t="shared" si="14"/>
        <v>0</v>
      </c>
      <c r="M61">
        <f t="shared" si="14"/>
        <v>0</v>
      </c>
      <c r="N61">
        <f t="shared" si="14"/>
        <v>0</v>
      </c>
      <c r="O61">
        <f t="shared" si="14"/>
        <v>0</v>
      </c>
      <c r="P61">
        <f t="shared" si="14"/>
        <v>0</v>
      </c>
      <c r="Q61">
        <f t="shared" si="14"/>
        <v>0</v>
      </c>
      <c r="R61">
        <f t="shared" si="14"/>
        <v>0</v>
      </c>
      <c r="S61">
        <f t="shared" si="14"/>
        <v>0</v>
      </c>
      <c r="T61">
        <f t="shared" si="14"/>
        <v>0</v>
      </c>
      <c r="U61">
        <f t="shared" si="14"/>
        <v>0</v>
      </c>
      <c r="V61">
        <f t="shared" si="14"/>
        <v>0</v>
      </c>
      <c r="W61">
        <f t="shared" si="14"/>
        <v>0</v>
      </c>
      <c r="X61">
        <f t="shared" si="14"/>
        <v>0</v>
      </c>
      <c r="Y61">
        <f t="shared" si="14"/>
        <v>0</v>
      </c>
    </row>
  </sheetData>
  <sheetProtection selectLockedCells="1"/>
  <mergeCells count="51">
    <mergeCell ref="U7:U15"/>
    <mergeCell ref="V7:V15"/>
    <mergeCell ref="W7:W15"/>
    <mergeCell ref="Q7:Q15"/>
    <mergeCell ref="C7:C15"/>
    <mergeCell ref="D7:D15"/>
    <mergeCell ref="E7:E15"/>
    <mergeCell ref="F7:F15"/>
    <mergeCell ref="G7:G15"/>
    <mergeCell ref="H7:H15"/>
    <mergeCell ref="I7:I15"/>
    <mergeCell ref="J7:J15"/>
    <mergeCell ref="K7:K15"/>
    <mergeCell ref="L7:L15"/>
    <mergeCell ref="M7:M15"/>
    <mergeCell ref="N7:N15"/>
    <mergeCell ref="I34:I42"/>
    <mergeCell ref="R7:R15"/>
    <mergeCell ref="S7:S15"/>
    <mergeCell ref="T7:T15"/>
    <mergeCell ref="O7:O15"/>
    <mergeCell ref="P7:P15"/>
    <mergeCell ref="A8:A15"/>
    <mergeCell ref="C34:C42"/>
    <mergeCell ref="D34:D42"/>
    <mergeCell ref="E34:E42"/>
    <mergeCell ref="F34:F42"/>
    <mergeCell ref="A35:A42"/>
    <mergeCell ref="A47:B47"/>
    <mergeCell ref="T34:T42"/>
    <mergeCell ref="U34:U42"/>
    <mergeCell ref="A48:B48"/>
    <mergeCell ref="P34:P42"/>
    <mergeCell ref="Q34:Q42"/>
    <mergeCell ref="R34:R42"/>
    <mergeCell ref="S34:S42"/>
    <mergeCell ref="J34:J42"/>
    <mergeCell ref="K34:K42"/>
    <mergeCell ref="L34:L42"/>
    <mergeCell ref="M34:M42"/>
    <mergeCell ref="N34:N42"/>
    <mergeCell ref="O34:O42"/>
    <mergeCell ref="G34:G42"/>
    <mergeCell ref="H34:H42"/>
    <mergeCell ref="W1:X1"/>
    <mergeCell ref="Y1:Z1"/>
    <mergeCell ref="V34:V42"/>
    <mergeCell ref="W34:W42"/>
    <mergeCell ref="Y34:Y42"/>
    <mergeCell ref="X7:X15"/>
    <mergeCell ref="Y7:Y15"/>
  </mergeCells>
  <conditionalFormatting sqref="C24:Z24">
    <cfRule type="cellIs" dxfId="7" priority="2" stopIfTrue="1" operator="notEqual">
      <formula>C$4-C$5</formula>
    </cfRule>
  </conditionalFormatting>
  <conditionalFormatting sqref="C30:Z30">
    <cfRule type="cellIs" dxfId="6" priority="3" stopIfTrue="1" operator="notEqual">
      <formula>C$6-C$5</formula>
    </cfRule>
  </conditionalFormatting>
  <conditionalFormatting sqref="Z45">
    <cfRule type="cellIs" dxfId="5" priority="4" stopIfTrue="1" operator="notEqual">
      <formula>SUM($C$43:$Y$44)</formula>
    </cfRule>
  </conditionalFormatting>
  <conditionalFormatting sqref="Z5">
    <cfRule type="cellIs" dxfId="4" priority="5" stopIfTrue="1" operator="notEqual">
      <formula>SUM($C$5:$Y$5)</formula>
    </cfRule>
  </conditionalFormatting>
  <conditionalFormatting sqref="Z6">
    <cfRule type="expression" dxfId="3" priority="1">
      <formula>$Z$6&lt;&gt;$AB$6</formula>
    </cfRule>
    <cfRule type="cellIs" dxfId="2" priority="6" stopIfTrue="1" operator="notEqual">
      <formula>SUM($C$6:$Y$6)</formula>
    </cfRule>
  </conditionalFormatting>
  <conditionalFormatting sqref="Z4">
    <cfRule type="cellIs" dxfId="1" priority="7" stopIfTrue="1" operator="notEqual">
      <formula>SUM($C$4:$Y$4)</formula>
    </cfRule>
  </conditionalFormatting>
  <conditionalFormatting sqref="Z31">
    <cfRule type="cellIs" dxfId="0" priority="8" stopIfTrue="1" operator="notEqual">
      <formula>SUM($Z$16:$Z$22,$C$25:$Y$29)</formula>
    </cfRule>
  </conditionalFormatting>
  <dataValidations count="1">
    <dataValidation type="date" allowBlank="1" showInputMessage="1" showErrorMessage="1" sqref="C2:Y2" xr:uid="{00000000-0002-0000-02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27559055118110237" header="0.27559055118110237" footer="0.19685039370078741"/>
  <pageSetup paperSize="9" scale="71" orientation="landscape" r:id="rId1"/>
  <headerFooter alignWithMargins="0">
    <oddFooter>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20</xdr:col>
                    <xdr:colOff>19050</xdr:colOff>
                    <xdr:row>0</xdr:row>
                    <xdr:rowOff>9525</xdr:rowOff>
                  </from>
                  <to>
                    <xdr:col>21</xdr:col>
                    <xdr:colOff>295275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20</xdr:col>
                    <xdr:colOff>19050</xdr:colOff>
                    <xdr:row>0</xdr:row>
                    <xdr:rowOff>180975</xdr:rowOff>
                  </from>
                  <to>
                    <xdr:col>21</xdr:col>
                    <xdr:colOff>295275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"/>
  <sheetViews>
    <sheetView topLeftCell="A10" workbookViewId="0">
      <selection activeCell="Z25" sqref="Z25"/>
    </sheetView>
  </sheetViews>
  <sheetFormatPr defaultRowHeight="12.75" x14ac:dyDescent="0.2"/>
  <sheetData/>
  <sheetProtection algorithmName="SHA-512" hashValue="RHShYyrmRhYEXdKSrktR0mE1oIZqvf485ifoQJLRkF/4/Tp2NUEaQzOgdIuCU7nhO37ZXG2C8rAU4TrwfQ6Scw==" saltValue="xTCZmrqzwAJG8cfXsS/Kiw==" spinCount="10000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N33"/>
  <sheetViews>
    <sheetView tabSelected="1" workbookViewId="0">
      <selection activeCell="B1" sqref="B1"/>
    </sheetView>
  </sheetViews>
  <sheetFormatPr defaultRowHeight="12.75" x14ac:dyDescent="0.2"/>
  <cols>
    <col min="2" max="2" width="18" bestFit="1" customWidth="1"/>
    <col min="3" max="3" width="12.42578125" bestFit="1" customWidth="1"/>
    <col min="9" max="9" width="15.7109375" bestFit="1" customWidth="1"/>
  </cols>
  <sheetData>
    <row r="1" spans="1:7" x14ac:dyDescent="0.2">
      <c r="A1" s="1"/>
      <c r="B1" s="1" t="s">
        <v>23</v>
      </c>
      <c r="C1" s="1" t="s">
        <v>31</v>
      </c>
      <c r="D1" s="1" t="s">
        <v>24</v>
      </c>
      <c r="E1" s="14"/>
      <c r="F1" s="14"/>
      <c r="G1" s="14"/>
    </row>
    <row r="2" spans="1:7" ht="12.75" customHeight="1" x14ac:dyDescent="0.2">
      <c r="A2" s="120" t="s">
        <v>25</v>
      </c>
      <c r="B2" s="6" t="str">
        <f>'SJCPIL-R 14-101 - DIA'!A16</f>
        <v>TAMPÃO</v>
      </c>
      <c r="C2" s="1">
        <f>'SJCPIL-R 14-101 - DIA'!$Y16</f>
        <v>0</v>
      </c>
      <c r="D2" s="1">
        <f>'SJCPIL-R 14-101 - NOITE'!$Y16</f>
        <v>0</v>
      </c>
      <c r="E2" s="15"/>
      <c r="F2" s="15"/>
      <c r="G2" s="15"/>
    </row>
    <row r="3" spans="1:7" x14ac:dyDescent="0.2">
      <c r="A3" s="120"/>
      <c r="B3" s="6" t="str">
        <f>'SJCPIL-R 14-101 - DIA'!A17</f>
        <v>ISOLADOR SUP.</v>
      </c>
      <c r="C3" s="1">
        <f>'SJCPIL-R 14-101 - DIA'!$Y17</f>
        <v>0</v>
      </c>
      <c r="D3" s="1">
        <f>'SJCPIL-R 14-101 - NOITE'!$Y17</f>
        <v>0</v>
      </c>
      <c r="E3" s="15"/>
      <c r="F3" s="15"/>
      <c r="G3" s="15"/>
    </row>
    <row r="4" spans="1:7" x14ac:dyDescent="0.2">
      <c r="A4" s="120"/>
      <c r="B4" s="6" t="str">
        <f>'SJCPIL-R 14-101 - DIA'!A18</f>
        <v>CARVÃO</v>
      </c>
      <c r="C4" s="1">
        <f>'SJCPIL-R 14-101 - DIA'!$Y18</f>
        <v>0</v>
      </c>
      <c r="D4" s="1">
        <f>'SJCPIL-R 14-101 - NOITE'!$Y18</f>
        <v>0</v>
      </c>
      <c r="E4" s="15"/>
      <c r="F4" s="15"/>
      <c r="G4" s="15"/>
    </row>
    <row r="5" spans="1:7" x14ac:dyDescent="0.2">
      <c r="A5" s="120"/>
      <c r="B5" s="6" t="str">
        <f>'SJCPIL-R 14-101 - DIA'!A19</f>
        <v>TUBO DE ZINCO</v>
      </c>
      <c r="C5" s="1">
        <f>'SJCPIL-R 14-101 - DIA'!$Y19</f>
        <v>0</v>
      </c>
      <c r="D5" s="1">
        <f>'SJCPIL-R 14-101 - NOITE'!$Y19</f>
        <v>0</v>
      </c>
      <c r="E5" s="15"/>
      <c r="F5" s="15"/>
      <c r="G5" s="15"/>
    </row>
    <row r="6" spans="1:7" x14ac:dyDescent="0.2">
      <c r="A6" s="120"/>
      <c r="B6" s="6" t="str">
        <f>'SJCPIL-R 14-101 - DIA'!A20</f>
        <v>BOBINA ALTA</v>
      </c>
      <c r="C6" s="1">
        <f>'SJCPIL-R 14-101 - DIA'!$Y22</f>
        <v>0</v>
      </c>
      <c r="D6" s="1">
        <f>'SJCPIL-R 14-101 - NOITE'!$Y22</f>
        <v>0</v>
      </c>
      <c r="E6" s="15"/>
      <c r="F6" s="15"/>
      <c r="G6" s="15"/>
    </row>
    <row r="7" spans="1:7" x14ac:dyDescent="0.2">
      <c r="A7" s="120"/>
      <c r="B7" s="6" t="str">
        <f>'SJCPIL-R 14-101 - DIA'!A21</f>
        <v>BOBINA BAIXA</v>
      </c>
      <c r="C7" s="1">
        <f>'SJCPIL-R 14-101 - DIA'!$Y23</f>
        <v>0</v>
      </c>
      <c r="D7" s="1">
        <f>'SJCPIL-R 14-101 - NOITE'!$Y23</f>
        <v>0</v>
      </c>
      <c r="E7" s="15"/>
      <c r="F7" s="15"/>
      <c r="G7" s="15"/>
    </row>
    <row r="8" spans="1:7" x14ac:dyDescent="0.2">
      <c r="A8" s="120"/>
      <c r="B8" s="6" t="str">
        <f>'SJCPIL-R 14-101 - DIA'!A22</f>
        <v>EVERTACK</v>
      </c>
      <c r="C8" s="1">
        <f>'SJCPIL-R 14-101 - DIA'!$Y22</f>
        <v>0</v>
      </c>
      <c r="D8" s="1">
        <f>'SJCPIL-R 14-101 - NOITE'!$Y22</f>
        <v>0</v>
      </c>
      <c r="E8" s="15"/>
      <c r="F8" s="15"/>
      <c r="G8" s="15"/>
    </row>
    <row r="9" spans="1:7" x14ac:dyDescent="0.2">
      <c r="A9" s="120"/>
      <c r="B9" s="6" t="str">
        <f>'SJCPIL-R 14-101 - DIA'!A23</f>
        <v>PY</v>
      </c>
      <c r="C9" s="1">
        <f>'SJCPIL-R 14-101 - DIA'!$Y23</f>
        <v>0</v>
      </c>
      <c r="D9" s="1">
        <f>'SJCPIL-R 14-101 - NOITE'!$Y23</f>
        <v>0</v>
      </c>
      <c r="E9" s="15"/>
      <c r="F9" s="15"/>
      <c r="G9" s="15"/>
    </row>
    <row r="10" spans="1:7" x14ac:dyDescent="0.2">
      <c r="A10" s="120"/>
      <c r="B10" s="6" t="str">
        <f>'SJCPIL-R 14-101 - DIA'!A25</f>
        <v>PVC</v>
      </c>
      <c r="C10" s="1">
        <f>'SJCPIL-R 14-101 - DIA'!$Y25</f>
        <v>0</v>
      </c>
      <c r="D10" s="1">
        <f>'SJCPIL-R 14-101 - NOITE'!$Y25</f>
        <v>0</v>
      </c>
      <c r="E10" s="15"/>
      <c r="F10" s="15"/>
      <c r="G10" s="15"/>
    </row>
    <row r="11" spans="1:7" x14ac:dyDescent="0.2">
      <c r="A11" s="120"/>
      <c r="B11" s="6" t="str">
        <f>'SJCPIL-R 14-101 - DIA'!A26</f>
        <v>ENCOLHIMENTO</v>
      </c>
      <c r="C11" s="1">
        <f>'SJCPIL-R 14-101 - DIA'!$Y26</f>
        <v>0</v>
      </c>
      <c r="D11" s="1">
        <f>'SJCPIL-R 14-101 - NOITE'!$Y26</f>
        <v>0</v>
      </c>
      <c r="E11" s="15"/>
      <c r="F11" s="15"/>
      <c r="G11" s="15"/>
    </row>
    <row r="12" spans="1:7" ht="12.75" customHeight="1" x14ac:dyDescent="0.2">
      <c r="A12" s="120"/>
      <c r="B12" s="6" t="str">
        <f>'SJCPIL-R 14-101 - DIA'!A27</f>
        <v>CAP</v>
      </c>
      <c r="C12" s="1">
        <f>'SJCPIL-R 14-101 - DIA'!$Y27</f>
        <v>0</v>
      </c>
      <c r="D12" s="1">
        <f>'SJCPIL-R 14-101 - NOITE'!$Y27</f>
        <v>0</v>
      </c>
      <c r="E12" s="15"/>
      <c r="F12" s="15"/>
      <c r="G12" s="15"/>
    </row>
    <row r="13" spans="1:7" x14ac:dyDescent="0.2">
      <c r="A13" s="120"/>
      <c r="B13" s="6" t="str">
        <f>'SJCPIL-R 14-101 - DIA'!A28</f>
        <v>SHIMA</v>
      </c>
      <c r="C13" s="1">
        <f>'SJCPIL-R 14-101 - DIA'!$Y28</f>
        <v>0</v>
      </c>
      <c r="D13" s="1">
        <f>'SJCPIL-R 14-101 - NOITE'!$Y28</f>
        <v>0</v>
      </c>
      <c r="E13" s="15"/>
      <c r="F13" s="15"/>
      <c r="G13" s="15"/>
    </row>
    <row r="14" spans="1:7" x14ac:dyDescent="0.2">
      <c r="A14" s="120"/>
      <c r="B14" s="6" t="s">
        <v>26</v>
      </c>
      <c r="C14" s="1">
        <f>'SJCPIL-R 14-101 - DIA'!$Y29</f>
        <v>0</v>
      </c>
      <c r="D14" s="1">
        <f>'SJCPIL-R 14-101 - NOITE'!$Y29</f>
        <v>0</v>
      </c>
      <c r="E14" s="15"/>
      <c r="F14" s="15"/>
      <c r="G14" s="15"/>
    </row>
    <row r="15" spans="1:7" x14ac:dyDescent="0.2">
      <c r="A15" s="120"/>
      <c r="B15" s="6" t="s">
        <v>19</v>
      </c>
      <c r="C15" s="1">
        <f>SUM(C2:C14)</f>
        <v>0</v>
      </c>
      <c r="D15" s="1">
        <f>SUM(D2:D14)</f>
        <v>0</v>
      </c>
      <c r="E15" s="15"/>
      <c r="F15" s="15"/>
      <c r="G15" s="15"/>
    </row>
    <row r="16" spans="1:7" x14ac:dyDescent="0.2">
      <c r="A16" s="121" t="s">
        <v>27</v>
      </c>
      <c r="B16" s="7" t="s">
        <v>17</v>
      </c>
      <c r="C16" s="1">
        <f>'SJCPIL-R 14-101 - DIA'!$Y43</f>
        <v>0</v>
      </c>
      <c r="D16" s="1">
        <f>'SJCPIL-R 14-101 - NOITE'!$Y43</f>
        <v>0</v>
      </c>
    </row>
    <row r="17" spans="1:14" x14ac:dyDescent="0.2">
      <c r="A17" s="121"/>
      <c r="B17" s="7" t="s">
        <v>18</v>
      </c>
      <c r="C17" s="1">
        <f>'SJCPIL-R 14-101 - DIA'!$Y44</f>
        <v>0</v>
      </c>
      <c r="D17" s="1">
        <f>'SJCPIL-R 14-101 - NOITE'!$Y44</f>
        <v>0</v>
      </c>
    </row>
    <row r="18" spans="1:14" x14ac:dyDescent="0.2">
      <c r="A18" s="121"/>
      <c r="B18" s="7" t="s">
        <v>19</v>
      </c>
      <c r="C18" s="1">
        <f>SUM(C16:C17)</f>
        <v>0</v>
      </c>
      <c r="D18" s="1">
        <f>SUM(D16:D17)</f>
        <v>0</v>
      </c>
    </row>
    <row r="19" spans="1:14" x14ac:dyDescent="0.2">
      <c r="H19" t="s">
        <v>37</v>
      </c>
    </row>
    <row r="20" spans="1:14" x14ac:dyDescent="0.2">
      <c r="A20" t="s">
        <v>33</v>
      </c>
      <c r="B20" s="18" t="s">
        <v>32</v>
      </c>
      <c r="C20" t="s">
        <v>42</v>
      </c>
      <c r="D20" t="s">
        <v>34</v>
      </c>
      <c r="E20" t="s">
        <v>35</v>
      </c>
      <c r="F20" t="s">
        <v>36</v>
      </c>
      <c r="H20" t="s">
        <v>33</v>
      </c>
      <c r="I20" t="s">
        <v>23</v>
      </c>
      <c r="J20" t="s">
        <v>38</v>
      </c>
      <c r="K20" t="s">
        <v>39</v>
      </c>
      <c r="L20" t="s">
        <v>40</v>
      </c>
      <c r="M20" t="s">
        <v>41</v>
      </c>
      <c r="N20" t="s">
        <v>59</v>
      </c>
    </row>
    <row r="21" spans="1:14" x14ac:dyDescent="0.2">
      <c r="A21">
        <v>1</v>
      </c>
      <c r="B21" s="19" t="s">
        <v>4</v>
      </c>
      <c r="C21" s="20" t="e">
        <f>('SJCPIL-R 14-101 - DIA'!Y16)/('SJCPIL-R 14-101 - DIA'!$Y$5)*1000000</f>
        <v>#DIV/0!</v>
      </c>
      <c r="D21" t="e">
        <f>C21*50+A21*20</f>
        <v>#DIV/0!</v>
      </c>
      <c r="E21" t="e">
        <f>LARGE(D$21:D$33,A21)</f>
        <v>#DIV/0!</v>
      </c>
      <c r="F21" t="e">
        <f>MATCH(E21,D$21:D$33,0)</f>
        <v>#DIV/0!</v>
      </c>
      <c r="H21">
        <v>1</v>
      </c>
      <c r="I21" t="e">
        <f>VLOOKUP(F21,A$21:C$33,2,0)</f>
        <v>#DIV/0!</v>
      </c>
      <c r="J21" s="60" t="e">
        <f>VLOOKUP(F21,A$21:C$33,3,0)</f>
        <v>#DIV/0!</v>
      </c>
      <c r="K21" s="21" t="e">
        <f>J21/L$33*100</f>
        <v>#DIV/0!</v>
      </c>
      <c r="L21" t="e">
        <f>J21</f>
        <v>#DIV/0!</v>
      </c>
      <c r="M21" s="20" t="e">
        <f>L21/L$33*100</f>
        <v>#DIV/0!</v>
      </c>
      <c r="N21" s="60" t="e">
        <f>IF(($C$15&gt;TARGET_1)*(M21&lt;80),J21,0)</f>
        <v>#DIV/0!</v>
      </c>
    </row>
    <row r="22" spans="1:14" x14ac:dyDescent="0.2">
      <c r="A22">
        <v>2</v>
      </c>
      <c r="B22" s="19" t="s">
        <v>5</v>
      </c>
      <c r="C22" s="20" t="e">
        <f>('SJCPIL-R 14-101 - DIA'!Y17)/('SJCPIL-R 14-101 - DIA'!$Y$5)*1000000</f>
        <v>#DIV/0!</v>
      </c>
      <c r="D22" t="e">
        <f t="shared" ref="D22:D33" si="0">C22*50+A22*20</f>
        <v>#DIV/0!</v>
      </c>
      <c r="E22" t="e">
        <f t="shared" ref="E22:E33" si="1">LARGE(D$21:D$33,A22)</f>
        <v>#DIV/0!</v>
      </c>
      <c r="F22" t="e">
        <f t="shared" ref="F22:F33" si="2">MATCH(E22,D$21:D$33,0)</f>
        <v>#DIV/0!</v>
      </c>
      <c r="H22">
        <v>2</v>
      </c>
      <c r="I22" t="e">
        <f>VLOOKUP(F22,A$21:C$33,2,0)</f>
        <v>#DIV/0!</v>
      </c>
      <c r="J22" s="60" t="e">
        <f>VLOOKUP(F22,A$21:C$33,3,0)</f>
        <v>#DIV/0!</v>
      </c>
      <c r="K22" s="21" t="e">
        <f>J22/L$33*100</f>
        <v>#DIV/0!</v>
      </c>
      <c r="L22" t="e">
        <f>J22+L21</f>
        <v>#DIV/0!</v>
      </c>
      <c r="M22" s="20" t="e">
        <f>L22/L$33*100</f>
        <v>#DIV/0!</v>
      </c>
      <c r="N22" s="60" t="e">
        <f t="shared" ref="N22:N33" si="3">IF(($C$15&gt;TARGET_1)*(M22&lt;80),J22,0)</f>
        <v>#DIV/0!</v>
      </c>
    </row>
    <row r="23" spans="1:14" x14ac:dyDescent="0.2">
      <c r="A23">
        <v>3</v>
      </c>
      <c r="B23" s="19" t="s">
        <v>6</v>
      </c>
      <c r="C23" s="20" t="e">
        <f>('SJCPIL-R 14-101 - DIA'!Y18)/('SJCPIL-R 14-101 - DIA'!$Y$5)*1000000</f>
        <v>#DIV/0!</v>
      </c>
      <c r="D23" t="e">
        <f t="shared" si="0"/>
        <v>#DIV/0!</v>
      </c>
      <c r="E23" t="e">
        <f t="shared" si="1"/>
        <v>#DIV/0!</v>
      </c>
      <c r="F23" t="e">
        <f t="shared" si="2"/>
        <v>#DIV/0!</v>
      </c>
      <c r="H23">
        <v>3</v>
      </c>
      <c r="I23" t="e">
        <f t="shared" ref="I23:I33" si="4">VLOOKUP(F23,A$21:C$33,2,0)</f>
        <v>#DIV/0!</v>
      </c>
      <c r="J23" s="60" t="e">
        <f>VLOOKUP(F23,A$21:C$33,3,0)</f>
        <v>#DIV/0!</v>
      </c>
      <c r="K23" s="21" t="e">
        <f>J23/L$33*100</f>
        <v>#DIV/0!</v>
      </c>
      <c r="L23" t="e">
        <f t="shared" ref="L23:L33" si="5">J23+L22</f>
        <v>#DIV/0!</v>
      </c>
      <c r="M23" s="20" t="e">
        <f>L23/L$33*100</f>
        <v>#DIV/0!</v>
      </c>
      <c r="N23" s="60" t="e">
        <f t="shared" si="3"/>
        <v>#DIV/0!</v>
      </c>
    </row>
    <row r="24" spans="1:14" x14ac:dyDescent="0.2">
      <c r="A24">
        <v>4</v>
      </c>
      <c r="B24" s="19" t="s">
        <v>63</v>
      </c>
      <c r="C24" s="20" t="e">
        <f>('SJCPIL-R 14-101 - DIA'!Y19)/('SJCPIL-R 14-101 - DIA'!$Y$5)*1000000</f>
        <v>#DIV/0!</v>
      </c>
      <c r="D24" t="e">
        <f t="shared" si="0"/>
        <v>#DIV/0!</v>
      </c>
      <c r="E24" t="e">
        <f t="shared" si="1"/>
        <v>#DIV/0!</v>
      </c>
      <c r="F24" t="e">
        <f t="shared" si="2"/>
        <v>#DIV/0!</v>
      </c>
      <c r="H24">
        <v>4</v>
      </c>
      <c r="I24" t="e">
        <f t="shared" si="4"/>
        <v>#DIV/0!</v>
      </c>
      <c r="J24" s="60" t="e">
        <f t="shared" ref="J24:J33" si="6">VLOOKUP(F24,A$21:C$33,3,0)</f>
        <v>#DIV/0!</v>
      </c>
      <c r="K24" s="21" t="e">
        <f t="shared" ref="K24:K33" si="7">J24/L$33*100</f>
        <v>#DIV/0!</v>
      </c>
      <c r="L24" t="e">
        <f t="shared" si="5"/>
        <v>#DIV/0!</v>
      </c>
      <c r="M24" s="20" t="e">
        <f t="shared" ref="M24:M33" si="8">L24/L$33*100</f>
        <v>#DIV/0!</v>
      </c>
      <c r="N24" s="60" t="e">
        <f t="shared" si="3"/>
        <v>#DIV/0!</v>
      </c>
    </row>
    <row r="25" spans="1:14" x14ac:dyDescent="0.2">
      <c r="A25">
        <v>5</v>
      </c>
      <c r="B25" s="19" t="s">
        <v>7</v>
      </c>
      <c r="C25" s="20" t="e">
        <f>('SJCPIL-R 14-101 - DIA'!Y20)/('SJCPIL-R 14-101 - DIA'!$Y$5)*1000000</f>
        <v>#DIV/0!</v>
      </c>
      <c r="D25" t="e">
        <f t="shared" si="0"/>
        <v>#DIV/0!</v>
      </c>
      <c r="E25" t="e">
        <f t="shared" si="1"/>
        <v>#DIV/0!</v>
      </c>
      <c r="F25" t="e">
        <f t="shared" si="2"/>
        <v>#DIV/0!</v>
      </c>
      <c r="H25">
        <v>5</v>
      </c>
      <c r="I25" t="e">
        <f t="shared" si="4"/>
        <v>#DIV/0!</v>
      </c>
      <c r="J25" s="60" t="e">
        <f t="shared" si="6"/>
        <v>#DIV/0!</v>
      </c>
      <c r="K25" s="21" t="e">
        <f t="shared" si="7"/>
        <v>#DIV/0!</v>
      </c>
      <c r="L25" t="e">
        <f t="shared" si="5"/>
        <v>#DIV/0!</v>
      </c>
      <c r="M25" s="20" t="e">
        <f t="shared" si="8"/>
        <v>#DIV/0!</v>
      </c>
      <c r="N25" s="60" t="e">
        <f t="shared" si="3"/>
        <v>#DIV/0!</v>
      </c>
    </row>
    <row r="26" spans="1:14" x14ac:dyDescent="0.2">
      <c r="A26">
        <v>6</v>
      </c>
      <c r="B26" s="19" t="s">
        <v>8</v>
      </c>
      <c r="C26" s="20" t="e">
        <f>('SJCPIL-R 14-101 - DIA'!Y21)/('SJCPIL-R 14-101 - DIA'!$Y$5)*1000000</f>
        <v>#DIV/0!</v>
      </c>
      <c r="D26" t="e">
        <f t="shared" si="0"/>
        <v>#DIV/0!</v>
      </c>
      <c r="E26" t="e">
        <f t="shared" si="1"/>
        <v>#DIV/0!</v>
      </c>
      <c r="F26" t="e">
        <f t="shared" si="2"/>
        <v>#DIV/0!</v>
      </c>
      <c r="H26">
        <v>6</v>
      </c>
      <c r="I26" t="e">
        <f t="shared" si="4"/>
        <v>#DIV/0!</v>
      </c>
      <c r="J26" s="60" t="e">
        <f t="shared" si="6"/>
        <v>#DIV/0!</v>
      </c>
      <c r="K26" s="21" t="e">
        <f t="shared" si="7"/>
        <v>#DIV/0!</v>
      </c>
      <c r="L26" t="e">
        <f t="shared" si="5"/>
        <v>#DIV/0!</v>
      </c>
      <c r="M26" s="20" t="e">
        <f t="shared" si="8"/>
        <v>#DIV/0!</v>
      </c>
      <c r="N26" s="60" t="e">
        <f t="shared" si="3"/>
        <v>#DIV/0!</v>
      </c>
    </row>
    <row r="27" spans="1:14" x14ac:dyDescent="0.2">
      <c r="A27">
        <v>7</v>
      </c>
      <c r="B27" s="19" t="s">
        <v>9</v>
      </c>
      <c r="C27" s="20" t="e">
        <f>('SJCPIL-R 14-101 - DIA'!Y22)/('SJCPIL-R 14-101 - DIA'!$Y$5)*1000000</f>
        <v>#DIV/0!</v>
      </c>
      <c r="D27" t="e">
        <f t="shared" si="0"/>
        <v>#DIV/0!</v>
      </c>
      <c r="E27" t="e">
        <f t="shared" si="1"/>
        <v>#DIV/0!</v>
      </c>
      <c r="F27" t="e">
        <f t="shared" si="2"/>
        <v>#DIV/0!</v>
      </c>
      <c r="H27">
        <v>7</v>
      </c>
      <c r="I27" t="e">
        <f t="shared" si="4"/>
        <v>#DIV/0!</v>
      </c>
      <c r="J27" s="60" t="e">
        <f t="shared" si="6"/>
        <v>#DIV/0!</v>
      </c>
      <c r="K27" s="21" t="e">
        <f t="shared" si="7"/>
        <v>#DIV/0!</v>
      </c>
      <c r="L27" t="e">
        <f t="shared" si="5"/>
        <v>#DIV/0!</v>
      </c>
      <c r="M27" s="20" t="e">
        <f t="shared" si="8"/>
        <v>#DIV/0!</v>
      </c>
      <c r="N27" s="60" t="e">
        <f t="shared" si="3"/>
        <v>#DIV/0!</v>
      </c>
    </row>
    <row r="28" spans="1:14" x14ac:dyDescent="0.2">
      <c r="A28">
        <v>8</v>
      </c>
      <c r="B28" s="19" t="s">
        <v>10</v>
      </c>
      <c r="C28" s="20" t="e">
        <f>('SJCPIL-R 14-101 - DIA'!Y23)/('SJCPIL-R 14-101 - DIA'!$Y$5)*1000000</f>
        <v>#DIV/0!</v>
      </c>
      <c r="D28" t="e">
        <f t="shared" si="0"/>
        <v>#DIV/0!</v>
      </c>
      <c r="E28" t="e">
        <f t="shared" si="1"/>
        <v>#DIV/0!</v>
      </c>
      <c r="F28" t="e">
        <f t="shared" si="2"/>
        <v>#DIV/0!</v>
      </c>
      <c r="H28">
        <v>8</v>
      </c>
      <c r="I28" t="e">
        <f t="shared" si="4"/>
        <v>#DIV/0!</v>
      </c>
      <c r="J28" s="60" t="e">
        <f t="shared" si="6"/>
        <v>#DIV/0!</v>
      </c>
      <c r="K28" s="21" t="e">
        <f t="shared" si="7"/>
        <v>#DIV/0!</v>
      </c>
      <c r="L28" t="e">
        <f t="shared" si="5"/>
        <v>#DIV/0!</v>
      </c>
      <c r="M28" s="20" t="e">
        <f t="shared" si="8"/>
        <v>#DIV/0!</v>
      </c>
      <c r="N28" s="60" t="e">
        <f t="shared" si="3"/>
        <v>#DIV/0!</v>
      </c>
    </row>
    <row r="29" spans="1:14" x14ac:dyDescent="0.2">
      <c r="A29">
        <v>9</v>
      </c>
      <c r="B29" s="19" t="s">
        <v>11</v>
      </c>
      <c r="C29" s="20" t="e">
        <f>('SJCPIL-R 14-101 - DIA'!Y25)/('SJCPIL-R 14-101 - DIA'!$Y$5)*1000000</f>
        <v>#DIV/0!</v>
      </c>
      <c r="D29" t="e">
        <f t="shared" si="0"/>
        <v>#DIV/0!</v>
      </c>
      <c r="E29" t="e">
        <f t="shared" si="1"/>
        <v>#DIV/0!</v>
      </c>
      <c r="F29" t="e">
        <f t="shared" si="2"/>
        <v>#DIV/0!</v>
      </c>
      <c r="H29">
        <v>9</v>
      </c>
      <c r="I29" t="e">
        <f t="shared" si="4"/>
        <v>#DIV/0!</v>
      </c>
      <c r="J29" s="60" t="e">
        <f t="shared" si="6"/>
        <v>#DIV/0!</v>
      </c>
      <c r="K29" s="21" t="e">
        <f t="shared" si="7"/>
        <v>#DIV/0!</v>
      </c>
      <c r="L29" t="e">
        <f t="shared" si="5"/>
        <v>#DIV/0!</v>
      </c>
      <c r="M29" s="20" t="e">
        <f t="shared" si="8"/>
        <v>#DIV/0!</v>
      </c>
      <c r="N29" s="60" t="e">
        <f t="shared" si="3"/>
        <v>#DIV/0!</v>
      </c>
    </row>
    <row r="30" spans="1:14" x14ac:dyDescent="0.2">
      <c r="A30">
        <v>10</v>
      </c>
      <c r="B30" s="19" t="s">
        <v>12</v>
      </c>
      <c r="C30" s="20" t="e">
        <f>('SJCPIL-R 14-101 - DIA'!Y26)/('SJCPIL-R 14-101 - DIA'!$Y$5)*1000000</f>
        <v>#DIV/0!</v>
      </c>
      <c r="D30" t="e">
        <f t="shared" si="0"/>
        <v>#DIV/0!</v>
      </c>
      <c r="E30" t="e">
        <f t="shared" si="1"/>
        <v>#DIV/0!</v>
      </c>
      <c r="F30" t="e">
        <f t="shared" si="2"/>
        <v>#DIV/0!</v>
      </c>
      <c r="H30">
        <v>10</v>
      </c>
      <c r="I30" t="e">
        <f t="shared" si="4"/>
        <v>#DIV/0!</v>
      </c>
      <c r="J30" s="60" t="e">
        <f t="shared" si="6"/>
        <v>#DIV/0!</v>
      </c>
      <c r="K30" s="21" t="e">
        <f t="shared" si="7"/>
        <v>#DIV/0!</v>
      </c>
      <c r="L30" t="e">
        <f t="shared" si="5"/>
        <v>#DIV/0!</v>
      </c>
      <c r="M30" s="20" t="e">
        <f t="shared" si="8"/>
        <v>#DIV/0!</v>
      </c>
      <c r="N30" s="60" t="e">
        <f t="shared" si="3"/>
        <v>#DIV/0!</v>
      </c>
    </row>
    <row r="31" spans="1:14" x14ac:dyDescent="0.2">
      <c r="A31">
        <v>11</v>
      </c>
      <c r="B31" s="19" t="s">
        <v>13</v>
      </c>
      <c r="C31" s="20" t="e">
        <f>('SJCPIL-R 14-101 - DIA'!Y27)/('SJCPIL-R 14-101 - DIA'!$Y$5)*1000000</f>
        <v>#DIV/0!</v>
      </c>
      <c r="D31" t="e">
        <f t="shared" si="0"/>
        <v>#DIV/0!</v>
      </c>
      <c r="E31" t="e">
        <f t="shared" si="1"/>
        <v>#DIV/0!</v>
      </c>
      <c r="F31" t="e">
        <f t="shared" si="2"/>
        <v>#DIV/0!</v>
      </c>
      <c r="H31">
        <v>11</v>
      </c>
      <c r="I31" t="e">
        <f t="shared" si="4"/>
        <v>#DIV/0!</v>
      </c>
      <c r="J31" s="60" t="e">
        <f t="shared" si="6"/>
        <v>#DIV/0!</v>
      </c>
      <c r="K31" s="21" t="e">
        <f t="shared" si="7"/>
        <v>#DIV/0!</v>
      </c>
      <c r="L31" t="e">
        <f t="shared" si="5"/>
        <v>#DIV/0!</v>
      </c>
      <c r="M31" s="20" t="e">
        <f t="shared" si="8"/>
        <v>#DIV/0!</v>
      </c>
      <c r="N31" s="60" t="e">
        <f t="shared" si="3"/>
        <v>#DIV/0!</v>
      </c>
    </row>
    <row r="32" spans="1:14" x14ac:dyDescent="0.2">
      <c r="A32">
        <v>12</v>
      </c>
      <c r="B32" s="19" t="s">
        <v>14</v>
      </c>
      <c r="C32" s="20" t="e">
        <f>('SJCPIL-R 14-101 - DIA'!Y28)/('SJCPIL-R 14-101 - DIA'!$Y$5)*1000000</f>
        <v>#DIV/0!</v>
      </c>
      <c r="D32" t="e">
        <f t="shared" si="0"/>
        <v>#DIV/0!</v>
      </c>
      <c r="E32" t="e">
        <f t="shared" si="1"/>
        <v>#DIV/0!</v>
      </c>
      <c r="F32" t="e">
        <f t="shared" si="2"/>
        <v>#DIV/0!</v>
      </c>
      <c r="H32">
        <v>12</v>
      </c>
      <c r="I32" t="e">
        <f t="shared" si="4"/>
        <v>#DIV/0!</v>
      </c>
      <c r="J32" s="60" t="e">
        <f t="shared" si="6"/>
        <v>#DIV/0!</v>
      </c>
      <c r="K32" s="21" t="e">
        <f t="shared" si="7"/>
        <v>#DIV/0!</v>
      </c>
      <c r="L32" t="e">
        <f t="shared" si="5"/>
        <v>#DIV/0!</v>
      </c>
      <c r="M32" s="20" t="e">
        <f t="shared" si="8"/>
        <v>#DIV/0!</v>
      </c>
      <c r="N32" s="60" t="e">
        <f t="shared" si="3"/>
        <v>#DIV/0!</v>
      </c>
    </row>
    <row r="33" spans="1:14" x14ac:dyDescent="0.2">
      <c r="A33">
        <v>13</v>
      </c>
      <c r="B33" s="19" t="s">
        <v>15</v>
      </c>
      <c r="C33" s="20" t="e">
        <f>('SJCPIL-R 14-101 - DIA'!Y29)/('SJCPIL-R 14-101 - DIA'!$Y$5)*1000000</f>
        <v>#DIV/0!</v>
      </c>
      <c r="D33" t="e">
        <f t="shared" si="0"/>
        <v>#DIV/0!</v>
      </c>
      <c r="E33" t="e">
        <f t="shared" si="1"/>
        <v>#DIV/0!</v>
      </c>
      <c r="F33" t="e">
        <f t="shared" si="2"/>
        <v>#DIV/0!</v>
      </c>
      <c r="H33">
        <v>13</v>
      </c>
      <c r="I33" t="e">
        <f t="shared" si="4"/>
        <v>#DIV/0!</v>
      </c>
      <c r="J33" s="60" t="e">
        <f t="shared" si="6"/>
        <v>#DIV/0!</v>
      </c>
      <c r="K33" s="21" t="e">
        <f t="shared" si="7"/>
        <v>#DIV/0!</v>
      </c>
      <c r="L33" t="e">
        <f t="shared" si="5"/>
        <v>#DIV/0!</v>
      </c>
      <c r="M33" s="20" t="e">
        <f t="shared" si="8"/>
        <v>#DIV/0!</v>
      </c>
      <c r="N33" s="60" t="e">
        <f t="shared" si="3"/>
        <v>#DIV/0!</v>
      </c>
    </row>
  </sheetData>
  <sheetProtection algorithmName="SHA-512" hashValue="1w0pkjR1vod9G/vo0yVAqsuE2I7nZQ6dR55kxvUF//dt8xUGnsDdImHIAK1eNK+R0P07/b19yndKXbuzUSIaAg==" saltValue="+cjhc8yuxepSi9DLsMmf6Q==" spinCount="100000" sheet="1" objects="1" scenarios="1" selectLockedCells="1"/>
  <mergeCells count="2">
    <mergeCell ref="A2:A15"/>
    <mergeCell ref="A16:A18"/>
  </mergeCells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12</vt:i4>
      </vt:variant>
    </vt:vector>
  </HeadingPairs>
  <TitlesOfParts>
    <vt:vector size="17" baseType="lpstr">
      <vt:lpstr>Instruções de Uso</vt:lpstr>
      <vt:lpstr>SJCPIL-R 14-101 - DIA</vt:lpstr>
      <vt:lpstr>SJCPIL-R 14-101 - NOITE</vt:lpstr>
      <vt:lpstr>Pareto</vt:lpstr>
      <vt:lpstr>Resumo de Custo</vt:lpstr>
      <vt:lpstr>'SJCPIL-R 14-101 - DIA'!Area_de_impressao</vt:lpstr>
      <vt:lpstr>'SJCPIL-R 14-101 - NOITE'!Area_de_impressao</vt:lpstr>
      <vt:lpstr>TARGET_1</vt:lpstr>
      <vt:lpstr>TARGET_2</vt:lpstr>
      <vt:lpstr>'SJCPIL-R 14-101 - NOITE'!TT_FALHAS_UM1D</vt:lpstr>
      <vt:lpstr>TT_FALHAS_UM1D</vt:lpstr>
      <vt:lpstr>TT_FALHAS_UM1N</vt:lpstr>
      <vt:lpstr>'SJCPIL-R 14-101 - NOITE'!TT_PIN_H_UM1D</vt:lpstr>
      <vt:lpstr>TT_PIN_H_UM1D</vt:lpstr>
      <vt:lpstr>TT_PIN_H_UM1N</vt:lpstr>
      <vt:lpstr>TT_PROD_UM1D</vt:lpstr>
      <vt:lpstr>TT_PROD_UM1N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2021-04-07T10:58:36Z</cp:lastPrinted>
  <dcterms:created xsi:type="dcterms:W3CDTF">2003-08-05T18:27:09Z</dcterms:created>
  <dcterms:modified xsi:type="dcterms:W3CDTF">2022-02-21T10:48:56Z</dcterms:modified>
</cp:coreProperties>
</file>