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DADOS\PIL\PUB\QUALIDADE\FY2021\(2) Resultados\2.2 - FALHAS\(1) UM-1\MONTAGEM\"/>
    </mc:Choice>
  </mc:AlternateContent>
  <xr:revisionPtr revIDLastSave="0" documentId="13_ncr:1_{990C2666-D214-49C5-852D-3D949907D8A0}" xr6:coauthVersionLast="47" xr6:coauthVersionMax="47" xr10:uidLastSave="{00000000-0000-0000-0000-000000000000}"/>
  <workbookProtection workbookAlgorithmName="SHA-512" workbookHashValue="YwW0xFI/E21zByIGrc0fB4e0SwVUwZ5NcM6jSc4bAWmJiX/fMk7PyN3dv8IWVseo7gaITUJWktfXfTOnHtwMJg==" workbookSaltValue="8UsRbuRYIddNtHI4KBpXcw==" workbookSpinCount="100000" lockStructure="1"/>
  <bookViews>
    <workbookView xWindow="-120" yWindow="-120" windowWidth="29040" windowHeight="16440" activeTab="4" xr2:uid="{00000000-000D-0000-FFFF-FFFF00000000}"/>
  </bookViews>
  <sheets>
    <sheet name="Instruções de Uso" sheetId="9" r:id="rId1"/>
    <sheet name="SJCPIL-R 15-102 - DIA" sheetId="8" r:id="rId2"/>
    <sheet name="SJCPIL-R 15-102 - NOITE" sheetId="14" r:id="rId3"/>
    <sheet name="Pareto" sheetId="12" r:id="rId4"/>
    <sheet name="Dados do Gráfico" sheetId="10" r:id="rId5"/>
  </sheets>
  <externalReferences>
    <externalReference r:id="rId6"/>
    <externalReference r:id="rId7"/>
    <externalReference r:id="rId8"/>
  </externalReferences>
  <definedNames>
    <definedName name="_xlnm.Print_Area" localSheetId="1">'SJCPIL-R 15-102 - DIA'!$A$1:$Y$36</definedName>
    <definedName name="_xlnm.Print_Area" localSheetId="2">'SJCPIL-R 15-102 - NOITE'!$A$1:$Y$36</definedName>
    <definedName name="TARGET" localSheetId="2">'SJCPIL-R 15-102 - NOITE'!$C$37</definedName>
    <definedName name="TARGET">'SJCPIL-R 15-102 - DIA'!$C$37</definedName>
    <definedName name="TT_FALHAS_UM1D">'SJCPIL-R 15-102 - DIA'!$Y$29</definedName>
    <definedName name="TT_FALHAS_UM1N" localSheetId="2">'SJCPIL-R 15-102 - NOITE'!$Y$29</definedName>
    <definedName name="TT_PROD_UM1D">'SJCPIL-R 15-102 - DIA'!$Y$5</definedName>
    <definedName name="TT_PROD_UM1N" localSheetId="2">'SJCPIL-R 15-102 - NOITE'!$Y$5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5" i="8" l="1"/>
  <c r="AA5" i="14" a="1"/>
  <c r="AA5" i="14" s="1"/>
  <c r="C37" i="8" l="1"/>
  <c r="L29" i="8" l="1"/>
  <c r="M29" i="8"/>
  <c r="N29" i="8"/>
  <c r="O29" i="8"/>
  <c r="X1" i="8" l="1"/>
  <c r="X1" i="14" s="1"/>
  <c r="C37" i="14" l="1"/>
  <c r="X39" i="14" l="1"/>
  <c r="W42" i="14"/>
  <c r="V42" i="14"/>
  <c r="U42" i="14"/>
  <c r="T42" i="14"/>
  <c r="S42" i="14"/>
  <c r="R42" i="14"/>
  <c r="Q42" i="14"/>
  <c r="P42" i="14"/>
  <c r="O42" i="14"/>
  <c r="N42" i="14"/>
  <c r="M42" i="14"/>
  <c r="L42" i="14"/>
  <c r="K42" i="14"/>
  <c r="J42" i="14"/>
  <c r="I42" i="14"/>
  <c r="H42" i="14"/>
  <c r="G42" i="14"/>
  <c r="F42" i="14"/>
  <c r="E42" i="14"/>
  <c r="D42" i="14"/>
  <c r="C42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D39" i="14"/>
  <c r="C39" i="14"/>
  <c r="W30" i="14"/>
  <c r="V30" i="14"/>
  <c r="U30" i="14"/>
  <c r="T30" i="14"/>
  <c r="S30" i="14"/>
  <c r="R30" i="14"/>
  <c r="Q30" i="14"/>
  <c r="P30" i="14"/>
  <c r="O30" i="14"/>
  <c r="N30" i="14"/>
  <c r="M30" i="14"/>
  <c r="L30" i="14"/>
  <c r="K30" i="14"/>
  <c r="J30" i="14"/>
  <c r="I30" i="14"/>
  <c r="H30" i="14"/>
  <c r="W29" i="14"/>
  <c r="V29" i="14"/>
  <c r="U29" i="14"/>
  <c r="T29" i="14"/>
  <c r="S29" i="14"/>
  <c r="R29" i="14"/>
  <c r="Q29" i="14"/>
  <c r="P29" i="14"/>
  <c r="O29" i="14"/>
  <c r="N29" i="14"/>
  <c r="M29" i="14"/>
  <c r="L29" i="14"/>
  <c r="K29" i="14"/>
  <c r="J29" i="14"/>
  <c r="I29" i="14"/>
  <c r="H29" i="14"/>
  <c r="G29" i="14"/>
  <c r="G30" i="14" s="1"/>
  <c r="F29" i="14"/>
  <c r="F30" i="14" s="1"/>
  <c r="E29" i="14"/>
  <c r="E30" i="14" s="1"/>
  <c r="D29" i="14"/>
  <c r="D30" i="14" s="1"/>
  <c r="C29" i="14"/>
  <c r="C30" i="14" s="1"/>
  <c r="Y28" i="14"/>
  <c r="Y27" i="14"/>
  <c r="Y26" i="14"/>
  <c r="Y25" i="14"/>
  <c r="Y24" i="14"/>
  <c r="Y23" i="14"/>
  <c r="Y22" i="14"/>
  <c r="Y21" i="14"/>
  <c r="Y20" i="14"/>
  <c r="Y19" i="14"/>
  <c r="Y18" i="14"/>
  <c r="Y17" i="14"/>
  <c r="Y16" i="14"/>
  <c r="W6" i="14"/>
  <c r="V6" i="14"/>
  <c r="U6" i="14"/>
  <c r="T6" i="14"/>
  <c r="S6" i="14"/>
  <c r="R6" i="14"/>
  <c r="Q6" i="14"/>
  <c r="P6" i="14"/>
  <c r="O6" i="14"/>
  <c r="N6" i="14"/>
  <c r="M6" i="14"/>
  <c r="K6" i="14"/>
  <c r="J6" i="14"/>
  <c r="I6" i="14"/>
  <c r="G6" i="14"/>
  <c r="F6" i="14"/>
  <c r="E6" i="14"/>
  <c r="D6" i="14"/>
  <c r="C6" i="14"/>
  <c r="Y5" i="14"/>
  <c r="Y4" i="14"/>
  <c r="Y29" i="14" l="1"/>
  <c r="Y30" i="14" s="1"/>
  <c r="O6" i="8" l="1"/>
  <c r="G6" i="8" l="1"/>
  <c r="K6" i="8" l="1"/>
  <c r="R29" i="8" l="1"/>
  <c r="D39" i="8" l="1"/>
  <c r="E39" i="8"/>
  <c r="F39" i="8"/>
  <c r="G39" i="8"/>
  <c r="H39" i="8"/>
  <c r="I39" i="8"/>
  <c r="J39" i="8"/>
  <c r="K39" i="8"/>
  <c r="L39" i="8"/>
  <c r="M39" i="8"/>
  <c r="N39" i="8"/>
  <c r="O39" i="8"/>
  <c r="P39" i="8"/>
  <c r="Q39" i="8"/>
  <c r="R39" i="8"/>
  <c r="S39" i="8"/>
  <c r="T39" i="8"/>
  <c r="U39" i="8"/>
  <c r="V39" i="8"/>
  <c r="W39" i="8"/>
  <c r="C39" i="8"/>
  <c r="R30" i="8" l="1"/>
  <c r="Y28" i="8" l="1"/>
  <c r="C14" i="10" l="1"/>
  <c r="D14" i="10" s="1"/>
  <c r="W29" i="8"/>
  <c r="V29" i="8"/>
  <c r="U29" i="8"/>
  <c r="T29" i="8"/>
  <c r="S29" i="8"/>
  <c r="Q29" i="8"/>
  <c r="P29" i="8"/>
  <c r="K29" i="8"/>
  <c r="J29" i="8"/>
  <c r="I29" i="8"/>
  <c r="H29" i="8"/>
  <c r="G29" i="8"/>
  <c r="F29" i="8"/>
  <c r="E29" i="8"/>
  <c r="D29" i="8"/>
  <c r="C29" i="8"/>
  <c r="S6" i="8" l="1"/>
  <c r="Y22" i="8" l="1"/>
  <c r="C8" i="10" s="1"/>
  <c r="Y21" i="8"/>
  <c r="C7" i="10" s="1"/>
  <c r="W30" i="8" l="1"/>
  <c r="V30" i="8"/>
  <c r="U30" i="8"/>
  <c r="T30" i="8"/>
  <c r="Y5" i="8" l="1"/>
  <c r="Y17" i="8"/>
  <c r="Y18" i="8"/>
  <c r="Y19" i="8"/>
  <c r="Y23" i="8"/>
  <c r="Y16" i="8"/>
  <c r="Y24" i="8"/>
  <c r="Y25" i="8"/>
  <c r="Y20" i="8"/>
  <c r="Y27" i="8"/>
  <c r="C13" i="10" s="1"/>
  <c r="D13" i="10" s="1"/>
  <c r="Y26" i="8"/>
  <c r="C12" i="10" s="1"/>
  <c r="D12" i="10" s="1"/>
  <c r="Y4" i="8"/>
  <c r="D42" i="8"/>
  <c r="E42" i="8"/>
  <c r="F42" i="8"/>
  <c r="G42" i="8"/>
  <c r="H42" i="8"/>
  <c r="I42" i="8"/>
  <c r="J42" i="8"/>
  <c r="K42" i="8"/>
  <c r="L42" i="8"/>
  <c r="M42" i="8"/>
  <c r="N42" i="8"/>
  <c r="O42" i="8"/>
  <c r="P42" i="8"/>
  <c r="Q42" i="8"/>
  <c r="R42" i="8"/>
  <c r="S42" i="8"/>
  <c r="T42" i="8"/>
  <c r="U42" i="8"/>
  <c r="V42" i="8"/>
  <c r="W42" i="8"/>
  <c r="C42" i="8"/>
  <c r="D30" i="8"/>
  <c r="E30" i="8"/>
  <c r="F30" i="8"/>
  <c r="G30" i="8"/>
  <c r="H30" i="8"/>
  <c r="I30" i="8"/>
  <c r="J30" i="8"/>
  <c r="K30" i="8"/>
  <c r="L30" i="8"/>
  <c r="M30" i="8"/>
  <c r="N30" i="8"/>
  <c r="O30" i="8"/>
  <c r="P30" i="8"/>
  <c r="Q30" i="8"/>
  <c r="S30" i="8"/>
  <c r="C30" i="8"/>
  <c r="C6" i="8"/>
  <c r="D6" i="8"/>
  <c r="E6" i="8"/>
  <c r="F6" i="8"/>
  <c r="I6" i="8"/>
  <c r="J6" i="8"/>
  <c r="M6" i="8"/>
  <c r="N6" i="8"/>
  <c r="P6" i="8"/>
  <c r="Q6" i="8"/>
  <c r="R6" i="8"/>
  <c r="T6" i="8"/>
  <c r="U6" i="8"/>
  <c r="V6" i="8"/>
  <c r="W6" i="8"/>
  <c r="Y29" i="8" l="1"/>
  <c r="Y30" i="8" s="1"/>
  <c r="D7" i="10"/>
  <c r="C9" i="10"/>
  <c r="D9" i="10" s="1"/>
  <c r="C6" i="10"/>
  <c r="D6" i="10" s="1"/>
  <c r="C11" i="10"/>
  <c r="D11" i="10" s="1"/>
  <c r="D8" i="10"/>
  <c r="C10" i="10"/>
  <c r="D10" i="10" s="1"/>
  <c r="C5" i="10"/>
  <c r="D5" i="10" s="1"/>
  <c r="C4" i="10"/>
  <c r="D4" i="10" s="1"/>
  <c r="C3" i="10"/>
  <c r="D3" i="10" s="1"/>
  <c r="C2" i="10"/>
  <c r="D2" i="10" s="1"/>
  <c r="E4" i="10" l="1"/>
  <c r="F4" i="10" s="1"/>
  <c r="E6" i="10"/>
  <c r="F6" i="10" s="1"/>
  <c r="E8" i="10"/>
  <c r="F8" i="10" s="1"/>
  <c r="E10" i="10"/>
  <c r="F10" i="10" s="1"/>
  <c r="E12" i="10"/>
  <c r="F12" i="10" s="1"/>
  <c r="E14" i="10"/>
  <c r="F14" i="10" s="1"/>
  <c r="E2" i="10"/>
  <c r="F2" i="10" s="1"/>
  <c r="E3" i="10"/>
  <c r="F3" i="10" s="1"/>
  <c r="E5" i="10"/>
  <c r="F5" i="10" s="1"/>
  <c r="E7" i="10"/>
  <c r="F7" i="10" s="1"/>
  <c r="E9" i="10"/>
  <c r="F9" i="10" s="1"/>
  <c r="E11" i="10"/>
  <c r="F11" i="10" s="1"/>
  <c r="E13" i="10"/>
  <c r="F13" i="10" s="1"/>
  <c r="H11" i="10" l="1"/>
  <c r="I11" i="10"/>
  <c r="K11" i="10" s="1"/>
  <c r="H7" i="10"/>
  <c r="I7" i="10"/>
  <c r="K7" i="10" s="1"/>
  <c r="H3" i="10"/>
  <c r="I3" i="10"/>
  <c r="K3" i="10" s="1"/>
  <c r="I14" i="10"/>
  <c r="K14" i="10" s="1"/>
  <c r="H14" i="10"/>
  <c r="I10" i="10"/>
  <c r="K10" i="10" s="1"/>
  <c r="H10" i="10"/>
  <c r="I6" i="10"/>
  <c r="K6" i="10" s="1"/>
  <c r="H6" i="10"/>
  <c r="H13" i="10"/>
  <c r="I13" i="10"/>
  <c r="K13" i="10" s="1"/>
  <c r="H9" i="10"/>
  <c r="I9" i="10"/>
  <c r="K9" i="10" s="1"/>
  <c r="H5" i="10"/>
  <c r="I5" i="10"/>
  <c r="K5" i="10" s="1"/>
  <c r="H2" i="10"/>
  <c r="I2" i="10"/>
  <c r="I12" i="10"/>
  <c r="K12" i="10" s="1"/>
  <c r="H12" i="10"/>
  <c r="I8" i="10"/>
  <c r="K8" i="10" s="1"/>
  <c r="H8" i="10"/>
  <c r="I4" i="10"/>
  <c r="K4" i="10" s="1"/>
  <c r="H4" i="10"/>
  <c r="J2" i="10" l="1"/>
  <c r="J3" i="10" s="1"/>
  <c r="K2" i="10"/>
  <c r="J4" i="10" l="1"/>
  <c r="J5" i="10" l="1"/>
  <c r="J6" i="10" l="1"/>
  <c r="J7" i="10" l="1"/>
  <c r="J8" i="10" l="1"/>
  <c r="J9" i="10" l="1"/>
  <c r="J10" i="10" l="1"/>
  <c r="J11" i="10" l="1"/>
  <c r="J12" i="10" l="1"/>
  <c r="J13" i="10" l="1"/>
  <c r="J14" i="10" l="1"/>
  <c r="L14" i="10" l="1"/>
  <c r="M14" i="10" s="1"/>
  <c r="L2" i="10"/>
  <c r="M2" i="10" s="1"/>
  <c r="L3" i="10"/>
  <c r="M3" i="10" s="1"/>
  <c r="L4" i="10"/>
  <c r="M4" i="10" s="1"/>
  <c r="L5" i="10"/>
  <c r="M5" i="10" s="1"/>
  <c r="L6" i="10"/>
  <c r="M6" i="10" s="1"/>
  <c r="L7" i="10"/>
  <c r="M7" i="10" s="1"/>
  <c r="L8" i="10"/>
  <c r="M8" i="10" s="1"/>
  <c r="L9" i="10"/>
  <c r="M9" i="10" s="1"/>
  <c r="L10" i="10"/>
  <c r="M10" i="10" s="1"/>
  <c r="L11" i="10"/>
  <c r="M11" i="10" s="1"/>
  <c r="L12" i="10"/>
  <c r="M12" i="10" s="1"/>
  <c r="L13" i="10"/>
  <c r="M13" i="1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<sst xmlns="http://schemas.openxmlformats.org/spreadsheetml/2006/main" count="95" uniqueCount="47">
  <si>
    <t>DIA</t>
  </si>
  <si>
    <t>OBS.</t>
  </si>
  <si>
    <t>PRODUÇÃO</t>
  </si>
  <si>
    <t>LEAK</t>
  </si>
  <si>
    <t>S/ ANEL VERMELHO</t>
  </si>
  <si>
    <t>S/ CAP</t>
  </si>
  <si>
    <t>S/ BOTTOM PLATE</t>
  </si>
  <si>
    <t>ENCAIXOTADEIRA</t>
  </si>
  <si>
    <t>OUTROS</t>
  </si>
  <si>
    <t>T O T A L</t>
  </si>
  <si>
    <t xml:space="preserve">NOTAS: </t>
  </si>
  <si>
    <t>1) Anotar observações no gráfico; não cabendo, utilizar o verso.</t>
  </si>
  <si>
    <t>Objetivo</t>
  </si>
  <si>
    <t>S/ ARRUELA / ARR. DESLOCADA</t>
  </si>
  <si>
    <t>Total</t>
  </si>
  <si>
    <t>Ocorrência</t>
  </si>
  <si>
    <t>Inspetor:</t>
  </si>
  <si>
    <t>Data:</t>
  </si>
  <si>
    <t>TURNO: DIA</t>
  </si>
  <si>
    <t>ppm</t>
  </si>
  <si>
    <t>RISCADA</t>
  </si>
  <si>
    <t>MANCHADA</t>
  </si>
  <si>
    <t>PRODUÇÃO PY</t>
  </si>
  <si>
    <t>Planilhas Bloqueadas após fechamento do mês:</t>
  </si>
  <si>
    <t>Senhas: PANA.AAMM.CQ</t>
  </si>
  <si>
    <t>AA - Ano com 2 digitos</t>
  </si>
  <si>
    <t>MM - Mês com 2 dígitos</t>
  </si>
  <si>
    <t>It.</t>
  </si>
  <si>
    <t>Falhas</t>
  </si>
  <si>
    <t>Fr.</t>
  </si>
  <si>
    <t>Calculo</t>
  </si>
  <si>
    <t>Maior</t>
  </si>
  <si>
    <t>Corresp</t>
  </si>
  <si>
    <t>Falha</t>
  </si>
  <si>
    <t>Fr. Ac.</t>
  </si>
  <si>
    <t>Fr. (ppm)</t>
  </si>
  <si>
    <t>Ac. (%)</t>
  </si>
  <si>
    <t>AMASSADO SUPERIOR</t>
  </si>
  <si>
    <t>AMASSADO INFERIOR</t>
  </si>
  <si>
    <t>PANK</t>
  </si>
  <si>
    <t>FALHAS DA MONTAGEM UM-1 ( APÓS SHIMA)</t>
  </si>
  <si>
    <t>PILHAS RECUPERADAS</t>
  </si>
  <si>
    <t>Visto CQ</t>
  </si>
  <si>
    <t>Visto Supervisor</t>
  </si>
  <si>
    <t>TURNO: NOITE</t>
  </si>
  <si>
    <t>Problemas</t>
  </si>
  <si>
    <t>Mês / Ano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</si>
</sst>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/m;@"/>
  </numFmts>
  <fonts count="13" x14ac:knownFonts="1">
    <font>
      <sz val="10"/>
      <name val="Arial"/>
    </font>
    <font>
      <b/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2"/>
      <name val="Arial"/>
      <family val="2"/>
    </font>
    <font>
      <b/>
      <sz val="7"/>
      <name val="Arial"/>
      <family val="2"/>
    </font>
    <font>
      <sz val="22"/>
      <name val="Arial"/>
      <family val="2"/>
    </font>
    <font>
      <sz val="14"/>
      <name val="Arial"/>
      <family val="2"/>
    </font>
    <font>
      <sz val="10"/>
      <color theme="3" tint="0.39997558519241921"/>
      <name val="Arial"/>
      <family val="2"/>
    </font>
    <font>
      <sz val="10"/>
      <color theme="2" tint="-9.9978637043366805E-2"/>
      <name val="Arial"/>
      <family val="2"/>
    </font>
    <font>
      <u/>
      <sz val="10"/>
      <name val="Arial"/>
      <family val="2"/>
    </font>
    <font>
      <sz val="10"/>
      <color theme="0" tint="-0.249977111117893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108">
    <xf numFmtId="0" fontId="0" fillId="0" borderId="0" xfId="0"/>
    <xf numFmtId="0" fontId="0" fillId="0" borderId="0" xfId="0" applyAlignment="1">
      <alignment vertical="center"/>
    </xf>
    <xf numFmtId="0" fontId="2" fillId="0" borderId="10" xfId="0" applyFont="1" applyBorder="1" applyAlignment="1">
      <alignment horizontal="center" vertical="center"/>
    </xf>
    <xf numFmtId="0" fontId="0" fillId="0" borderId="5" xfId="0" applyBorder="1"/>
    <xf numFmtId="0" fontId="2" fillId="0" borderId="11" xfId="0" applyFont="1" applyBorder="1" applyAlignment="1">
      <alignment horizontal="center" vertical="center"/>
    </xf>
    <xf numFmtId="0" fontId="0" fillId="0" borderId="12" xfId="0" applyBorder="1"/>
    <xf numFmtId="0" fontId="0" fillId="0" borderId="9" xfId="0" applyBorder="1"/>
    <xf numFmtId="0" fontId="2" fillId="0" borderId="13" xfId="0" applyFont="1" applyBorder="1" applyAlignment="1">
      <alignment horizontal="right" vertical="center"/>
    </xf>
    <xf numFmtId="0" fontId="0" fillId="0" borderId="14" xfId="0" applyBorder="1"/>
    <xf numFmtId="0" fontId="0" fillId="0" borderId="15" xfId="0" applyBorder="1"/>
    <xf numFmtId="0" fontId="2" fillId="0" borderId="16" xfId="0" applyFont="1" applyBorder="1" applyAlignment="1">
      <alignment horizontal="center" vertical="center"/>
    </xf>
    <xf numFmtId="0" fontId="0" fillId="0" borderId="6" xfId="0" applyBorder="1"/>
    <xf numFmtId="0" fontId="0" fillId="0" borderId="1" xfId="0" applyBorder="1"/>
    <xf numFmtId="0" fontId="4" fillId="0" borderId="16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5" fillId="0" borderId="18" xfId="0" applyFont="1" applyBorder="1" applyAlignment="1">
      <alignment horizontal="left" vertical="center"/>
    </xf>
    <xf numFmtId="0" fontId="5" fillId="0" borderId="19" xfId="0" applyFont="1" applyBorder="1"/>
    <xf numFmtId="0" fontId="0" fillId="0" borderId="20" xfId="0" applyBorder="1"/>
    <xf numFmtId="0" fontId="5" fillId="0" borderId="18" xfId="0" applyFont="1" applyBorder="1"/>
    <xf numFmtId="0" fontId="0" fillId="0" borderId="19" xfId="0" applyBorder="1"/>
    <xf numFmtId="0" fontId="5" fillId="0" borderId="20" xfId="0" applyFont="1" applyBorder="1"/>
    <xf numFmtId="0" fontId="2" fillId="0" borderId="0" xfId="0" applyFont="1"/>
    <xf numFmtId="0" fontId="4" fillId="0" borderId="0" xfId="0" applyFont="1"/>
    <xf numFmtId="1" fontId="0" fillId="0" borderId="0" xfId="0" applyNumberFormat="1"/>
    <xf numFmtId="0" fontId="0" fillId="0" borderId="1" xfId="0" applyBorder="1" applyAlignment="1">
      <alignment horizontal="center" vertical="center" textRotation="90" wrapText="1"/>
    </xf>
    <xf numFmtId="0" fontId="0" fillId="0" borderId="21" xfId="0" applyBorder="1" applyAlignment="1">
      <alignment shrinkToFit="1"/>
    </xf>
    <xf numFmtId="0" fontId="0" fillId="0" borderId="9" xfId="0" applyBorder="1" applyAlignment="1">
      <alignment vertical="center" shrinkToFit="1"/>
    </xf>
    <xf numFmtId="0" fontId="2" fillId="0" borderId="17" xfId="0" applyFont="1" applyBorder="1" applyAlignment="1">
      <alignment horizontal="center" vertical="center"/>
    </xf>
    <xf numFmtId="16" fontId="6" fillId="0" borderId="1" xfId="0" applyNumberFormat="1" applyFont="1" applyBorder="1" applyAlignment="1">
      <alignment horizontal="center"/>
    </xf>
    <xf numFmtId="0" fontId="0" fillId="0" borderId="1" xfId="0" applyBorder="1" applyAlignment="1" applyProtection="1">
      <alignment horizontal="center" shrinkToFit="1"/>
      <protection locked="0"/>
    </xf>
    <xf numFmtId="0" fontId="2" fillId="0" borderId="1" xfId="0" applyFont="1" applyBorder="1" applyAlignment="1" applyProtection="1">
      <alignment horizontal="center" shrinkToFit="1"/>
      <protection locked="0"/>
    </xf>
    <xf numFmtId="0" fontId="0" fillId="0" borderId="1" xfId="0" applyBorder="1" applyAlignment="1" applyProtection="1">
      <alignment horizontal="center" vertical="center" shrinkToFit="1"/>
      <protection locked="0"/>
    </xf>
    <xf numFmtId="0" fontId="0" fillId="0" borderId="5" xfId="0" applyBorder="1" applyAlignment="1" applyProtection="1">
      <alignment horizontal="right"/>
      <protection locked="0"/>
    </xf>
    <xf numFmtId="0" fontId="0" fillId="0" borderId="2" xfId="0" applyBorder="1" applyProtection="1">
      <protection locked="0"/>
    </xf>
    <xf numFmtId="0" fontId="0" fillId="0" borderId="2" xfId="0" applyBorder="1" applyAlignment="1" applyProtection="1">
      <alignment horizontal="right"/>
      <protection locked="0"/>
    </xf>
    <xf numFmtId="0" fontId="0" fillId="0" borderId="7" xfId="0" applyBorder="1" applyProtection="1">
      <protection locked="0"/>
    </xf>
    <xf numFmtId="0" fontId="0" fillId="0" borderId="6" xfId="0" applyBorder="1" applyAlignment="1" applyProtection="1">
      <alignment horizontal="right"/>
      <protection locked="0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horizontal="right"/>
      <protection locked="0"/>
    </xf>
    <xf numFmtId="0" fontId="0" fillId="0" borderId="3" xfId="0" applyBorder="1" applyProtection="1">
      <protection locked="0"/>
    </xf>
    <xf numFmtId="0" fontId="0" fillId="0" borderId="4" xfId="0" applyBorder="1" applyAlignment="1" applyProtection="1">
      <alignment horizontal="right"/>
      <protection locked="0"/>
    </xf>
    <xf numFmtId="0" fontId="0" fillId="0" borderId="1" xfId="0" applyBorder="1" applyAlignment="1" applyProtection="1">
      <alignment horizontal="right" shrinkToFit="1"/>
      <protection locked="0"/>
    </xf>
    <xf numFmtId="0" fontId="0" fillId="0" borderId="0" xfId="0" applyAlignment="1">
      <alignment horizontal="center"/>
    </xf>
    <xf numFmtId="0" fontId="0" fillId="0" borderId="0" xfId="0" applyAlignment="1">
      <alignment shrinkToFit="1"/>
    </xf>
    <xf numFmtId="0" fontId="0" fillId="0" borderId="0" xfId="0" applyAlignment="1">
      <alignment vertical="center" shrinkToFit="1"/>
    </xf>
    <xf numFmtId="0" fontId="5" fillId="0" borderId="0" xfId="0" applyFont="1"/>
    <xf numFmtId="0" fontId="0" fillId="0" borderId="23" xfId="0" applyBorder="1"/>
    <xf numFmtId="0" fontId="0" fillId="0" borderId="1" xfId="0" applyBorder="1" applyAlignment="1" applyProtection="1">
      <alignment horizontal="center" vertical="center" textRotation="90" wrapText="1"/>
      <protection locked="0"/>
    </xf>
    <xf numFmtId="0" fontId="4" fillId="0" borderId="1" xfId="0" applyFont="1" applyBorder="1" applyAlignment="1" applyProtection="1">
      <alignment horizontal="center" vertical="center" textRotation="90" wrapText="1"/>
      <protection locked="0"/>
    </xf>
    <xf numFmtId="0" fontId="2" fillId="0" borderId="1" xfId="0" applyFont="1" applyBorder="1" applyAlignment="1" applyProtection="1">
      <alignment horizontal="center" vertical="center" shrinkToFit="1"/>
      <protection locked="0"/>
    </xf>
    <xf numFmtId="49" fontId="2" fillId="0" borderId="1" xfId="0" applyNumberFormat="1" applyFont="1" applyBorder="1" applyAlignment="1" applyProtection="1">
      <alignment horizontal="center" shrinkToFit="1"/>
      <protection locked="0"/>
    </xf>
    <xf numFmtId="49" fontId="2" fillId="0" borderId="1" xfId="0" applyNumberFormat="1" applyFont="1" applyBorder="1" applyAlignment="1" applyProtection="1">
      <alignment horizontal="center"/>
      <protection locked="0"/>
    </xf>
    <xf numFmtId="49" fontId="2" fillId="0" borderId="3" xfId="0" applyNumberFormat="1" applyFont="1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7" fillId="2" borderId="0" xfId="1" applyFont="1" applyFill="1"/>
    <xf numFmtId="0" fontId="2" fillId="2" borderId="0" xfId="1" applyFill="1"/>
    <xf numFmtId="0" fontId="8" fillId="2" borderId="0" xfId="1" applyFont="1" applyFill="1"/>
    <xf numFmtId="0" fontId="9" fillId="2" borderId="0" xfId="1" applyFont="1" applyFill="1"/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0" fillId="0" borderId="0" xfId="0" quotePrefix="1" applyAlignment="1">
      <alignment horizontal="left"/>
    </xf>
    <xf numFmtId="164" fontId="0" fillId="0" borderId="0" xfId="0" applyNumberFormat="1"/>
    <xf numFmtId="0" fontId="2" fillId="0" borderId="16" xfId="0" quotePrefix="1" applyFont="1" applyBorder="1" applyAlignment="1">
      <alignment horizontal="center" vertical="center"/>
    </xf>
    <xf numFmtId="0" fontId="0" fillId="0" borderId="6" xfId="0" applyBorder="1" applyProtection="1">
      <protection locked="0"/>
    </xf>
    <xf numFmtId="3" fontId="10" fillId="0" borderId="0" xfId="0" applyNumberFormat="1" applyFont="1"/>
    <xf numFmtId="0" fontId="0" fillId="0" borderId="0" xfId="0" applyAlignment="1">
      <alignment horizontal="center" vertical="center" textRotation="90" wrapText="1"/>
    </xf>
    <xf numFmtId="0" fontId="0" fillId="0" borderId="3" xfId="0" applyBorder="1" applyAlignment="1" applyProtection="1">
      <alignment horizontal="center" shrinkToFit="1"/>
      <protection locked="0"/>
    </xf>
    <xf numFmtId="0" fontId="0" fillId="0" borderId="3" xfId="0" applyBorder="1" applyAlignment="1" applyProtection="1">
      <alignment horizontal="center" vertical="center" shrinkToFit="1"/>
      <protection locked="0"/>
    </xf>
    <xf numFmtId="16" fontId="6" fillId="0" borderId="0" xfId="0" applyNumberFormat="1" applyFont="1" applyAlignment="1">
      <alignment horizontal="center"/>
    </xf>
    <xf numFmtId="0" fontId="0" fillId="0" borderId="0" xfId="0" applyAlignment="1" applyProtection="1">
      <alignment horizontal="center" vertical="center" textRotation="90" wrapText="1"/>
      <protection locked="0"/>
    </xf>
    <xf numFmtId="0" fontId="5" fillId="0" borderId="13" xfId="0" applyFont="1" applyBorder="1" applyAlignment="1">
      <alignment horizontal="left" vertical="center"/>
    </xf>
    <xf numFmtId="0" fontId="5" fillId="0" borderId="13" xfId="0" applyFont="1" applyBorder="1"/>
    <xf numFmtId="0" fontId="5" fillId="0" borderId="14" xfId="0" applyFont="1" applyBorder="1"/>
    <xf numFmtId="0" fontId="3" fillId="0" borderId="17" xfId="0" applyFont="1" applyBorder="1" applyAlignment="1">
      <alignment horizontal="center" vertical="center"/>
    </xf>
    <xf numFmtId="0" fontId="0" fillId="0" borderId="24" xfId="0" applyBorder="1"/>
    <xf numFmtId="1" fontId="0" fillId="0" borderId="24" xfId="0" applyNumberFormat="1" applyBorder="1"/>
    <xf numFmtId="1" fontId="0" fillId="0" borderId="22" xfId="0" applyNumberFormat="1" applyBorder="1"/>
    <xf numFmtId="1" fontId="0" fillId="0" borderId="25" xfId="0" applyNumberFormat="1" applyBorder="1"/>
    <xf numFmtId="1" fontId="0" fillId="0" borderId="2" xfId="0" applyNumberFormat="1" applyBorder="1"/>
    <xf numFmtId="1" fontId="0" fillId="0" borderId="15" xfId="0" applyNumberFormat="1" applyBorder="1"/>
    <xf numFmtId="1" fontId="0" fillId="0" borderId="28" xfId="0" applyNumberFormat="1" applyBorder="1"/>
    <xf numFmtId="1" fontId="0" fillId="0" borderId="29" xfId="0" applyNumberFormat="1" applyBorder="1"/>
    <xf numFmtId="49" fontId="11" fillId="0" borderId="1" xfId="0" applyNumberFormat="1" applyFont="1" applyBorder="1" applyAlignment="1" applyProtection="1">
      <alignment horizontal="center" shrinkToFit="1"/>
      <protection locked="0"/>
    </xf>
    <xf numFmtId="0" fontId="3" fillId="0" borderId="33" xfId="0" applyFont="1" applyBorder="1" applyAlignment="1">
      <alignment horizontal="center" vertical="center"/>
    </xf>
    <xf numFmtId="0" fontId="0" fillId="0" borderId="34" xfId="0" applyBorder="1"/>
    <xf numFmtId="1" fontId="0" fillId="0" borderId="34" xfId="0" applyNumberFormat="1" applyBorder="1"/>
    <xf numFmtId="1" fontId="0" fillId="0" borderId="35" xfId="0" applyNumberFormat="1" applyBorder="1"/>
    <xf numFmtId="3" fontId="12" fillId="0" borderId="0" xfId="0" applyNumberFormat="1" applyFont="1"/>
    <xf numFmtId="0" fontId="0" fillId="0" borderId="0" xfId="0" applyProtection="1"/>
    <xf numFmtId="0" fontId="0" fillId="0" borderId="5" xfId="0" applyBorder="1" applyProtection="1"/>
    <xf numFmtId="165" fontId="3" fillId="0" borderId="2" xfId="0" applyNumberFormat="1" applyFont="1" applyBorder="1" applyAlignment="1" applyProtection="1">
      <alignment horizontal="center" shrinkToFit="1"/>
      <protection locked="0"/>
    </xf>
    <xf numFmtId="165" fontId="0" fillId="0" borderId="4" xfId="0" applyNumberFormat="1" applyBorder="1" applyAlignment="1" applyProtection="1">
      <alignment horizontal="center"/>
      <protection locked="0"/>
    </xf>
    <xf numFmtId="165" fontId="0" fillId="0" borderId="8" xfId="0" applyNumberFormat="1" applyBorder="1" applyAlignment="1" applyProtection="1">
      <alignment horizontal="center"/>
      <protection locked="0"/>
    </xf>
    <xf numFmtId="0" fontId="0" fillId="0" borderId="22" xfId="0" applyBorder="1" applyAlignment="1">
      <alignment horizontal="center" vertical="center" textRotation="90" wrapText="1"/>
    </xf>
    <xf numFmtId="0" fontId="0" fillId="0" borderId="0" xfId="0" applyAlignment="1">
      <alignment horizontal="center" vertical="center" textRotation="90" wrapText="1"/>
    </xf>
    <xf numFmtId="0" fontId="1" fillId="0" borderId="0" xfId="0" applyFont="1" applyAlignment="1">
      <alignment horizontal="center" vertical="center"/>
    </xf>
    <xf numFmtId="0" fontId="3" fillId="0" borderId="13" xfId="0" applyFont="1" applyBorder="1" applyAlignment="1">
      <alignment horizontal="left" vertical="center" textRotation="90"/>
    </xf>
    <xf numFmtId="0" fontId="3" fillId="0" borderId="22" xfId="0" applyFont="1" applyBorder="1" applyAlignment="1">
      <alignment horizontal="center" vertical="center" textRotation="90" wrapText="1"/>
    </xf>
    <xf numFmtId="0" fontId="3" fillId="0" borderId="0" xfId="0" applyFont="1" applyAlignment="1">
      <alignment horizontal="center" vertical="center" textRotation="90" wrapText="1"/>
    </xf>
    <xf numFmtId="0" fontId="2" fillId="0" borderId="0" xfId="0" applyFont="1" applyAlignment="1">
      <alignment horizontal="right"/>
    </xf>
    <xf numFmtId="0" fontId="3" fillId="0" borderId="26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2" fillId="0" borderId="30" xfId="0" quotePrefix="1" applyFont="1" applyBorder="1" applyAlignment="1">
      <alignment horizontal="center" vertical="center" wrapText="1"/>
    </xf>
    <xf numFmtId="0" fontId="2" fillId="0" borderId="31" xfId="0" quotePrefix="1" applyFont="1" applyBorder="1" applyAlignment="1">
      <alignment horizontal="center" vertical="center" wrapText="1"/>
    </xf>
    <xf numFmtId="0" fontId="0" fillId="0" borderId="3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4"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459809057135482"/>
          <c:y val="6.5384615384615388E-2"/>
          <c:w val="0.87771872690670949"/>
          <c:h val="0.88076923076923075"/>
        </c:manualLayout>
      </c:layout>
      <c:lineChart>
        <c:grouping val="standard"/>
        <c:varyColors val="0"/>
        <c:ser>
          <c:idx val="0"/>
          <c:order val="0"/>
          <c:tx>
            <c:strRef>
              <c:f>'SJCPIL-R 15-102 - DIA'!$A$30</c:f>
              <c:strCache>
                <c:ptCount val="1"/>
                <c:pt idx="0">
                  <c:v>ppm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pPr>
              <a:solidFill>
                <a:srgbClr val="002060"/>
              </a:solidFill>
              <a:ln>
                <a:noFill/>
              </a:ln>
            </c:spPr>
          </c:marker>
          <c:cat>
            <c:numRef>
              <c:f>'SJCPIL-R 15-102 - DIA'!$C$2:$W$2</c:f>
              <c:numCache>
                <c:formatCode>d/m;@</c:formatCode>
                <c:ptCount val="21"/>
              </c:numCache>
            </c:numRef>
          </c:cat>
          <c:val>
            <c:numRef>
              <c:f>'SJCPIL-R 15-102 - DIA'!$C$30:$X$30</c:f>
              <c:numCache>
                <c:formatCode>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2E-457D-AA35-5C587D1EE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096496"/>
        <c:axId val="598089832"/>
      </c:lineChart>
      <c:scatterChart>
        <c:scatterStyle val="lineMarker"/>
        <c:varyColors val="0"/>
        <c:ser>
          <c:idx val="1"/>
          <c:order val="1"/>
          <c:tx>
            <c:strRef>
              <c:f>'SJCPIL-R 15-102 - DIA'!$A$37</c:f>
              <c:strCache>
                <c:ptCount val="1"/>
                <c:pt idx="0">
                  <c:v>Objetivo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</c:v>
                </c:pt>
              </c:numLit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ln w="22225">
                <a:solidFill>
                  <a:srgbClr val="FF0000"/>
                </a:solidFill>
              </a:ln>
            </c:spPr>
          </c:errBars>
          <c:yVal>
            <c:numRef>
              <c:f>'SJCPIL-R 15-102 - DIA'!$C$37</c:f>
              <c:numCache>
                <c:formatCode>0</c:formatCode>
                <c:ptCount val="1"/>
                <c:pt idx="0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18-4624-BA70-AB72899DA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413360"/>
        <c:axId val="598091008"/>
      </c:scatterChart>
      <c:catAx>
        <c:axId val="598096496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d/m;@" sourceLinked="1"/>
        <c:majorTickMark val="out"/>
        <c:minorTickMark val="none"/>
        <c:tickLblPos val="nextTo"/>
        <c:crossAx val="598089832"/>
        <c:crosses val="autoZero"/>
        <c:auto val="0"/>
        <c:lblAlgn val="ctr"/>
        <c:lblOffset val="100"/>
        <c:noMultiLvlLbl val="0"/>
      </c:catAx>
      <c:valAx>
        <c:axId val="598089832"/>
        <c:scaling>
          <c:orientation val="minMax"/>
          <c:max val="5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Falhas (ppm)</a:t>
                </a:r>
              </a:p>
            </c:rich>
          </c:tx>
          <c:layout>
            <c:manualLayout>
              <c:xMode val="edge"/>
              <c:yMode val="edge"/>
              <c:x val="1.7189079878665317E-2"/>
              <c:y val="0.3230769230769230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598096496"/>
        <c:crosses val="autoZero"/>
        <c:crossBetween val="between"/>
        <c:majorUnit val="100"/>
      </c:valAx>
      <c:valAx>
        <c:axId val="598091008"/>
        <c:scaling>
          <c:orientation val="minMax"/>
        </c:scaling>
        <c:delete val="1"/>
        <c:axPos val="r"/>
        <c:numFmt formatCode="0" sourceLinked="1"/>
        <c:majorTickMark val="out"/>
        <c:minorTickMark val="none"/>
        <c:tickLblPos val="nextTo"/>
        <c:crossAx val="534413360"/>
        <c:crosses val="max"/>
        <c:crossBetween val="midCat"/>
      </c:valAx>
      <c:valAx>
        <c:axId val="534413360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598091008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459809057135482"/>
          <c:y val="6.5384615384615388E-2"/>
          <c:w val="0.87771872690670949"/>
          <c:h val="0.88076923076923075"/>
        </c:manualLayout>
      </c:layout>
      <c:lineChart>
        <c:grouping val="standard"/>
        <c:varyColors val="0"/>
        <c:ser>
          <c:idx val="0"/>
          <c:order val="0"/>
          <c:tx>
            <c:strRef>
              <c:f>'SJCPIL-R 15-102 - NOITE'!$A$30</c:f>
              <c:strCache>
                <c:ptCount val="1"/>
                <c:pt idx="0">
                  <c:v>ppm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pPr>
              <a:solidFill>
                <a:srgbClr val="002060"/>
              </a:solidFill>
              <a:ln>
                <a:noFill/>
              </a:ln>
            </c:spPr>
          </c:marker>
          <c:cat>
            <c:numRef>
              <c:f>'SJCPIL-R 15-102 - NOITE'!$C$2:$W$2</c:f>
              <c:numCache>
                <c:formatCode>d/m;@</c:formatCode>
                <c:ptCount val="21"/>
              </c:numCache>
            </c:numRef>
          </c:cat>
          <c:val>
            <c:numRef>
              <c:f>'SJCPIL-R 15-102 - NOITE'!$C$30:$X$30</c:f>
              <c:numCache>
                <c:formatCode>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65-49C9-A241-FDAE36A5E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414144"/>
        <c:axId val="534414928"/>
      </c:lineChart>
      <c:scatterChart>
        <c:scatterStyle val="lineMarker"/>
        <c:varyColors val="0"/>
        <c:ser>
          <c:idx val="1"/>
          <c:order val="1"/>
          <c:tx>
            <c:strRef>
              <c:f>'SJCPIL-R 15-102 - NOITE'!$A$37</c:f>
              <c:strCache>
                <c:ptCount val="1"/>
                <c:pt idx="0">
                  <c:v>Objetivo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</c:v>
                </c:pt>
              </c:numLit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ln w="22225">
                <a:solidFill>
                  <a:srgbClr val="FF0000"/>
                </a:solidFill>
              </a:ln>
            </c:spPr>
          </c:errBars>
          <c:yVal>
            <c:numRef>
              <c:f>'SJCPIL-R 15-102 - NOITE'!$C$37</c:f>
              <c:numCache>
                <c:formatCode>0</c:formatCode>
                <c:ptCount val="1"/>
                <c:pt idx="0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65-49C9-A241-FDAE36A5E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412576"/>
        <c:axId val="534415712"/>
      </c:scatterChart>
      <c:catAx>
        <c:axId val="534414144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d/m;@" sourceLinked="1"/>
        <c:majorTickMark val="out"/>
        <c:minorTickMark val="none"/>
        <c:tickLblPos val="nextTo"/>
        <c:crossAx val="534414928"/>
        <c:crosses val="autoZero"/>
        <c:auto val="0"/>
        <c:lblAlgn val="ctr"/>
        <c:lblOffset val="100"/>
        <c:noMultiLvlLbl val="0"/>
      </c:catAx>
      <c:valAx>
        <c:axId val="534414928"/>
        <c:scaling>
          <c:orientation val="minMax"/>
          <c:max val="5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Falhas (ppm)</a:t>
                </a:r>
              </a:p>
            </c:rich>
          </c:tx>
          <c:layout>
            <c:manualLayout>
              <c:xMode val="edge"/>
              <c:yMode val="edge"/>
              <c:x val="1.7189079878665317E-2"/>
              <c:y val="0.3230769230769230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534414144"/>
        <c:crosses val="autoZero"/>
        <c:crossBetween val="between"/>
        <c:majorUnit val="100"/>
      </c:valAx>
      <c:valAx>
        <c:axId val="534415712"/>
        <c:scaling>
          <c:orientation val="minMax"/>
        </c:scaling>
        <c:delete val="1"/>
        <c:axPos val="r"/>
        <c:numFmt formatCode="0" sourceLinked="1"/>
        <c:majorTickMark val="out"/>
        <c:minorTickMark val="none"/>
        <c:tickLblPos val="nextTo"/>
        <c:crossAx val="534412576"/>
        <c:crosses val="max"/>
        <c:crossBetween val="midCat"/>
      </c:valAx>
      <c:valAx>
        <c:axId val="534412576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534415712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Montagem</a:t>
            </a:r>
            <a:r>
              <a:rPr lang="pt-BR" baseline="0"/>
              <a:t> UM-1 - Após Shima</a:t>
            </a:r>
          </a:p>
          <a:p>
            <a:pPr>
              <a:defRPr/>
            </a:pPr>
            <a:r>
              <a:rPr lang="pt-BR" baseline="0"/>
              <a:t>Pareto de Falhas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v>Falhas</c:v>
          </c:tx>
          <c:spPr>
            <a:gradFill>
              <a:gsLst>
                <a:gs pos="0">
                  <a:srgbClr val="002060"/>
                </a:gs>
                <a:gs pos="50000">
                  <a:srgbClr val="00B0F0"/>
                </a:gs>
                <a:gs pos="100000">
                  <a:srgbClr val="002060"/>
                </a:gs>
              </a:gsLst>
              <a:lin ang="0" scaled="0"/>
            </a:gra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'Dados do Gráfico'!$H$2:$H$14</c:f>
              <c:strCache>
                <c:ptCount val="13"/>
                <c:pt idx="0">
                  <c:v>PILHAS RECUPERADAS</c:v>
                </c:pt>
                <c:pt idx="1">
                  <c:v>ENCAIXOTADEIRA</c:v>
                </c:pt>
                <c:pt idx="2">
                  <c:v>S/ BOTTOM PLATE</c:v>
                </c:pt>
                <c:pt idx="3">
                  <c:v>S/ ARRUELA / ARR. DESLOCADA</c:v>
                </c:pt>
                <c:pt idx="4">
                  <c:v>PANK</c:v>
                </c:pt>
                <c:pt idx="5">
                  <c:v>AMASSADO INFERIOR</c:v>
                </c:pt>
                <c:pt idx="6">
                  <c:v>AMASSADO SUPERIOR</c:v>
                </c:pt>
                <c:pt idx="7">
                  <c:v>MANCHADA</c:v>
                </c:pt>
                <c:pt idx="8">
                  <c:v>RISCADA</c:v>
                </c:pt>
                <c:pt idx="9">
                  <c:v>S/ CAP</c:v>
                </c:pt>
                <c:pt idx="10">
                  <c:v>S/ ANEL VERMELHO</c:v>
                </c:pt>
                <c:pt idx="11">
                  <c:v>LEAK</c:v>
                </c:pt>
                <c:pt idx="12">
                  <c:v>OUTROS</c:v>
                </c:pt>
              </c:strCache>
            </c:strRef>
          </c:cat>
          <c:val>
            <c:numRef>
              <c:f>'Dados do Gráfico'!$I$2:$I$14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FC-4C26-AEAB-2A5B7DBCDE12}"/>
            </c:ext>
          </c:extLst>
        </c:ser>
        <c:ser>
          <c:idx val="0"/>
          <c:order val="1"/>
          <c:tx>
            <c:v>Problemas (ppm)</c:v>
          </c:tx>
          <c:spPr>
            <a:gradFill>
              <a:gsLst>
                <a:gs pos="0">
                  <a:srgbClr val="FF0000"/>
                </a:gs>
                <a:gs pos="50000">
                  <a:schemeClr val="accent2">
                    <a:lumMod val="60000"/>
                    <a:lumOff val="40000"/>
                  </a:schemeClr>
                </a:gs>
                <a:gs pos="100000">
                  <a:srgbClr val="FF0000"/>
                </a:gs>
              </a:gsLst>
              <a:lin ang="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do Gráfico'!$H$2:$H$14</c:f>
              <c:strCache>
                <c:ptCount val="13"/>
                <c:pt idx="0">
                  <c:v>PILHAS RECUPERADAS</c:v>
                </c:pt>
                <c:pt idx="1">
                  <c:v>ENCAIXOTADEIRA</c:v>
                </c:pt>
                <c:pt idx="2">
                  <c:v>S/ BOTTOM PLATE</c:v>
                </c:pt>
                <c:pt idx="3">
                  <c:v>S/ ARRUELA / ARR. DESLOCADA</c:v>
                </c:pt>
                <c:pt idx="4">
                  <c:v>PANK</c:v>
                </c:pt>
                <c:pt idx="5">
                  <c:v>AMASSADO INFERIOR</c:v>
                </c:pt>
                <c:pt idx="6">
                  <c:v>AMASSADO SUPERIOR</c:v>
                </c:pt>
                <c:pt idx="7">
                  <c:v>MANCHADA</c:v>
                </c:pt>
                <c:pt idx="8">
                  <c:v>RISCADA</c:v>
                </c:pt>
                <c:pt idx="9">
                  <c:v>S/ CAP</c:v>
                </c:pt>
                <c:pt idx="10">
                  <c:v>S/ ANEL VERMELHO</c:v>
                </c:pt>
                <c:pt idx="11">
                  <c:v>LEAK</c:v>
                </c:pt>
                <c:pt idx="12">
                  <c:v>OUTROS</c:v>
                </c:pt>
              </c:strCache>
            </c:strRef>
          </c:cat>
          <c:val>
            <c:numRef>
              <c:f>'Dados do Gráfico'!$M$2:$M$14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5B-40FF-A1A8-A6E16FE9B29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34412968"/>
        <c:axId val="595847904"/>
      </c:barChart>
      <c:lineChart>
        <c:grouping val="standard"/>
        <c:varyColors val="0"/>
        <c:ser>
          <c:idx val="1"/>
          <c:order val="2"/>
          <c:tx>
            <c:v>Acumulado (%)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do Gráfico'!$H$2:$H$14</c:f>
              <c:strCache>
                <c:ptCount val="13"/>
                <c:pt idx="0">
                  <c:v>PILHAS RECUPERADAS</c:v>
                </c:pt>
                <c:pt idx="1">
                  <c:v>ENCAIXOTADEIRA</c:v>
                </c:pt>
                <c:pt idx="2">
                  <c:v>S/ BOTTOM PLATE</c:v>
                </c:pt>
                <c:pt idx="3">
                  <c:v>S/ ARRUELA / ARR. DESLOCADA</c:v>
                </c:pt>
                <c:pt idx="4">
                  <c:v>PANK</c:v>
                </c:pt>
                <c:pt idx="5">
                  <c:v>AMASSADO INFERIOR</c:v>
                </c:pt>
                <c:pt idx="6">
                  <c:v>AMASSADO SUPERIOR</c:v>
                </c:pt>
                <c:pt idx="7">
                  <c:v>MANCHADA</c:v>
                </c:pt>
                <c:pt idx="8">
                  <c:v>RISCADA</c:v>
                </c:pt>
                <c:pt idx="9">
                  <c:v>S/ CAP</c:v>
                </c:pt>
                <c:pt idx="10">
                  <c:v>S/ ANEL VERMELHO</c:v>
                </c:pt>
                <c:pt idx="11">
                  <c:v>LEAK</c:v>
                </c:pt>
                <c:pt idx="12">
                  <c:v>OUTROS</c:v>
                </c:pt>
              </c:strCache>
            </c:strRef>
          </c:cat>
          <c:val>
            <c:numRef>
              <c:f>'Dados do Gráfico'!$L$2:$L$14</c:f>
              <c:numCache>
                <c:formatCode>#,#00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5B-40FF-A1A8-A6E16FE9B29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5852608"/>
        <c:axId val="595849080"/>
      </c:lineChart>
      <c:catAx>
        <c:axId val="534412968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5847904"/>
        <c:crosses val="autoZero"/>
        <c:auto val="1"/>
        <c:lblAlgn val="ctr"/>
        <c:lblOffset val="100"/>
        <c:noMultiLvlLbl val="0"/>
      </c:catAx>
      <c:valAx>
        <c:axId val="59584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Falhas  (ppm)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34412968"/>
        <c:crosses val="autoZero"/>
        <c:crossBetween val="between"/>
      </c:valAx>
      <c:valAx>
        <c:axId val="59584908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Acumulado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5852608"/>
        <c:crosses val="max"/>
        <c:crossBetween val="between"/>
      </c:valAx>
      <c:catAx>
        <c:axId val="5958526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958490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18</xdr:row>
      <xdr:rowOff>38100</xdr:rowOff>
    </xdr:from>
    <xdr:to>
      <xdr:col>14</xdr:col>
      <xdr:colOff>19050</xdr:colOff>
      <xdr:row>30</xdr:row>
      <xdr:rowOff>1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19125" y="3867150"/>
          <a:ext cx="7934325" cy="2371726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25400" cmpd="sng">
          <a:solidFill>
            <a:schemeClr val="accent2">
              <a:lumMod val="75000"/>
            </a:schemeClr>
          </a:solidFill>
        </a:ln>
        <a:effectLst>
          <a:outerShdw blurRad="101600" dist="2032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 b="1" i="0" u="none" strike="noStrike">
              <a:solidFill>
                <a:schemeClr val="accent6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PARA LIMPAR OS DADOS DAS PLANILHAS:</a:t>
          </a:r>
          <a:r>
            <a:rPr lang="pt-BR" sz="1600" b="1">
              <a:solidFill>
                <a:schemeClr val="accent6">
                  <a:lumMod val="50000"/>
                </a:schemeClr>
              </a:solidFill>
            </a:rPr>
            <a:t> </a:t>
          </a:r>
        </a:p>
        <a:p>
          <a:endParaRPr lang="pt-BR" sz="1600" b="1">
            <a:solidFill>
              <a:schemeClr val="accent6">
                <a:lumMod val="50000"/>
              </a:schemeClr>
            </a:solidFill>
          </a:endParaRPr>
        </a:p>
        <a:p>
          <a:r>
            <a:rPr lang="pt-BR" sz="1600" b="1" i="0" u="none" strike="noStrike">
              <a:solidFill>
                <a:schemeClr val="accent6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1 - SALVAR COMO: SALVAR COMO: </a:t>
          </a:r>
        </a:p>
        <a:p>
          <a:endParaRPr lang="pt-BR" sz="1600" b="1" i="0" u="none" strike="noStrike">
            <a:solidFill>
              <a:schemeClr val="accent6">
                <a:lumMod val="50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600" b="1" i="0" u="none" strike="noStrike">
              <a:solidFill>
                <a:schemeClr val="accent6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DEFINIR NOME DE NOVO MÊS DE COLETA DE DADOS</a:t>
          </a:r>
          <a:r>
            <a:rPr lang="pt-BR" sz="1600" b="1">
              <a:solidFill>
                <a:schemeClr val="accent6">
                  <a:lumMod val="50000"/>
                </a:schemeClr>
              </a:solidFill>
            </a:rPr>
            <a:t> </a:t>
          </a:r>
        </a:p>
        <a:p>
          <a:endParaRPr lang="pt-BR" sz="1600" b="1">
            <a:solidFill>
              <a:schemeClr val="accent6">
                <a:lumMod val="50000"/>
              </a:schemeClr>
            </a:solidFill>
          </a:endParaRPr>
        </a:p>
        <a:p>
          <a:r>
            <a:rPr lang="pt-BR" sz="1600" b="1">
              <a:solidFill>
                <a:schemeClr val="accent6">
                  <a:lumMod val="50000"/>
                </a:schemeClr>
              </a:solidFill>
            </a:rPr>
            <a:t>2- Utilizar</a:t>
          </a:r>
          <a:r>
            <a:rPr lang="pt-BR" sz="1600" b="1" baseline="0">
              <a:solidFill>
                <a:schemeClr val="accent6">
                  <a:lumMod val="50000"/>
                </a:schemeClr>
              </a:solidFill>
            </a:rPr>
            <a:t> a tecla de atalho CRTL+SHIFT+r para apagar os dados de todas planilhas.</a:t>
          </a:r>
        </a:p>
        <a:p>
          <a:endParaRPr lang="pt-BR" sz="1600" b="1" baseline="0">
            <a:solidFill>
              <a:schemeClr val="accent6">
                <a:lumMod val="50000"/>
              </a:schemeClr>
            </a:solidFill>
          </a:endParaRPr>
        </a:p>
        <a:p>
          <a:r>
            <a:rPr lang="pt-BR" sz="1600" b="1" baseline="0">
              <a:solidFill>
                <a:schemeClr val="accent6">
                  <a:lumMod val="50000"/>
                </a:schemeClr>
              </a:solidFill>
            </a:rPr>
            <a:t>3- Utilizar a tecla de atalho CTRL+u para desbloquear a planilha se necessário.</a:t>
          </a:r>
          <a:endParaRPr lang="pt-BR" sz="16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oneCellAnchor>
    <xdr:from>
      <xdr:col>1</xdr:col>
      <xdr:colOff>28574</xdr:colOff>
      <xdr:row>3</xdr:row>
      <xdr:rowOff>123824</xdr:rowOff>
    </xdr:from>
    <xdr:ext cx="7896225" cy="278493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38174" y="790574"/>
          <a:ext cx="7896225" cy="278493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38100">
          <a:solidFill>
            <a:schemeClr val="accent2">
              <a:lumMod val="75000"/>
            </a:schemeClr>
          </a:solidFill>
        </a:ln>
        <a:effectLst>
          <a:outerShdw blurRad="101600" dist="2032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pt-BR" sz="16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TECLA DE ATALHO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</a:p>
        <a:p>
          <a:endParaRPr lang="pt-BR" sz="20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CTRL+SHIFT+p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Protege todas as panilhas de lançamento de dados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</a:p>
        <a:p>
          <a:endParaRPr lang="pt-BR" sz="20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CTRL+u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Desprotege todas a planilhas de dados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</a:p>
        <a:p>
          <a:endParaRPr lang="pt-BR" sz="20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CTRL+r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Apaga os dados de todas as planilhas</a:t>
          </a:r>
        </a:p>
        <a:p>
          <a:r>
            <a:rPr lang="pt-BR" sz="1600"/>
            <a:t> </a:t>
          </a:r>
          <a:r>
            <a:rPr lang="pt-BR" sz="1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1600"/>
            <a:t> </a:t>
          </a:r>
        </a:p>
      </xdr:txBody>
    </xdr:sp>
    <xdr:clientData/>
  </xdr:oneCellAnchor>
  <xdr:twoCellAnchor>
    <xdr:from>
      <xdr:col>0</xdr:col>
      <xdr:colOff>600074</xdr:colOff>
      <xdr:row>1</xdr:row>
      <xdr:rowOff>0</xdr:rowOff>
    </xdr:from>
    <xdr:to>
      <xdr:col>13</xdr:col>
      <xdr:colOff>609599</xdr:colOff>
      <xdr:row>2</xdr:row>
      <xdr:rowOff>142875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600074" y="161925"/>
          <a:ext cx="7934325" cy="4857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8100" cap="rnd" cmpd="sng">
          <a:solidFill>
            <a:schemeClr val="accent6">
              <a:lumMod val="75000"/>
            </a:schemeClr>
          </a:solidFill>
          <a:round/>
        </a:ln>
        <a:effectLst>
          <a:outerShdw blurRad="76200" dist="1016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400"/>
            <a:t>INSTRUÇÕES DE UTILIZAÇÃO DOS GRÁFICOS DE FALHAS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9525</xdr:colOff>
      <xdr:row>0</xdr:row>
      <xdr:rowOff>381000</xdr:rowOff>
    </xdr:to>
    <xdr:sp macro="" textlink="">
      <xdr:nvSpPr>
        <xdr:cNvPr id="8193" name="Texto 1">
          <a:extLst>
            <a:ext uri="{FF2B5EF4-FFF2-40B4-BE49-F238E27FC236}">
              <a16:creationId xmlns:a16="http://schemas.microsoft.com/office/drawing/2014/main" id="{00000000-0008-0000-0100-000001200000}"/>
            </a:ext>
          </a:extLst>
        </xdr:cNvPr>
        <xdr:cNvSpPr txBox="1">
          <a:spLocks noChangeArrowheads="1"/>
        </xdr:cNvSpPr>
      </xdr:nvSpPr>
      <xdr:spPr bwMode="auto">
        <a:xfrm>
          <a:off x="0" y="0"/>
          <a:ext cx="1638300" cy="381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pt-BR" sz="1200" b="1" i="0" u="none" strike="noStrike" baseline="0">
              <a:solidFill>
                <a:srgbClr val="0000FF"/>
              </a:solidFill>
              <a:latin typeface="SwitzerlandBlack"/>
            </a:rPr>
            <a:t>Panasonic</a:t>
          </a: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PILHAS / BATERIAS</a:t>
          </a:r>
        </a:p>
      </xdr:txBody>
    </xdr:sp>
    <xdr:clientData/>
  </xdr:twoCellAnchor>
  <xdr:twoCellAnchor>
    <xdr:from>
      <xdr:col>0</xdr:col>
      <xdr:colOff>665778</xdr:colOff>
      <xdr:row>4</xdr:row>
      <xdr:rowOff>252510</xdr:rowOff>
    </xdr:from>
    <xdr:to>
      <xdr:col>24</xdr:col>
      <xdr:colOff>94278</xdr:colOff>
      <xdr:row>14</xdr:row>
      <xdr:rowOff>223352</xdr:rowOff>
    </xdr:to>
    <xdr:graphicFrame macro="">
      <xdr:nvGraphicFramePr>
        <xdr:cNvPr id="8195" name="Gráfico 3">
          <a:extLst>
            <a:ext uri="{FF2B5EF4-FFF2-40B4-BE49-F238E27FC236}">
              <a16:creationId xmlns:a16="http://schemas.microsoft.com/office/drawing/2014/main" id="{00000000-0008-0000-0100-0000032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9525</xdr:colOff>
      <xdr:row>0</xdr:row>
      <xdr:rowOff>381000</xdr:rowOff>
    </xdr:to>
    <xdr:sp macro="" textlink="">
      <xdr:nvSpPr>
        <xdr:cNvPr id="2" name="Texto 1">
          <a:extLst>
            <a:ext uri="{FF2B5EF4-FFF2-40B4-BE49-F238E27FC236}">
              <a16:creationId xmlns:a16="http://schemas.microsoft.com/office/drawing/2014/main" id="{E24D43E2-0448-4BF6-82D6-4DFD14BC8780}"/>
            </a:ext>
          </a:extLst>
        </xdr:cNvPr>
        <xdr:cNvSpPr txBox="1">
          <a:spLocks noChangeArrowheads="1"/>
        </xdr:cNvSpPr>
      </xdr:nvSpPr>
      <xdr:spPr bwMode="auto">
        <a:xfrm>
          <a:off x="0" y="0"/>
          <a:ext cx="1638300" cy="381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pt-BR" sz="1200" b="1" i="0" u="none" strike="noStrike" baseline="0">
              <a:solidFill>
                <a:srgbClr val="0000FF"/>
              </a:solidFill>
              <a:latin typeface="SwitzerlandBlack"/>
            </a:rPr>
            <a:t>Panasonic</a:t>
          </a: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PILHAS / BATERIAS</a:t>
          </a:r>
        </a:p>
      </xdr:txBody>
    </xdr:sp>
    <xdr:clientData/>
  </xdr:twoCellAnchor>
  <xdr:twoCellAnchor>
    <xdr:from>
      <xdr:col>0</xdr:col>
      <xdr:colOff>665778</xdr:colOff>
      <xdr:row>4</xdr:row>
      <xdr:rowOff>252510</xdr:rowOff>
    </xdr:from>
    <xdr:to>
      <xdr:col>24</xdr:col>
      <xdr:colOff>94278</xdr:colOff>
      <xdr:row>14</xdr:row>
      <xdr:rowOff>223352</xdr:rowOff>
    </xdr:to>
    <xdr:graphicFrame macro="">
      <xdr:nvGraphicFramePr>
        <xdr:cNvPr id="3" name="Gráfico 3">
          <a:extLst>
            <a:ext uri="{FF2B5EF4-FFF2-40B4-BE49-F238E27FC236}">
              <a16:creationId xmlns:a16="http://schemas.microsoft.com/office/drawing/2014/main" id="{3047BAE9-C561-48BF-A0D9-451F50FC71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4762</xdr:rowOff>
    </xdr:from>
    <xdr:to>
      <xdr:col>19</xdr:col>
      <xdr:colOff>314324</xdr:colOff>
      <xdr:row>51</xdr:row>
      <xdr:rowOff>85725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1)%20Quality%20Business%20Plan/1.3%20-%20Medi&#231;&#227;o%20e%20Monitoramento/SJCPIL%2016-006-08%20-%20FY2021%20-%20Medi&#231;&#227;o%20e%20Monitoramento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JCPIL-R%2014-101-04%20-%20220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SJCPIL-R%2014-101-04%20-%2022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JCPIL 16-006-08"/>
    </sheetNames>
    <sheetDataSet>
      <sheetData sheetId="0">
        <row r="5">
          <cell r="Y5">
            <v>350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ções de Uso"/>
      <sheetName val="SJCPIL-R 14-101 - DIA"/>
      <sheetName val="SJCPIL-R 14-101 - NOITE"/>
      <sheetName val="Pareto"/>
      <sheetName val="Resumo de Custo"/>
      <sheetName val="SJCPIL-R 14-101-04 - 2201"/>
    </sheetNames>
    <definedNames>
      <definedName name="TT_PROD_UM1N" refersTo="='SJCPIL-R 14-101 - NOITE'!$Z$6"/>
    </definedNames>
    <sheetDataSet>
      <sheetData sheetId="0"/>
      <sheetData sheetId="1">
        <row r="6">
          <cell r="Y6">
            <v>496088</v>
          </cell>
        </row>
      </sheetData>
      <sheetData sheetId="2">
        <row r="6">
          <cell r="Z6">
            <v>0</v>
          </cell>
        </row>
      </sheetData>
      <sheetData sheetId="3"/>
      <sheetData sheetId="4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ções de Uso"/>
      <sheetName val="SJCPIL-R 14-101 - DIA"/>
      <sheetName val="SJCPIL-R 14-101 - NOITE"/>
      <sheetName val="Pareto"/>
      <sheetName val="Resumo de Custo"/>
    </sheetNames>
    <sheetDataSet>
      <sheetData sheetId="0"/>
      <sheetData sheetId="1">
        <row r="6">
          <cell r="Y6">
            <v>0</v>
          </cell>
        </row>
      </sheetData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B2:S39"/>
  <sheetViews>
    <sheetView workbookViewId="0">
      <selection activeCell="C10" sqref="C10"/>
    </sheetView>
  </sheetViews>
  <sheetFormatPr defaultRowHeight="12.75" x14ac:dyDescent="0.2"/>
  <cols>
    <col min="1" max="16384" width="9.140625" style="55"/>
  </cols>
  <sheetData>
    <row r="2" spans="2:19" ht="27" x14ac:dyDescent="0.35"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</row>
    <row r="7" spans="2:19" ht="18" x14ac:dyDescent="0.25">
      <c r="N7" s="56"/>
    </row>
    <row r="8" spans="2:19" ht="18" x14ac:dyDescent="0.25">
      <c r="N8" s="56"/>
    </row>
    <row r="9" spans="2:19" ht="18" x14ac:dyDescent="0.25">
      <c r="H9" s="56"/>
    </row>
    <row r="11" spans="2:19" ht="18" x14ac:dyDescent="0.25">
      <c r="H11" s="56"/>
      <c r="I11" s="56"/>
      <c r="K11" s="56"/>
      <c r="M11" s="56"/>
      <c r="N11" s="56"/>
      <c r="O11" s="56"/>
      <c r="P11" s="56"/>
      <c r="Q11" s="56"/>
      <c r="R11" s="56"/>
      <c r="S11" s="56"/>
    </row>
    <row r="12" spans="2:19" ht="18" x14ac:dyDescent="0.25"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</row>
    <row r="13" spans="2:19" ht="18" x14ac:dyDescent="0.25">
      <c r="B13" s="56"/>
      <c r="C13" s="56"/>
      <c r="D13" s="56"/>
      <c r="E13" s="56"/>
      <c r="F13" s="56"/>
      <c r="G13" s="56"/>
      <c r="H13" s="56"/>
      <c r="I13" s="56"/>
      <c r="K13" s="56"/>
      <c r="L13" s="56"/>
      <c r="M13" s="56"/>
      <c r="N13" s="56"/>
      <c r="O13" s="56"/>
      <c r="P13" s="56"/>
      <c r="Q13" s="56"/>
      <c r="R13" s="56"/>
      <c r="S13" s="56"/>
    </row>
    <row r="14" spans="2:19" ht="18" x14ac:dyDescent="0.25">
      <c r="B14" s="56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</row>
    <row r="15" spans="2:19" ht="18" x14ac:dyDescent="0.25">
      <c r="B15" s="56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</row>
    <row r="16" spans="2:19" ht="18" x14ac:dyDescent="0.25">
      <c r="B16" s="56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</row>
    <row r="17" spans="2:14" ht="18" x14ac:dyDescent="0.25">
      <c r="B17" s="56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</row>
    <row r="18" spans="2:14" ht="18" x14ac:dyDescent="0.25"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</row>
    <row r="19" spans="2:14" ht="18" x14ac:dyDescent="0.25">
      <c r="B19" s="56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</row>
    <row r="20" spans="2:14" ht="18" x14ac:dyDescent="0.25">
      <c r="B20" s="56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</row>
    <row r="21" spans="2:14" ht="18" x14ac:dyDescent="0.25">
      <c r="B21" s="56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</row>
    <row r="22" spans="2:14" ht="18" x14ac:dyDescent="0.25">
      <c r="B22" s="56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</row>
    <row r="23" spans="2:14" ht="18" x14ac:dyDescent="0.25">
      <c r="B23" s="56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</row>
    <row r="24" spans="2:14" ht="18" x14ac:dyDescent="0.25">
      <c r="B24" s="56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</row>
    <row r="25" spans="2:14" ht="18" x14ac:dyDescent="0.25">
      <c r="B25" s="56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</row>
    <row r="35" spans="2:6" x14ac:dyDescent="0.2">
      <c r="B35" s="57" t="s">
        <v>23</v>
      </c>
      <c r="C35" s="57"/>
      <c r="D35" s="57"/>
      <c r="E35" s="57"/>
      <c r="F35" s="57"/>
    </row>
    <row r="36" spans="2:6" x14ac:dyDescent="0.2">
      <c r="B36" s="57" t="s">
        <v>24</v>
      </c>
      <c r="C36" s="57"/>
      <c r="D36" s="57"/>
      <c r="E36" s="57"/>
      <c r="F36" s="57"/>
    </row>
    <row r="37" spans="2:6" x14ac:dyDescent="0.2">
      <c r="B37" s="57"/>
      <c r="C37" s="57"/>
      <c r="D37" s="57"/>
      <c r="E37" s="57"/>
      <c r="F37" s="57"/>
    </row>
    <row r="38" spans="2:6" x14ac:dyDescent="0.2">
      <c r="B38" s="57" t="s">
        <v>25</v>
      </c>
      <c r="C38" s="57"/>
      <c r="D38" s="57"/>
      <c r="E38" s="57"/>
      <c r="F38" s="57"/>
    </row>
    <row r="39" spans="2:6" x14ac:dyDescent="0.2">
      <c r="B39" s="57" t="s">
        <v>26</v>
      </c>
      <c r="C39" s="57"/>
      <c r="D39" s="57"/>
      <c r="E39" s="57"/>
      <c r="F39" s="57"/>
    </row>
  </sheetData>
  <sheetProtection algorithmName="SHA-512" hashValue="gRD64rz7y1kMkXu9Oiso3SaTWrF7CDdoj0twriInLhVs9cuqXlbkTdxHRWRUPKlpm8vKMk6qv3eIKAxir7vUjA==" saltValue="E4fykQfjcOBlTlf9KoTTsg==" spinCount="100000"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pageSetUpPr fitToPage="1"/>
  </sheetPr>
  <dimension ref="A1:AA42"/>
  <sheetViews>
    <sheetView showZeros="0" zoomScaleNormal="100" workbookViewId="0">
      <selection activeCell="AA6" sqref="AA6"/>
    </sheetView>
  </sheetViews>
  <sheetFormatPr defaultColWidth="11.42578125" defaultRowHeight="12.75" x14ac:dyDescent="0.2"/>
  <cols>
    <col min="1" max="1" width="24.42578125" customWidth="1"/>
    <col min="2" max="2" width="2.42578125" customWidth="1"/>
    <col min="3" max="24" width="5.85546875" customWidth="1"/>
    <col min="25" max="25" width="8.140625" customWidth="1"/>
    <col min="26" max="26" width="2.7109375" customWidth="1"/>
  </cols>
  <sheetData>
    <row r="1" spans="1:27" ht="32.25" customHeight="1" thickBot="1" x14ac:dyDescent="0.25">
      <c r="C1" s="95" t="s">
        <v>40</v>
      </c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1" t="s">
        <v>18</v>
      </c>
      <c r="U1" s="104" t="s">
        <v>46</v>
      </c>
      <c r="V1" s="105"/>
      <c r="W1" s="105"/>
      <c r="X1" s="106" t="str">
        <f ca="1">MID(CELL("nome.arquivo"),SEARCH(".xl",CELL("nome.arquivo"))-2,2)&amp;" / 20"&amp;MID(CELL("nome.arquivo"),SEARCH(".xl",CELL("nome.arquivo"))-4,2)</f>
        <v>03 / 2022</v>
      </c>
      <c r="Y1" s="107"/>
      <c r="Z1" s="42"/>
    </row>
    <row r="2" spans="1:27" ht="16.7" customHeight="1" x14ac:dyDescent="0.2">
      <c r="A2" s="2" t="s">
        <v>0</v>
      </c>
      <c r="B2" s="89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1"/>
      <c r="V2" s="91"/>
      <c r="W2" s="92"/>
      <c r="X2" s="92"/>
      <c r="Y2" s="25" t="s">
        <v>14</v>
      </c>
      <c r="Z2" s="43"/>
    </row>
    <row r="3" spans="1:27" ht="16.7" customHeight="1" x14ac:dyDescent="0.2">
      <c r="A3" s="4" t="s">
        <v>1</v>
      </c>
      <c r="B3" s="5"/>
      <c r="C3" s="50"/>
      <c r="D3" s="50"/>
      <c r="E3" s="50"/>
      <c r="F3" s="82"/>
      <c r="G3" s="50"/>
      <c r="H3" s="50"/>
      <c r="I3" s="50"/>
      <c r="J3" s="50"/>
      <c r="K3" s="82"/>
      <c r="L3" s="50"/>
      <c r="M3" s="50"/>
      <c r="N3" s="50"/>
      <c r="O3" s="50"/>
      <c r="P3" s="50"/>
      <c r="Q3" s="50"/>
      <c r="R3" s="50"/>
      <c r="S3" s="50"/>
      <c r="T3" s="51"/>
      <c r="U3" s="51"/>
      <c r="V3" s="51"/>
      <c r="W3" s="52"/>
      <c r="X3" s="52"/>
      <c r="Y3" s="6"/>
    </row>
    <row r="4" spans="1:27" ht="16.7" customHeight="1" x14ac:dyDescent="0.2">
      <c r="A4" s="4" t="s">
        <v>22</v>
      </c>
      <c r="B4" s="5"/>
      <c r="C4" s="29"/>
      <c r="D4" s="29"/>
      <c r="E4" s="29"/>
      <c r="F4" s="29"/>
      <c r="G4" s="29"/>
      <c r="H4" s="29"/>
      <c r="I4" s="29"/>
      <c r="J4" s="30"/>
      <c r="K4" s="29"/>
      <c r="L4" s="31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66"/>
      <c r="Y4" s="6">
        <f>SUM(C4:W4)</f>
        <v>0</v>
      </c>
    </row>
    <row r="5" spans="1:27" ht="21.95" customHeight="1" x14ac:dyDescent="0.2">
      <c r="A5" s="4" t="s">
        <v>2</v>
      </c>
      <c r="B5" s="5"/>
      <c r="C5" s="31"/>
      <c r="D5" s="31"/>
      <c r="E5" s="31"/>
      <c r="F5" s="31"/>
      <c r="G5" s="31"/>
      <c r="H5" s="31"/>
      <c r="I5" s="31"/>
      <c r="J5" s="49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67"/>
      <c r="Y5" s="26">
        <f>SUM(C5:W5)</f>
        <v>0</v>
      </c>
      <c r="Z5" s="44"/>
      <c r="AA5" s="87">
        <f>'[3]SJCPIL-R 14-101 - DIA'!$Y$6</f>
        <v>0</v>
      </c>
    </row>
    <row r="6" spans="1:27" ht="20.100000000000001" customHeight="1" x14ac:dyDescent="0.2">
      <c r="A6" s="7"/>
      <c r="C6" s="93">
        <f t="shared" ref="C6:W6" si="0">C40</f>
        <v>0</v>
      </c>
      <c r="D6" s="93">
        <f t="shared" si="0"/>
        <v>0</v>
      </c>
      <c r="E6" s="93">
        <f t="shared" si="0"/>
        <v>0</v>
      </c>
      <c r="F6" s="93">
        <f t="shared" si="0"/>
        <v>0</v>
      </c>
      <c r="G6" s="93">
        <f t="shared" si="0"/>
        <v>0</v>
      </c>
      <c r="H6" s="93"/>
      <c r="I6" s="93">
        <f t="shared" si="0"/>
        <v>0</v>
      </c>
      <c r="J6" s="93">
        <f t="shared" si="0"/>
        <v>0</v>
      </c>
      <c r="K6" s="93">
        <f t="shared" si="0"/>
        <v>0</v>
      </c>
      <c r="L6" s="93"/>
      <c r="M6" s="97">
        <f t="shared" si="0"/>
        <v>0</v>
      </c>
      <c r="N6" s="93">
        <f t="shared" si="0"/>
        <v>0</v>
      </c>
      <c r="O6" s="93">
        <f t="shared" si="0"/>
        <v>0</v>
      </c>
      <c r="P6" s="93">
        <f t="shared" si="0"/>
        <v>0</v>
      </c>
      <c r="Q6" s="93">
        <f t="shared" si="0"/>
        <v>0</v>
      </c>
      <c r="R6" s="93">
        <f t="shared" si="0"/>
        <v>0</v>
      </c>
      <c r="S6" s="93">
        <f t="shared" si="0"/>
        <v>0</v>
      </c>
      <c r="T6" s="93">
        <f t="shared" si="0"/>
        <v>0</v>
      </c>
      <c r="U6" s="93">
        <f t="shared" si="0"/>
        <v>0</v>
      </c>
      <c r="V6" s="93">
        <f t="shared" si="0"/>
        <v>0</v>
      </c>
      <c r="W6" s="93">
        <f t="shared" si="0"/>
        <v>0</v>
      </c>
      <c r="X6" s="65"/>
      <c r="Y6" s="8"/>
    </row>
    <row r="7" spans="1:27" ht="20.100000000000001" customHeight="1" x14ac:dyDescent="0.2">
      <c r="A7" s="96"/>
      <c r="C7" s="94"/>
      <c r="D7" s="94"/>
      <c r="E7" s="94"/>
      <c r="F7" s="94"/>
      <c r="G7" s="94"/>
      <c r="H7" s="94"/>
      <c r="I7" s="94"/>
      <c r="J7" s="94"/>
      <c r="K7" s="94"/>
      <c r="L7" s="94"/>
      <c r="M7" s="98"/>
      <c r="N7" s="94"/>
      <c r="O7" s="94"/>
      <c r="P7" s="94"/>
      <c r="Q7" s="94"/>
      <c r="R7" s="94"/>
      <c r="S7" s="94"/>
      <c r="T7" s="94"/>
      <c r="U7" s="94"/>
      <c r="V7" s="94"/>
      <c r="W7" s="94"/>
      <c r="X7" s="65"/>
      <c r="Y7" s="8"/>
    </row>
    <row r="8" spans="1:27" ht="20.100000000000001" customHeight="1" x14ac:dyDescent="0.2">
      <c r="A8" s="96"/>
      <c r="C8" s="94"/>
      <c r="D8" s="94"/>
      <c r="E8" s="94"/>
      <c r="F8" s="94"/>
      <c r="G8" s="94"/>
      <c r="H8" s="94"/>
      <c r="I8" s="94"/>
      <c r="J8" s="94"/>
      <c r="K8" s="94"/>
      <c r="L8" s="94"/>
      <c r="M8" s="98"/>
      <c r="N8" s="94"/>
      <c r="O8" s="94"/>
      <c r="P8" s="94"/>
      <c r="Q8" s="94"/>
      <c r="R8" s="94"/>
      <c r="S8" s="94"/>
      <c r="T8" s="94"/>
      <c r="U8" s="94"/>
      <c r="V8" s="94"/>
      <c r="W8" s="94"/>
      <c r="X8" s="65"/>
      <c r="Y8" s="8"/>
    </row>
    <row r="9" spans="1:27" ht="20.100000000000001" customHeight="1" x14ac:dyDescent="0.2">
      <c r="A9" s="96"/>
      <c r="C9" s="94"/>
      <c r="D9" s="94"/>
      <c r="E9" s="94"/>
      <c r="F9" s="94"/>
      <c r="G9" s="94"/>
      <c r="H9" s="94"/>
      <c r="I9" s="94"/>
      <c r="J9" s="94"/>
      <c r="K9" s="94"/>
      <c r="L9" s="94"/>
      <c r="M9" s="98"/>
      <c r="N9" s="94"/>
      <c r="O9" s="94"/>
      <c r="P9" s="94"/>
      <c r="Q9" s="94"/>
      <c r="R9" s="94"/>
      <c r="S9" s="94"/>
      <c r="T9" s="94"/>
      <c r="U9" s="94"/>
      <c r="V9" s="94"/>
      <c r="W9" s="94"/>
      <c r="X9" s="65"/>
      <c r="Y9" s="8"/>
    </row>
    <row r="10" spans="1:27" ht="20.100000000000001" customHeight="1" x14ac:dyDescent="0.2">
      <c r="A10" s="96"/>
      <c r="C10" s="94"/>
      <c r="D10" s="94"/>
      <c r="E10" s="94"/>
      <c r="F10" s="94"/>
      <c r="G10" s="94"/>
      <c r="H10" s="94"/>
      <c r="I10" s="94"/>
      <c r="J10" s="94"/>
      <c r="K10" s="94"/>
      <c r="L10" s="94"/>
      <c r="M10" s="98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65"/>
      <c r="Y10" s="8"/>
    </row>
    <row r="11" spans="1:27" ht="20.100000000000001" customHeight="1" x14ac:dyDescent="0.2">
      <c r="A11" s="96"/>
      <c r="C11" s="94"/>
      <c r="D11" s="94"/>
      <c r="E11" s="94"/>
      <c r="F11" s="94"/>
      <c r="G11" s="94"/>
      <c r="H11" s="94"/>
      <c r="I11" s="94"/>
      <c r="J11" s="94"/>
      <c r="K11" s="94"/>
      <c r="L11" s="94"/>
      <c r="M11" s="98"/>
      <c r="N11" s="94"/>
      <c r="O11" s="94"/>
      <c r="P11" s="94"/>
      <c r="Q11" s="94"/>
      <c r="R11" s="94"/>
      <c r="S11" s="94"/>
      <c r="T11" s="94"/>
      <c r="U11" s="94"/>
      <c r="V11" s="94"/>
      <c r="W11" s="94"/>
      <c r="X11" s="65"/>
      <c r="Y11" s="8"/>
    </row>
    <row r="12" spans="1:27" ht="20.100000000000001" customHeight="1" x14ac:dyDescent="0.2">
      <c r="A12" s="96"/>
      <c r="C12" s="94"/>
      <c r="D12" s="94"/>
      <c r="E12" s="94"/>
      <c r="F12" s="94"/>
      <c r="G12" s="94"/>
      <c r="H12" s="94"/>
      <c r="I12" s="94"/>
      <c r="J12" s="94"/>
      <c r="K12" s="94"/>
      <c r="L12" s="94"/>
      <c r="M12" s="98"/>
      <c r="N12" s="94"/>
      <c r="O12" s="94"/>
      <c r="P12" s="94"/>
      <c r="Q12" s="94"/>
      <c r="R12" s="94"/>
      <c r="S12" s="94"/>
      <c r="T12" s="94"/>
      <c r="U12" s="94"/>
      <c r="V12" s="94"/>
      <c r="W12" s="94"/>
      <c r="X12" s="65"/>
      <c r="Y12" s="8"/>
    </row>
    <row r="13" spans="1:27" ht="20.100000000000001" customHeight="1" x14ac:dyDescent="0.2">
      <c r="A13" s="96"/>
      <c r="C13" s="94"/>
      <c r="D13" s="94"/>
      <c r="E13" s="94"/>
      <c r="F13" s="94"/>
      <c r="G13" s="94"/>
      <c r="H13" s="94"/>
      <c r="I13" s="94"/>
      <c r="J13" s="94"/>
      <c r="K13" s="94"/>
      <c r="L13" s="94"/>
      <c r="M13" s="98"/>
      <c r="N13" s="94"/>
      <c r="O13" s="94"/>
      <c r="P13" s="94"/>
      <c r="Q13" s="94"/>
      <c r="R13" s="94"/>
      <c r="S13" s="94"/>
      <c r="T13" s="94"/>
      <c r="U13" s="94"/>
      <c r="V13" s="94"/>
      <c r="W13" s="94"/>
      <c r="X13" s="65"/>
      <c r="Y13" s="8"/>
    </row>
    <row r="14" spans="1:27" ht="20.100000000000001" customHeight="1" x14ac:dyDescent="0.2">
      <c r="A14" s="96"/>
      <c r="C14" s="94"/>
      <c r="D14" s="94"/>
      <c r="E14" s="94"/>
      <c r="F14" s="94"/>
      <c r="G14" s="94"/>
      <c r="H14" s="94"/>
      <c r="I14" s="94"/>
      <c r="J14" s="94"/>
      <c r="K14" s="94"/>
      <c r="L14" s="94"/>
      <c r="M14" s="98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65"/>
      <c r="Y14" s="8"/>
    </row>
    <row r="15" spans="1:27" ht="20.100000000000001" customHeight="1" thickBot="1" x14ac:dyDescent="0.25">
      <c r="A15" s="96"/>
      <c r="C15" s="94"/>
      <c r="D15" s="94"/>
      <c r="E15" s="94"/>
      <c r="F15" s="94"/>
      <c r="G15" s="94"/>
      <c r="H15" s="94"/>
      <c r="I15" s="94"/>
      <c r="J15" s="94"/>
      <c r="K15" s="94"/>
      <c r="L15" s="94"/>
      <c r="M15" s="98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65"/>
      <c r="Y15" s="8"/>
    </row>
    <row r="16" spans="1:27" ht="16.7" customHeight="1" x14ac:dyDescent="0.2">
      <c r="A16" s="2" t="s">
        <v>3</v>
      </c>
      <c r="B16" s="3"/>
      <c r="C16" s="32"/>
      <c r="D16" s="32"/>
      <c r="E16" s="32"/>
      <c r="F16" s="32"/>
      <c r="G16" s="33"/>
      <c r="H16" s="33"/>
      <c r="I16" s="34"/>
      <c r="J16" s="34"/>
      <c r="K16" s="34"/>
      <c r="L16" s="32"/>
      <c r="M16" s="34"/>
      <c r="N16" s="33"/>
      <c r="O16" s="33"/>
      <c r="P16" s="33"/>
      <c r="Q16" s="33"/>
      <c r="R16" s="33"/>
      <c r="S16" s="33"/>
      <c r="T16" s="33"/>
      <c r="U16" s="33"/>
      <c r="V16" s="33"/>
      <c r="W16" s="35"/>
      <c r="X16" s="35"/>
      <c r="Y16" s="9">
        <f t="shared" ref="Y16:Y28" si="1">SUM(C16:W16)</f>
        <v>0</v>
      </c>
    </row>
    <row r="17" spans="1:26" ht="16.7" customHeight="1" x14ac:dyDescent="0.2">
      <c r="A17" s="10" t="s">
        <v>4</v>
      </c>
      <c r="B17" s="11"/>
      <c r="C17" s="36"/>
      <c r="D17" s="36"/>
      <c r="E17" s="36"/>
      <c r="F17" s="36"/>
      <c r="G17" s="37"/>
      <c r="H17" s="37"/>
      <c r="I17" s="38"/>
      <c r="J17" s="38"/>
      <c r="K17" s="38"/>
      <c r="L17" s="36"/>
      <c r="M17" s="38"/>
      <c r="N17" s="37"/>
      <c r="O17" s="37"/>
      <c r="P17" s="37"/>
      <c r="Q17" s="37"/>
      <c r="R17" s="37"/>
      <c r="S17" s="37"/>
      <c r="T17" s="37"/>
      <c r="U17" s="37"/>
      <c r="V17" s="37"/>
      <c r="W17" s="39"/>
      <c r="X17" s="39"/>
      <c r="Y17" s="6">
        <f t="shared" si="1"/>
        <v>0</v>
      </c>
    </row>
    <row r="18" spans="1:26" ht="16.7" customHeight="1" x14ac:dyDescent="0.2">
      <c r="A18" s="10" t="s">
        <v>5</v>
      </c>
      <c r="B18" s="11"/>
      <c r="C18" s="36"/>
      <c r="D18" s="36"/>
      <c r="E18" s="36"/>
      <c r="F18" s="36"/>
      <c r="G18" s="37"/>
      <c r="H18" s="37"/>
      <c r="I18" s="38"/>
      <c r="J18" s="38"/>
      <c r="K18" s="38"/>
      <c r="L18" s="36"/>
      <c r="M18" s="38"/>
      <c r="N18" s="40"/>
      <c r="O18" s="40"/>
      <c r="P18" s="40"/>
      <c r="Q18" s="37"/>
      <c r="R18" s="37"/>
      <c r="S18" s="37"/>
      <c r="T18" s="37"/>
      <c r="U18" s="37"/>
      <c r="V18" s="37"/>
      <c r="W18" s="39"/>
      <c r="X18" s="39"/>
      <c r="Y18" s="6">
        <f t="shared" si="1"/>
        <v>0</v>
      </c>
    </row>
    <row r="19" spans="1:26" ht="16.7" customHeight="1" x14ac:dyDescent="0.2">
      <c r="A19" s="10" t="s">
        <v>20</v>
      </c>
      <c r="B19" s="11"/>
      <c r="C19" s="36"/>
      <c r="D19" s="36"/>
      <c r="E19" s="36"/>
      <c r="F19" s="36"/>
      <c r="G19" s="37"/>
      <c r="H19" s="37"/>
      <c r="I19" s="41"/>
      <c r="J19" s="41"/>
      <c r="K19" s="41"/>
      <c r="L19" s="36"/>
      <c r="M19" s="41"/>
      <c r="N19" s="41"/>
      <c r="O19" s="41"/>
      <c r="P19" s="41"/>
      <c r="Q19" s="37"/>
      <c r="R19" s="37"/>
      <c r="S19" s="37"/>
      <c r="T19" s="37"/>
      <c r="U19" s="37"/>
      <c r="V19" s="37"/>
      <c r="W19" s="39"/>
      <c r="X19" s="39"/>
      <c r="Y19" s="6">
        <f t="shared" si="1"/>
        <v>0</v>
      </c>
    </row>
    <row r="20" spans="1:26" ht="16.7" customHeight="1" x14ac:dyDescent="0.2">
      <c r="A20" s="10" t="s">
        <v>21</v>
      </c>
      <c r="B20" s="11"/>
      <c r="C20" s="36"/>
      <c r="D20" s="36"/>
      <c r="E20" s="36"/>
      <c r="F20" s="36"/>
      <c r="G20" s="37"/>
      <c r="H20" s="37"/>
      <c r="I20" s="41"/>
      <c r="J20" s="41"/>
      <c r="K20" s="41"/>
      <c r="L20" s="36"/>
      <c r="M20" s="41"/>
      <c r="N20" s="41"/>
      <c r="O20" s="41"/>
      <c r="P20" s="41"/>
      <c r="Q20" s="37"/>
      <c r="R20" s="37"/>
      <c r="S20" s="37"/>
      <c r="T20" s="37"/>
      <c r="U20" s="37"/>
      <c r="V20" s="37"/>
      <c r="W20" s="39"/>
      <c r="X20" s="39"/>
      <c r="Y20" s="6">
        <f t="shared" si="1"/>
        <v>0</v>
      </c>
    </row>
    <row r="21" spans="1:26" ht="16.7" customHeight="1" x14ac:dyDescent="0.2">
      <c r="A21" s="10" t="s">
        <v>37</v>
      </c>
      <c r="B21" s="11"/>
      <c r="C21" s="36"/>
      <c r="D21" s="36"/>
      <c r="E21" s="36"/>
      <c r="F21" s="36"/>
      <c r="G21" s="37"/>
      <c r="H21" s="37"/>
      <c r="I21" s="41"/>
      <c r="J21" s="41"/>
      <c r="K21" s="41"/>
      <c r="L21" s="36"/>
      <c r="M21" s="41"/>
      <c r="N21" s="41"/>
      <c r="O21" s="41"/>
      <c r="P21" s="41"/>
      <c r="Q21" s="37"/>
      <c r="R21" s="37"/>
      <c r="S21" s="37"/>
      <c r="T21" s="37"/>
      <c r="U21" s="37"/>
      <c r="V21" s="37"/>
      <c r="W21" s="39"/>
      <c r="X21" s="39"/>
      <c r="Y21" s="6">
        <f t="shared" si="1"/>
        <v>0</v>
      </c>
    </row>
    <row r="22" spans="1:26" ht="16.7" customHeight="1" x14ac:dyDescent="0.2">
      <c r="A22" s="62" t="s">
        <v>38</v>
      </c>
      <c r="B22" s="11"/>
      <c r="C22" s="36"/>
      <c r="D22" s="36"/>
      <c r="E22" s="36"/>
      <c r="F22" s="36"/>
      <c r="G22" s="37"/>
      <c r="H22" s="37"/>
      <c r="I22" s="41"/>
      <c r="J22" s="41"/>
      <c r="K22" s="41"/>
      <c r="L22" s="36"/>
      <c r="M22" s="41"/>
      <c r="N22" s="41"/>
      <c r="O22" s="41"/>
      <c r="P22" s="41"/>
      <c r="Q22" s="37"/>
      <c r="R22" s="37"/>
      <c r="S22" s="37"/>
      <c r="T22" s="37"/>
      <c r="U22" s="37"/>
      <c r="V22" s="37"/>
      <c r="W22" s="39"/>
      <c r="X22" s="39"/>
      <c r="Y22" s="6">
        <f t="shared" si="1"/>
        <v>0</v>
      </c>
    </row>
    <row r="23" spans="1:26" ht="16.7" customHeight="1" x14ac:dyDescent="0.2">
      <c r="A23" s="10" t="s">
        <v>39</v>
      </c>
      <c r="B23" s="11"/>
      <c r="C23" s="36"/>
      <c r="D23" s="36"/>
      <c r="E23" s="36"/>
      <c r="F23" s="36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9"/>
      <c r="X23" s="39"/>
      <c r="Y23" s="6">
        <f t="shared" si="1"/>
        <v>0</v>
      </c>
    </row>
    <row r="24" spans="1:26" ht="16.7" customHeight="1" x14ac:dyDescent="0.2">
      <c r="A24" s="13" t="s">
        <v>13</v>
      </c>
      <c r="B24" s="11"/>
      <c r="C24" s="36"/>
      <c r="D24" s="36"/>
      <c r="E24" s="36"/>
      <c r="F24" s="36"/>
      <c r="G24" s="37"/>
      <c r="H24" s="37"/>
      <c r="I24" s="37"/>
      <c r="J24" s="38"/>
      <c r="K24" s="37"/>
      <c r="L24" s="36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9"/>
      <c r="X24" s="39"/>
      <c r="Y24" s="6">
        <f t="shared" si="1"/>
        <v>0</v>
      </c>
    </row>
    <row r="25" spans="1:26" ht="16.7" customHeight="1" x14ac:dyDescent="0.2">
      <c r="A25" s="10" t="s">
        <v>6</v>
      </c>
      <c r="B25" s="11"/>
      <c r="C25" s="36"/>
      <c r="D25" s="36"/>
      <c r="E25" s="36"/>
      <c r="F25" s="36"/>
      <c r="G25" s="37"/>
      <c r="H25" s="37"/>
      <c r="I25" s="37"/>
      <c r="J25" s="38"/>
      <c r="K25" s="37"/>
      <c r="L25" s="36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9"/>
      <c r="X25" s="39"/>
      <c r="Y25" s="6">
        <f t="shared" si="1"/>
        <v>0</v>
      </c>
    </row>
    <row r="26" spans="1:26" ht="16.7" customHeight="1" x14ac:dyDescent="0.2">
      <c r="A26" s="10" t="s">
        <v>7</v>
      </c>
      <c r="B26" s="11"/>
      <c r="C26" s="36"/>
      <c r="D26" s="36"/>
      <c r="E26" s="36"/>
      <c r="F26" s="36"/>
      <c r="G26" s="37"/>
      <c r="H26" s="37"/>
      <c r="I26" s="37"/>
      <c r="J26" s="38"/>
      <c r="K26" s="37"/>
      <c r="L26" s="36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9"/>
      <c r="X26" s="39"/>
      <c r="Y26" s="6">
        <f t="shared" si="1"/>
        <v>0</v>
      </c>
    </row>
    <row r="27" spans="1:26" ht="16.7" customHeight="1" x14ac:dyDescent="0.2">
      <c r="A27" s="27" t="s">
        <v>8</v>
      </c>
      <c r="B27" s="11"/>
      <c r="C27" s="36"/>
      <c r="D27" s="36"/>
      <c r="E27" s="36"/>
      <c r="F27" s="36"/>
      <c r="G27" s="37"/>
      <c r="H27" s="37"/>
      <c r="I27" s="37"/>
      <c r="J27" s="38"/>
      <c r="K27" s="37"/>
      <c r="L27" s="36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9"/>
      <c r="X27" s="37"/>
      <c r="Y27" s="46">
        <f t="shared" si="1"/>
        <v>0</v>
      </c>
    </row>
    <row r="28" spans="1:26" ht="16.7" customHeight="1" x14ac:dyDescent="0.2">
      <c r="A28" s="27" t="s">
        <v>41</v>
      </c>
      <c r="B28" s="11"/>
      <c r="C28" s="36"/>
      <c r="D28" s="36"/>
      <c r="E28" s="36"/>
      <c r="F28" s="36"/>
      <c r="G28" s="63"/>
      <c r="H28" s="63"/>
      <c r="I28" s="63"/>
      <c r="J28" s="36"/>
      <c r="K28" s="63"/>
      <c r="L28" s="36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37"/>
      <c r="X28" s="37"/>
      <c r="Y28" s="46">
        <f t="shared" si="1"/>
        <v>0</v>
      </c>
    </row>
    <row r="29" spans="1:26" ht="16.7" customHeight="1" x14ac:dyDescent="0.2">
      <c r="A29" s="14" t="s">
        <v>9</v>
      </c>
      <c r="B29" s="11"/>
      <c r="C29" s="11">
        <f>SUM(C16:C27)-C28</f>
        <v>0</v>
      </c>
      <c r="D29" s="11">
        <f t="shared" ref="D29:W29" si="2">SUM(D16:D27)-D28</f>
        <v>0</v>
      </c>
      <c r="E29" s="11">
        <f t="shared" si="2"/>
        <v>0</v>
      </c>
      <c r="F29" s="11">
        <f t="shared" si="2"/>
        <v>0</v>
      </c>
      <c r="G29" s="11">
        <f t="shared" si="2"/>
        <v>0</v>
      </c>
      <c r="H29" s="11">
        <f t="shared" si="2"/>
        <v>0</v>
      </c>
      <c r="I29" s="11">
        <f t="shared" si="2"/>
        <v>0</v>
      </c>
      <c r="J29" s="11">
        <f t="shared" si="2"/>
        <v>0</v>
      </c>
      <c r="K29" s="11">
        <f t="shared" si="2"/>
        <v>0</v>
      </c>
      <c r="L29" s="11">
        <f t="shared" si="2"/>
        <v>0</v>
      </c>
      <c r="M29" s="11">
        <f t="shared" si="2"/>
        <v>0</v>
      </c>
      <c r="N29" s="11">
        <f t="shared" si="2"/>
        <v>0</v>
      </c>
      <c r="O29" s="11">
        <f t="shared" si="2"/>
        <v>0</v>
      </c>
      <c r="P29" s="11">
        <f t="shared" si="2"/>
        <v>0</v>
      </c>
      <c r="Q29" s="11">
        <f t="shared" si="2"/>
        <v>0</v>
      </c>
      <c r="R29" s="11">
        <f t="shared" si="2"/>
        <v>0</v>
      </c>
      <c r="S29" s="11">
        <f t="shared" si="2"/>
        <v>0</v>
      </c>
      <c r="T29" s="11">
        <f t="shared" si="2"/>
        <v>0</v>
      </c>
      <c r="U29" s="11">
        <f t="shared" si="2"/>
        <v>0</v>
      </c>
      <c r="V29" s="11">
        <f t="shared" si="2"/>
        <v>0</v>
      </c>
      <c r="W29" s="11">
        <f t="shared" si="2"/>
        <v>0</v>
      </c>
      <c r="X29" s="12"/>
      <c r="Y29" s="46">
        <f>SUM(Y16:Y27)</f>
        <v>0</v>
      </c>
    </row>
    <row r="30" spans="1:26" ht="16.7" customHeight="1" thickBot="1" x14ac:dyDescent="0.25">
      <c r="A30" s="83" t="s">
        <v>19</v>
      </c>
      <c r="B30" s="84"/>
      <c r="C30" s="85">
        <f t="shared" ref="C30:W30" si="3">IF(C5&gt;0,C29/C5*1000000,0)</f>
        <v>0</v>
      </c>
      <c r="D30" s="85">
        <f t="shared" si="3"/>
        <v>0</v>
      </c>
      <c r="E30" s="85">
        <f t="shared" si="3"/>
        <v>0</v>
      </c>
      <c r="F30" s="85">
        <f t="shared" si="3"/>
        <v>0</v>
      </c>
      <c r="G30" s="85">
        <f t="shared" si="3"/>
        <v>0</v>
      </c>
      <c r="H30" s="85">
        <f t="shared" si="3"/>
        <v>0</v>
      </c>
      <c r="I30" s="85">
        <f t="shared" si="3"/>
        <v>0</v>
      </c>
      <c r="J30" s="85">
        <f t="shared" si="3"/>
        <v>0</v>
      </c>
      <c r="K30" s="85">
        <f t="shared" si="3"/>
        <v>0</v>
      </c>
      <c r="L30" s="85">
        <f t="shared" si="3"/>
        <v>0</v>
      </c>
      <c r="M30" s="85">
        <f t="shared" si="3"/>
        <v>0</v>
      </c>
      <c r="N30" s="85">
        <f t="shared" si="3"/>
        <v>0</v>
      </c>
      <c r="O30" s="85">
        <f t="shared" si="3"/>
        <v>0</v>
      </c>
      <c r="P30" s="85">
        <f t="shared" si="3"/>
        <v>0</v>
      </c>
      <c r="Q30" s="85">
        <f t="shared" si="3"/>
        <v>0</v>
      </c>
      <c r="R30" s="85">
        <f t="shared" ref="R30" si="4">IF(R5&gt;0,R29/R5*1000000,0)</f>
        <v>0</v>
      </c>
      <c r="S30" s="85">
        <f t="shared" si="3"/>
        <v>0</v>
      </c>
      <c r="T30" s="85">
        <f t="shared" si="3"/>
        <v>0</v>
      </c>
      <c r="U30" s="85">
        <f t="shared" si="3"/>
        <v>0</v>
      </c>
      <c r="V30" s="85">
        <f t="shared" si="3"/>
        <v>0</v>
      </c>
      <c r="W30" s="85">
        <f t="shared" si="3"/>
        <v>0</v>
      </c>
      <c r="X30" s="86"/>
      <c r="Y30" s="81" t="str">
        <f>IF(ISERR(Y29/Y5),"",Y29/Y5*1000000)</f>
        <v/>
      </c>
      <c r="Z30" s="23"/>
    </row>
    <row r="31" spans="1:26" ht="16.7" customHeight="1" x14ac:dyDescent="0.2">
      <c r="A31" s="100" t="s">
        <v>43</v>
      </c>
      <c r="B31" s="101"/>
      <c r="C31" s="78"/>
      <c r="D31" s="78"/>
      <c r="E31" s="78"/>
      <c r="F31" s="78"/>
      <c r="G31" s="78"/>
      <c r="H31" s="78"/>
      <c r="I31" s="78"/>
      <c r="J31" s="78"/>
      <c r="K31" s="78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9"/>
      <c r="Z31" s="23"/>
    </row>
    <row r="32" spans="1:26" ht="16.7" customHeight="1" thickBot="1" x14ac:dyDescent="0.25">
      <c r="A32" s="102" t="s">
        <v>42</v>
      </c>
      <c r="B32" s="103"/>
      <c r="C32" s="80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1"/>
      <c r="Z32" s="23"/>
    </row>
    <row r="33" spans="1:26" ht="15" x14ac:dyDescent="0.2">
      <c r="A33" s="70" t="s">
        <v>16</v>
      </c>
      <c r="B33" s="45"/>
      <c r="C33" s="45"/>
      <c r="D33" s="45"/>
      <c r="E33" s="45"/>
      <c r="F33" s="8"/>
      <c r="G33" s="71"/>
      <c r="I33" s="45"/>
      <c r="J33" s="45"/>
      <c r="K33" s="45"/>
      <c r="L33" s="45"/>
      <c r="M33" s="45"/>
      <c r="N33" s="45"/>
      <c r="O33" s="72"/>
      <c r="P33" s="71"/>
      <c r="R33" s="45"/>
      <c r="S33" s="45"/>
      <c r="T33" s="45"/>
      <c r="U33" s="45"/>
      <c r="V33" s="45"/>
      <c r="W33" s="45"/>
      <c r="X33" s="45"/>
      <c r="Y33" s="72"/>
      <c r="Z33" s="45"/>
    </row>
    <row r="34" spans="1:26" ht="15.75" thickBot="1" x14ac:dyDescent="0.25">
      <c r="A34" s="15" t="s">
        <v>17</v>
      </c>
      <c r="B34" s="16"/>
      <c r="C34" s="16"/>
      <c r="D34" s="16"/>
      <c r="E34" s="16"/>
      <c r="F34" s="17"/>
      <c r="G34" s="18" t="s">
        <v>17</v>
      </c>
      <c r="H34" s="19"/>
      <c r="I34" s="16"/>
      <c r="J34" s="16"/>
      <c r="K34" s="16"/>
      <c r="L34" s="16"/>
      <c r="M34" s="16"/>
      <c r="N34" s="16"/>
      <c r="O34" s="20"/>
      <c r="P34" s="18" t="s">
        <v>17</v>
      </c>
      <c r="Q34" s="19"/>
      <c r="R34" s="16"/>
      <c r="S34" s="16"/>
      <c r="T34" s="16"/>
      <c r="U34" s="16"/>
      <c r="V34" s="16"/>
      <c r="W34" s="16"/>
      <c r="X34" s="16"/>
      <c r="Y34" s="20"/>
      <c r="Z34" s="45"/>
    </row>
    <row r="35" spans="1:26" s="22" customFormat="1" x14ac:dyDescent="0.2">
      <c r="A35" s="99" t="s">
        <v>10</v>
      </c>
      <c r="B35" s="99"/>
      <c r="C35" s="21" t="s">
        <v>11</v>
      </c>
      <c r="D35" s="21"/>
      <c r="E35" s="21"/>
      <c r="F35" s="21"/>
      <c r="G35" s="21"/>
      <c r="H35"/>
      <c r="I35" s="21"/>
      <c r="J35" s="21"/>
      <c r="K35" s="21"/>
      <c r="L35" s="21"/>
      <c r="M35" s="21"/>
      <c r="N35" s="21"/>
      <c r="O35" s="21"/>
      <c r="P35" s="21"/>
    </row>
    <row r="37" spans="1:26" x14ac:dyDescent="0.2">
      <c r="A37" t="s">
        <v>12</v>
      </c>
      <c r="C37" s="23">
        <f>'[1]SJCPIL 16-006-08'!$Y$5</f>
        <v>350</v>
      </c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</row>
    <row r="39" spans="1:26" x14ac:dyDescent="0.2">
      <c r="A39" s="12" t="s">
        <v>15</v>
      </c>
      <c r="B39" s="12"/>
      <c r="C39" s="28">
        <f>C2</f>
        <v>0</v>
      </c>
      <c r="D39" s="28">
        <f t="shared" ref="D39:W39" si="5">D2</f>
        <v>0</v>
      </c>
      <c r="E39" s="28">
        <f t="shared" si="5"/>
        <v>0</v>
      </c>
      <c r="F39" s="28">
        <f t="shared" si="5"/>
        <v>0</v>
      </c>
      <c r="G39" s="28">
        <f t="shared" si="5"/>
        <v>0</v>
      </c>
      <c r="H39" s="28">
        <f t="shared" si="5"/>
        <v>0</v>
      </c>
      <c r="I39" s="28">
        <f t="shared" si="5"/>
        <v>0</v>
      </c>
      <c r="J39" s="28">
        <f t="shared" si="5"/>
        <v>0</v>
      </c>
      <c r="K39" s="28">
        <f t="shared" si="5"/>
        <v>0</v>
      </c>
      <c r="L39" s="28">
        <f t="shared" si="5"/>
        <v>0</v>
      </c>
      <c r="M39" s="28">
        <f t="shared" si="5"/>
        <v>0</v>
      </c>
      <c r="N39" s="28">
        <f t="shared" si="5"/>
        <v>0</v>
      </c>
      <c r="O39" s="28">
        <f t="shared" si="5"/>
        <v>0</v>
      </c>
      <c r="P39" s="28">
        <f t="shared" si="5"/>
        <v>0</v>
      </c>
      <c r="Q39" s="28">
        <f t="shared" si="5"/>
        <v>0</v>
      </c>
      <c r="R39" s="28">
        <f t="shared" si="5"/>
        <v>0</v>
      </c>
      <c r="S39" s="28">
        <f t="shared" si="5"/>
        <v>0</v>
      </c>
      <c r="T39" s="28">
        <f t="shared" si="5"/>
        <v>0</v>
      </c>
      <c r="U39" s="28">
        <f t="shared" si="5"/>
        <v>0</v>
      </c>
      <c r="V39" s="28">
        <f t="shared" si="5"/>
        <v>0</v>
      </c>
      <c r="W39" s="28">
        <f t="shared" si="5"/>
        <v>0</v>
      </c>
      <c r="X39" s="68"/>
    </row>
    <row r="40" spans="1:26" ht="127.5" customHeight="1" x14ac:dyDescent="0.2">
      <c r="A40" s="24"/>
      <c r="B40" s="47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7"/>
      <c r="T40" s="47"/>
      <c r="U40" s="47"/>
      <c r="V40" s="47"/>
      <c r="W40" s="47"/>
      <c r="X40" s="69"/>
    </row>
    <row r="41" spans="1:26" x14ac:dyDescent="0.2">
      <c r="C41" s="22"/>
    </row>
    <row r="42" spans="1:26" x14ac:dyDescent="0.2">
      <c r="C42">
        <f>C4-C5</f>
        <v>0</v>
      </c>
      <c r="D42">
        <f t="shared" ref="D42:W42" si="6">D4-D5</f>
        <v>0</v>
      </c>
      <c r="E42">
        <f t="shared" si="6"/>
        <v>0</v>
      </c>
      <c r="F42">
        <f t="shared" si="6"/>
        <v>0</v>
      </c>
      <c r="G42">
        <f t="shared" si="6"/>
        <v>0</v>
      </c>
      <c r="H42">
        <f t="shared" si="6"/>
        <v>0</v>
      </c>
      <c r="I42">
        <f t="shared" si="6"/>
        <v>0</v>
      </c>
      <c r="J42">
        <f t="shared" si="6"/>
        <v>0</v>
      </c>
      <c r="K42">
        <f t="shared" si="6"/>
        <v>0</v>
      </c>
      <c r="L42">
        <f t="shared" si="6"/>
        <v>0</v>
      </c>
      <c r="M42">
        <f t="shared" si="6"/>
        <v>0</v>
      </c>
      <c r="N42">
        <f t="shared" si="6"/>
        <v>0</v>
      </c>
      <c r="O42">
        <f t="shared" si="6"/>
        <v>0</v>
      </c>
      <c r="P42">
        <f t="shared" si="6"/>
        <v>0</v>
      </c>
      <c r="Q42">
        <f t="shared" si="6"/>
        <v>0</v>
      </c>
      <c r="R42">
        <f t="shared" si="6"/>
        <v>0</v>
      </c>
      <c r="S42">
        <f t="shared" si="6"/>
        <v>0</v>
      </c>
      <c r="T42">
        <f t="shared" si="6"/>
        <v>0</v>
      </c>
      <c r="U42">
        <f t="shared" si="6"/>
        <v>0</v>
      </c>
      <c r="V42">
        <f t="shared" si="6"/>
        <v>0</v>
      </c>
      <c r="W42">
        <f t="shared" si="6"/>
        <v>0</v>
      </c>
    </row>
  </sheetData>
  <sheetProtection selectLockedCells="1"/>
  <mergeCells count="28">
    <mergeCell ref="R6:R15"/>
    <mergeCell ref="S6:S15"/>
    <mergeCell ref="T6:T15"/>
    <mergeCell ref="U1:W1"/>
    <mergeCell ref="X1:Y1"/>
    <mergeCell ref="U6:U15"/>
    <mergeCell ref="V6:V15"/>
    <mergeCell ref="W6:W15"/>
    <mergeCell ref="A35:B35"/>
    <mergeCell ref="C6:C15"/>
    <mergeCell ref="D6:D15"/>
    <mergeCell ref="E6:E15"/>
    <mergeCell ref="F6:F15"/>
    <mergeCell ref="A31:B31"/>
    <mergeCell ref="A32:B32"/>
    <mergeCell ref="G6:G15"/>
    <mergeCell ref="C1:Q1"/>
    <mergeCell ref="A7:A15"/>
    <mergeCell ref="H6:H15"/>
    <mergeCell ref="I6:I15"/>
    <mergeCell ref="J6:J15"/>
    <mergeCell ref="K6:K15"/>
    <mergeCell ref="P6:P15"/>
    <mergeCell ref="L6:L15"/>
    <mergeCell ref="M6:M15"/>
    <mergeCell ref="N6:N15"/>
    <mergeCell ref="O6:O15"/>
    <mergeCell ref="Q6:Q15"/>
  </mergeCells>
  <phoneticPr fontId="0" type="noConversion"/>
  <conditionalFormatting sqref="Y29">
    <cfRule type="expression" dxfId="3" priority="2">
      <formula>$Y$29&lt;&gt;SUM($C$16:$W$27)</formula>
    </cfRule>
  </conditionalFormatting>
  <conditionalFormatting sqref="Y5">
    <cfRule type="expression" dxfId="2" priority="1">
      <formula>$Y$5&lt;&gt;$AA$5</formula>
    </cfRule>
  </conditionalFormatting>
  <dataValidations count="1">
    <dataValidation type="date" allowBlank="1" showInputMessage="1" showErrorMessage="1" sqref="C2:W2" xr:uid="{00000000-0002-0000-0100-000000000000}">
      <formula1>44287</formula1>
      <formula2>44651</formula2>
    </dataValidation>
  </dataValidations>
  <printOptions horizontalCentered="1" verticalCentered="1" gridLines="1" gridLinesSet="0"/>
  <pageMargins left="0.19685039370078741" right="0.19685039370078741" top="0.98425196850393704" bottom="0.39370078740157483" header="0.27559055118110237" footer="0.19685039370078741"/>
  <pageSetup paperSize="9" scale="79" orientation="landscape" r:id="rId1"/>
  <headerFooter alignWithMargins="0">
    <oddFooter>&amp;RSJCPIL-R 15-102-04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>
    <pageSetUpPr fitToPage="1"/>
  </sheetPr>
  <dimension ref="A1:AA42"/>
  <sheetViews>
    <sheetView showZeros="0" zoomScaleNormal="100" workbookViewId="0">
      <selection activeCell="C6" sqref="C6:C15"/>
    </sheetView>
  </sheetViews>
  <sheetFormatPr defaultColWidth="11.42578125" defaultRowHeight="12.75" x14ac:dyDescent="0.2"/>
  <cols>
    <col min="1" max="1" width="24.42578125" customWidth="1"/>
    <col min="2" max="2" width="2.42578125" customWidth="1"/>
    <col min="3" max="24" width="5.85546875" customWidth="1"/>
    <col min="25" max="25" width="8.140625" customWidth="1"/>
    <col min="26" max="26" width="2.7109375" customWidth="1"/>
  </cols>
  <sheetData>
    <row r="1" spans="1:27" ht="32.25" customHeight="1" thickBot="1" x14ac:dyDescent="0.25">
      <c r="B1" s="88"/>
      <c r="C1" s="95" t="s">
        <v>40</v>
      </c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1" t="s">
        <v>44</v>
      </c>
      <c r="U1" s="104" t="s">
        <v>46</v>
      </c>
      <c r="V1" s="105"/>
      <c r="W1" s="105"/>
      <c r="X1" s="106" t="str">
        <f ca="1">'SJCPIL-R 15-102 - DIA'!X1</f>
        <v>03 / 2022</v>
      </c>
      <c r="Y1" s="107"/>
      <c r="Z1" s="42"/>
    </row>
    <row r="2" spans="1:27" ht="16.7" customHeight="1" x14ac:dyDescent="0.2">
      <c r="A2" s="2" t="s">
        <v>0</v>
      </c>
      <c r="B2" s="3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1"/>
      <c r="V2" s="91"/>
      <c r="W2" s="92"/>
      <c r="X2" s="53"/>
      <c r="Y2" s="25" t="s">
        <v>14</v>
      </c>
      <c r="Z2" s="43"/>
    </row>
    <row r="3" spans="1:27" ht="16.7" customHeight="1" x14ac:dyDescent="0.2">
      <c r="A3" s="4" t="s">
        <v>1</v>
      </c>
      <c r="B3" s="5"/>
      <c r="C3" s="50"/>
      <c r="D3" s="50"/>
      <c r="E3" s="50"/>
      <c r="F3" s="82"/>
      <c r="G3" s="50"/>
      <c r="H3" s="50"/>
      <c r="I3" s="50"/>
      <c r="J3" s="50"/>
      <c r="K3" s="82"/>
      <c r="L3" s="50"/>
      <c r="M3" s="50"/>
      <c r="N3" s="50"/>
      <c r="O3" s="50"/>
      <c r="P3" s="50"/>
      <c r="Q3" s="50"/>
      <c r="R3" s="50"/>
      <c r="S3" s="50"/>
      <c r="T3" s="51"/>
      <c r="U3" s="51"/>
      <c r="V3" s="51"/>
      <c r="W3" s="52"/>
      <c r="X3" s="52"/>
      <c r="Y3" s="6"/>
    </row>
    <row r="4" spans="1:27" ht="16.7" customHeight="1" x14ac:dyDescent="0.2">
      <c r="A4" s="4" t="s">
        <v>22</v>
      </c>
      <c r="B4" s="5"/>
      <c r="C4" s="29"/>
      <c r="D4" s="29"/>
      <c r="E4" s="29"/>
      <c r="F4" s="29"/>
      <c r="G4" s="29"/>
      <c r="H4" s="29"/>
      <c r="I4" s="29"/>
      <c r="J4" s="30"/>
      <c r="K4" s="29"/>
      <c r="L4" s="31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66"/>
      <c r="Y4" s="6">
        <f>SUM(C4:W4)</f>
        <v>0</v>
      </c>
    </row>
    <row r="5" spans="1:27" ht="21.95" customHeight="1" x14ac:dyDescent="0.2">
      <c r="A5" s="4" t="s">
        <v>2</v>
      </c>
      <c r="B5" s="5"/>
      <c r="C5" s="31"/>
      <c r="D5" s="31"/>
      <c r="E5" s="31"/>
      <c r="F5" s="31"/>
      <c r="G5" s="31"/>
      <c r="H5" s="31"/>
      <c r="I5" s="31"/>
      <c r="J5" s="49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67"/>
      <c r="Y5" s="26">
        <f>SUM(C5:W5)</f>
        <v>0</v>
      </c>
      <c r="Z5" s="44"/>
      <c r="AA5" s="64" cm="1">
        <f t="array" ref="AA5">[2]!TT_PROD_UM1N</f>
        <v>0</v>
      </c>
    </row>
    <row r="6" spans="1:27" ht="20.100000000000001" customHeight="1" x14ac:dyDescent="0.2">
      <c r="A6" s="7"/>
      <c r="C6" s="93">
        <f t="shared" ref="C6:W6" si="0">C40</f>
        <v>0</v>
      </c>
      <c r="D6" s="93">
        <f t="shared" si="0"/>
        <v>0</v>
      </c>
      <c r="E6" s="93">
        <f t="shared" si="0"/>
        <v>0</v>
      </c>
      <c r="F6" s="93">
        <f t="shared" si="0"/>
        <v>0</v>
      </c>
      <c r="G6" s="93">
        <f t="shared" si="0"/>
        <v>0</v>
      </c>
      <c r="H6" s="93"/>
      <c r="I6" s="93">
        <f t="shared" si="0"/>
        <v>0</v>
      </c>
      <c r="J6" s="93">
        <f t="shared" si="0"/>
        <v>0</v>
      </c>
      <c r="K6" s="93">
        <f t="shared" si="0"/>
        <v>0</v>
      </c>
      <c r="L6" s="93"/>
      <c r="M6" s="97">
        <f t="shared" si="0"/>
        <v>0</v>
      </c>
      <c r="N6" s="93">
        <f t="shared" si="0"/>
        <v>0</v>
      </c>
      <c r="O6" s="93">
        <f t="shared" si="0"/>
        <v>0</v>
      </c>
      <c r="P6" s="93">
        <f t="shared" si="0"/>
        <v>0</v>
      </c>
      <c r="Q6" s="93">
        <f t="shared" si="0"/>
        <v>0</v>
      </c>
      <c r="R6" s="93">
        <f t="shared" si="0"/>
        <v>0</v>
      </c>
      <c r="S6" s="93">
        <f t="shared" si="0"/>
        <v>0</v>
      </c>
      <c r="T6" s="93">
        <f t="shared" si="0"/>
        <v>0</v>
      </c>
      <c r="U6" s="93">
        <f t="shared" si="0"/>
        <v>0</v>
      </c>
      <c r="V6" s="93">
        <f t="shared" si="0"/>
        <v>0</v>
      </c>
      <c r="W6" s="93">
        <f t="shared" si="0"/>
        <v>0</v>
      </c>
      <c r="X6" s="65"/>
      <c r="Y6" s="8"/>
    </row>
    <row r="7" spans="1:27" ht="20.100000000000001" customHeight="1" x14ac:dyDescent="0.2">
      <c r="A7" s="96"/>
      <c r="C7" s="94"/>
      <c r="D7" s="94"/>
      <c r="E7" s="94"/>
      <c r="F7" s="94"/>
      <c r="G7" s="94"/>
      <c r="H7" s="94"/>
      <c r="I7" s="94"/>
      <c r="J7" s="94"/>
      <c r="K7" s="94"/>
      <c r="L7" s="94"/>
      <c r="M7" s="98"/>
      <c r="N7" s="94"/>
      <c r="O7" s="94"/>
      <c r="P7" s="94"/>
      <c r="Q7" s="94"/>
      <c r="R7" s="94"/>
      <c r="S7" s="94"/>
      <c r="T7" s="94"/>
      <c r="U7" s="94"/>
      <c r="V7" s="94"/>
      <c r="W7" s="94"/>
      <c r="X7" s="65"/>
      <c r="Y7" s="8"/>
    </row>
    <row r="8" spans="1:27" ht="20.100000000000001" customHeight="1" x14ac:dyDescent="0.2">
      <c r="A8" s="96"/>
      <c r="C8" s="94"/>
      <c r="D8" s="94"/>
      <c r="E8" s="94"/>
      <c r="F8" s="94"/>
      <c r="G8" s="94"/>
      <c r="H8" s="94"/>
      <c r="I8" s="94"/>
      <c r="J8" s="94"/>
      <c r="K8" s="94"/>
      <c r="L8" s="94"/>
      <c r="M8" s="98"/>
      <c r="N8" s="94"/>
      <c r="O8" s="94"/>
      <c r="P8" s="94"/>
      <c r="Q8" s="94"/>
      <c r="R8" s="94"/>
      <c r="S8" s="94"/>
      <c r="T8" s="94"/>
      <c r="U8" s="94"/>
      <c r="V8" s="94"/>
      <c r="W8" s="94"/>
      <c r="X8" s="65"/>
      <c r="Y8" s="8"/>
    </row>
    <row r="9" spans="1:27" ht="20.100000000000001" customHeight="1" x14ac:dyDescent="0.2">
      <c r="A9" s="96"/>
      <c r="C9" s="94"/>
      <c r="D9" s="94"/>
      <c r="E9" s="94"/>
      <c r="F9" s="94"/>
      <c r="G9" s="94"/>
      <c r="H9" s="94"/>
      <c r="I9" s="94"/>
      <c r="J9" s="94"/>
      <c r="K9" s="94"/>
      <c r="L9" s="94"/>
      <c r="M9" s="98"/>
      <c r="N9" s="94"/>
      <c r="O9" s="94"/>
      <c r="P9" s="94"/>
      <c r="Q9" s="94"/>
      <c r="R9" s="94"/>
      <c r="S9" s="94"/>
      <c r="T9" s="94"/>
      <c r="U9" s="94"/>
      <c r="V9" s="94"/>
      <c r="W9" s="94"/>
      <c r="X9" s="65"/>
      <c r="Y9" s="8"/>
    </row>
    <row r="10" spans="1:27" ht="20.100000000000001" customHeight="1" x14ac:dyDescent="0.2">
      <c r="A10" s="96"/>
      <c r="C10" s="94"/>
      <c r="D10" s="94"/>
      <c r="E10" s="94"/>
      <c r="F10" s="94"/>
      <c r="G10" s="94"/>
      <c r="H10" s="94"/>
      <c r="I10" s="94"/>
      <c r="J10" s="94"/>
      <c r="K10" s="94"/>
      <c r="L10" s="94"/>
      <c r="M10" s="98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65"/>
      <c r="Y10" s="8"/>
    </row>
    <row r="11" spans="1:27" ht="20.100000000000001" customHeight="1" x14ac:dyDescent="0.2">
      <c r="A11" s="96"/>
      <c r="C11" s="94"/>
      <c r="D11" s="94"/>
      <c r="E11" s="94"/>
      <c r="F11" s="94"/>
      <c r="G11" s="94"/>
      <c r="H11" s="94"/>
      <c r="I11" s="94"/>
      <c r="J11" s="94"/>
      <c r="K11" s="94"/>
      <c r="L11" s="94"/>
      <c r="M11" s="98"/>
      <c r="N11" s="94"/>
      <c r="O11" s="94"/>
      <c r="P11" s="94"/>
      <c r="Q11" s="94"/>
      <c r="R11" s="94"/>
      <c r="S11" s="94"/>
      <c r="T11" s="94"/>
      <c r="U11" s="94"/>
      <c r="V11" s="94"/>
      <c r="W11" s="94"/>
      <c r="X11" s="65"/>
      <c r="Y11" s="8"/>
    </row>
    <row r="12" spans="1:27" ht="20.100000000000001" customHeight="1" x14ac:dyDescent="0.2">
      <c r="A12" s="96"/>
      <c r="C12" s="94"/>
      <c r="D12" s="94"/>
      <c r="E12" s="94"/>
      <c r="F12" s="94"/>
      <c r="G12" s="94"/>
      <c r="H12" s="94"/>
      <c r="I12" s="94"/>
      <c r="J12" s="94"/>
      <c r="K12" s="94"/>
      <c r="L12" s="94"/>
      <c r="M12" s="98"/>
      <c r="N12" s="94"/>
      <c r="O12" s="94"/>
      <c r="P12" s="94"/>
      <c r="Q12" s="94"/>
      <c r="R12" s="94"/>
      <c r="S12" s="94"/>
      <c r="T12" s="94"/>
      <c r="U12" s="94"/>
      <c r="V12" s="94"/>
      <c r="W12" s="94"/>
      <c r="X12" s="65"/>
      <c r="Y12" s="8"/>
    </row>
    <row r="13" spans="1:27" ht="20.100000000000001" customHeight="1" x14ac:dyDescent="0.2">
      <c r="A13" s="96"/>
      <c r="C13" s="94"/>
      <c r="D13" s="94"/>
      <c r="E13" s="94"/>
      <c r="F13" s="94"/>
      <c r="G13" s="94"/>
      <c r="H13" s="94"/>
      <c r="I13" s="94"/>
      <c r="J13" s="94"/>
      <c r="K13" s="94"/>
      <c r="L13" s="94"/>
      <c r="M13" s="98"/>
      <c r="N13" s="94"/>
      <c r="O13" s="94"/>
      <c r="P13" s="94"/>
      <c r="Q13" s="94"/>
      <c r="R13" s="94"/>
      <c r="S13" s="94"/>
      <c r="T13" s="94"/>
      <c r="U13" s="94"/>
      <c r="V13" s="94"/>
      <c r="W13" s="94"/>
      <c r="X13" s="65"/>
      <c r="Y13" s="8"/>
    </row>
    <row r="14" spans="1:27" ht="20.100000000000001" customHeight="1" x14ac:dyDescent="0.2">
      <c r="A14" s="96"/>
      <c r="C14" s="94"/>
      <c r="D14" s="94"/>
      <c r="E14" s="94"/>
      <c r="F14" s="94"/>
      <c r="G14" s="94"/>
      <c r="H14" s="94"/>
      <c r="I14" s="94"/>
      <c r="J14" s="94"/>
      <c r="K14" s="94"/>
      <c r="L14" s="94"/>
      <c r="M14" s="98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65"/>
      <c r="Y14" s="8"/>
    </row>
    <row r="15" spans="1:27" ht="20.100000000000001" customHeight="1" thickBot="1" x14ac:dyDescent="0.25">
      <c r="A15" s="96"/>
      <c r="C15" s="94"/>
      <c r="D15" s="94"/>
      <c r="E15" s="94"/>
      <c r="F15" s="94"/>
      <c r="G15" s="94"/>
      <c r="H15" s="94"/>
      <c r="I15" s="94"/>
      <c r="J15" s="94"/>
      <c r="K15" s="94"/>
      <c r="L15" s="94"/>
      <c r="M15" s="98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65"/>
      <c r="Y15" s="8"/>
    </row>
    <row r="16" spans="1:27" ht="16.7" customHeight="1" x14ac:dyDescent="0.2">
      <c r="A16" s="2" t="s">
        <v>3</v>
      </c>
      <c r="B16" s="3"/>
      <c r="C16" s="32"/>
      <c r="D16" s="32"/>
      <c r="E16" s="32"/>
      <c r="F16" s="32"/>
      <c r="G16" s="33"/>
      <c r="H16" s="33"/>
      <c r="I16" s="34"/>
      <c r="J16" s="34"/>
      <c r="K16" s="34"/>
      <c r="L16" s="32"/>
      <c r="M16" s="34"/>
      <c r="N16" s="33"/>
      <c r="O16" s="33"/>
      <c r="P16" s="33"/>
      <c r="Q16" s="33"/>
      <c r="R16" s="33"/>
      <c r="S16" s="33"/>
      <c r="T16" s="33"/>
      <c r="U16" s="33"/>
      <c r="V16" s="33"/>
      <c r="W16" s="35"/>
      <c r="X16" s="35"/>
      <c r="Y16" s="9">
        <f t="shared" ref="Y16:Y28" si="1">SUM(C16:W16)</f>
        <v>0</v>
      </c>
    </row>
    <row r="17" spans="1:26" ht="16.7" customHeight="1" x14ac:dyDescent="0.2">
      <c r="A17" s="10" t="s">
        <v>4</v>
      </c>
      <c r="B17" s="11"/>
      <c r="C17" s="36"/>
      <c r="D17" s="36"/>
      <c r="E17" s="36"/>
      <c r="F17" s="36"/>
      <c r="G17" s="37"/>
      <c r="H17" s="37"/>
      <c r="I17" s="38"/>
      <c r="J17" s="38"/>
      <c r="K17" s="38"/>
      <c r="L17" s="36"/>
      <c r="M17" s="38"/>
      <c r="N17" s="37"/>
      <c r="O17" s="37"/>
      <c r="P17" s="37"/>
      <c r="Q17" s="37"/>
      <c r="R17" s="37"/>
      <c r="S17" s="37"/>
      <c r="T17" s="37"/>
      <c r="U17" s="37"/>
      <c r="V17" s="37"/>
      <c r="W17" s="39"/>
      <c r="X17" s="39"/>
      <c r="Y17" s="6">
        <f t="shared" si="1"/>
        <v>0</v>
      </c>
    </row>
    <row r="18" spans="1:26" ht="16.7" customHeight="1" x14ac:dyDescent="0.2">
      <c r="A18" s="10" t="s">
        <v>5</v>
      </c>
      <c r="B18" s="11"/>
      <c r="C18" s="36"/>
      <c r="D18" s="36"/>
      <c r="E18" s="36"/>
      <c r="F18" s="36"/>
      <c r="G18" s="37"/>
      <c r="H18" s="37"/>
      <c r="I18" s="38"/>
      <c r="J18" s="38"/>
      <c r="K18" s="38"/>
      <c r="L18" s="36"/>
      <c r="M18" s="38"/>
      <c r="N18" s="40"/>
      <c r="O18" s="40"/>
      <c r="P18" s="40"/>
      <c r="Q18" s="37"/>
      <c r="R18" s="37"/>
      <c r="S18" s="37"/>
      <c r="T18" s="37"/>
      <c r="U18" s="37"/>
      <c r="V18" s="37"/>
      <c r="W18" s="39"/>
      <c r="X18" s="39"/>
      <c r="Y18" s="6">
        <f t="shared" si="1"/>
        <v>0</v>
      </c>
    </row>
    <row r="19" spans="1:26" ht="16.7" customHeight="1" x14ac:dyDescent="0.2">
      <c r="A19" s="10" t="s">
        <v>20</v>
      </c>
      <c r="B19" s="11"/>
      <c r="C19" s="36"/>
      <c r="D19" s="36"/>
      <c r="E19" s="36"/>
      <c r="F19" s="36"/>
      <c r="G19" s="37"/>
      <c r="H19" s="37"/>
      <c r="I19" s="41"/>
      <c r="J19" s="41"/>
      <c r="K19" s="41"/>
      <c r="L19" s="36"/>
      <c r="M19" s="41"/>
      <c r="N19" s="41"/>
      <c r="O19" s="41"/>
      <c r="P19" s="41"/>
      <c r="Q19" s="37"/>
      <c r="R19" s="37"/>
      <c r="S19" s="37"/>
      <c r="T19" s="37"/>
      <c r="U19" s="37"/>
      <c r="V19" s="37"/>
      <c r="W19" s="39"/>
      <c r="X19" s="39"/>
      <c r="Y19" s="6">
        <f t="shared" si="1"/>
        <v>0</v>
      </c>
    </row>
    <row r="20" spans="1:26" ht="16.7" customHeight="1" x14ac:dyDescent="0.2">
      <c r="A20" s="10" t="s">
        <v>21</v>
      </c>
      <c r="B20" s="11"/>
      <c r="C20" s="36"/>
      <c r="D20" s="36"/>
      <c r="E20" s="36"/>
      <c r="F20" s="36"/>
      <c r="G20" s="37"/>
      <c r="H20" s="37"/>
      <c r="I20" s="41"/>
      <c r="J20" s="41"/>
      <c r="K20" s="41"/>
      <c r="L20" s="36"/>
      <c r="M20" s="41"/>
      <c r="N20" s="41"/>
      <c r="O20" s="41"/>
      <c r="P20" s="41"/>
      <c r="Q20" s="37"/>
      <c r="R20" s="37"/>
      <c r="S20" s="37"/>
      <c r="T20" s="37"/>
      <c r="U20" s="37"/>
      <c r="V20" s="37"/>
      <c r="W20" s="39"/>
      <c r="X20" s="39"/>
      <c r="Y20" s="6">
        <f t="shared" si="1"/>
        <v>0</v>
      </c>
    </row>
    <row r="21" spans="1:26" ht="16.7" customHeight="1" x14ac:dyDescent="0.2">
      <c r="A21" s="10" t="s">
        <v>37</v>
      </c>
      <c r="B21" s="11"/>
      <c r="C21" s="36"/>
      <c r="D21" s="36"/>
      <c r="E21" s="36"/>
      <c r="F21" s="36"/>
      <c r="G21" s="37"/>
      <c r="H21" s="37"/>
      <c r="I21" s="41"/>
      <c r="J21" s="41"/>
      <c r="K21" s="41"/>
      <c r="L21" s="36"/>
      <c r="M21" s="41"/>
      <c r="N21" s="41"/>
      <c r="O21" s="41"/>
      <c r="P21" s="41"/>
      <c r="Q21" s="37"/>
      <c r="R21" s="37"/>
      <c r="S21" s="37"/>
      <c r="T21" s="37"/>
      <c r="U21" s="37"/>
      <c r="V21" s="37"/>
      <c r="W21" s="39"/>
      <c r="X21" s="39"/>
      <c r="Y21" s="6">
        <f t="shared" si="1"/>
        <v>0</v>
      </c>
    </row>
    <row r="22" spans="1:26" ht="16.7" customHeight="1" x14ac:dyDescent="0.2">
      <c r="A22" s="62" t="s">
        <v>38</v>
      </c>
      <c r="B22" s="11"/>
      <c r="C22" s="36"/>
      <c r="D22" s="36"/>
      <c r="E22" s="36"/>
      <c r="F22" s="36"/>
      <c r="G22" s="37"/>
      <c r="H22" s="37"/>
      <c r="I22" s="41"/>
      <c r="J22" s="41"/>
      <c r="K22" s="41"/>
      <c r="L22" s="36"/>
      <c r="M22" s="41"/>
      <c r="N22" s="41"/>
      <c r="O22" s="41"/>
      <c r="P22" s="41"/>
      <c r="Q22" s="37"/>
      <c r="R22" s="37"/>
      <c r="S22" s="37"/>
      <c r="T22" s="37"/>
      <c r="U22" s="37"/>
      <c r="V22" s="37"/>
      <c r="W22" s="39"/>
      <c r="X22" s="39"/>
      <c r="Y22" s="6">
        <f t="shared" si="1"/>
        <v>0</v>
      </c>
    </row>
    <row r="23" spans="1:26" ht="16.7" customHeight="1" x14ac:dyDescent="0.2">
      <c r="A23" s="10" t="s">
        <v>39</v>
      </c>
      <c r="B23" s="11"/>
      <c r="C23" s="36"/>
      <c r="D23" s="36"/>
      <c r="E23" s="36"/>
      <c r="F23" s="36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9"/>
      <c r="X23" s="39"/>
      <c r="Y23" s="6">
        <f t="shared" si="1"/>
        <v>0</v>
      </c>
    </row>
    <row r="24" spans="1:26" ht="16.7" customHeight="1" x14ac:dyDescent="0.2">
      <c r="A24" s="13" t="s">
        <v>13</v>
      </c>
      <c r="B24" s="11"/>
      <c r="C24" s="36"/>
      <c r="D24" s="36"/>
      <c r="E24" s="36"/>
      <c r="F24" s="36"/>
      <c r="G24" s="37"/>
      <c r="H24" s="37"/>
      <c r="I24" s="37"/>
      <c r="J24" s="38"/>
      <c r="K24" s="37"/>
      <c r="L24" s="36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9"/>
      <c r="X24" s="39"/>
      <c r="Y24" s="6">
        <f t="shared" si="1"/>
        <v>0</v>
      </c>
    </row>
    <row r="25" spans="1:26" ht="16.7" customHeight="1" x14ac:dyDescent="0.2">
      <c r="A25" s="10" t="s">
        <v>6</v>
      </c>
      <c r="B25" s="11"/>
      <c r="C25" s="36"/>
      <c r="D25" s="36"/>
      <c r="E25" s="36"/>
      <c r="F25" s="36"/>
      <c r="G25" s="37"/>
      <c r="H25" s="37"/>
      <c r="I25" s="37"/>
      <c r="J25" s="38"/>
      <c r="K25" s="37"/>
      <c r="L25" s="36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9"/>
      <c r="X25" s="39"/>
      <c r="Y25" s="6">
        <f t="shared" si="1"/>
        <v>0</v>
      </c>
    </row>
    <row r="26" spans="1:26" ht="16.7" customHeight="1" x14ac:dyDescent="0.2">
      <c r="A26" s="10" t="s">
        <v>7</v>
      </c>
      <c r="B26" s="11"/>
      <c r="C26" s="36"/>
      <c r="D26" s="36"/>
      <c r="E26" s="36"/>
      <c r="F26" s="36"/>
      <c r="G26" s="37"/>
      <c r="H26" s="37"/>
      <c r="I26" s="37"/>
      <c r="J26" s="38"/>
      <c r="K26" s="37"/>
      <c r="L26" s="36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9"/>
      <c r="X26" s="39"/>
      <c r="Y26" s="6">
        <f t="shared" si="1"/>
        <v>0</v>
      </c>
    </row>
    <row r="27" spans="1:26" ht="16.7" customHeight="1" x14ac:dyDescent="0.2">
      <c r="A27" s="27" t="s">
        <v>8</v>
      </c>
      <c r="B27" s="11"/>
      <c r="C27" s="36"/>
      <c r="D27" s="36"/>
      <c r="E27" s="36"/>
      <c r="F27" s="36"/>
      <c r="G27" s="37"/>
      <c r="H27" s="37"/>
      <c r="I27" s="37"/>
      <c r="J27" s="38"/>
      <c r="K27" s="37"/>
      <c r="L27" s="36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9"/>
      <c r="X27" s="37"/>
      <c r="Y27" s="46">
        <f t="shared" si="1"/>
        <v>0</v>
      </c>
    </row>
    <row r="28" spans="1:26" ht="16.7" customHeight="1" x14ac:dyDescent="0.2">
      <c r="A28" s="27" t="s">
        <v>41</v>
      </c>
      <c r="B28" s="11"/>
      <c r="C28" s="36"/>
      <c r="D28" s="36"/>
      <c r="E28" s="36"/>
      <c r="F28" s="36"/>
      <c r="G28" s="63"/>
      <c r="H28" s="63"/>
      <c r="I28" s="63"/>
      <c r="J28" s="36"/>
      <c r="K28" s="63"/>
      <c r="L28" s="36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37"/>
      <c r="X28" s="37"/>
      <c r="Y28" s="46">
        <f t="shared" si="1"/>
        <v>0</v>
      </c>
    </row>
    <row r="29" spans="1:26" ht="16.7" customHeight="1" x14ac:dyDescent="0.2">
      <c r="A29" s="14" t="s">
        <v>9</v>
      </c>
      <c r="B29" s="11"/>
      <c r="C29" s="11">
        <f>SUM(C16:C27)-C28</f>
        <v>0</v>
      </c>
      <c r="D29" s="11">
        <f t="shared" ref="D29:W29" si="2">SUM(D16:D27)-D28</f>
        <v>0</v>
      </c>
      <c r="E29" s="11">
        <f t="shared" si="2"/>
        <v>0</v>
      </c>
      <c r="F29" s="11">
        <f t="shared" si="2"/>
        <v>0</v>
      </c>
      <c r="G29" s="11">
        <f t="shared" si="2"/>
        <v>0</v>
      </c>
      <c r="H29" s="11">
        <f t="shared" si="2"/>
        <v>0</v>
      </c>
      <c r="I29" s="11">
        <f t="shared" si="2"/>
        <v>0</v>
      </c>
      <c r="J29" s="11">
        <f t="shared" si="2"/>
        <v>0</v>
      </c>
      <c r="K29" s="11">
        <f t="shared" si="2"/>
        <v>0</v>
      </c>
      <c r="L29" s="11">
        <f t="shared" si="2"/>
        <v>0</v>
      </c>
      <c r="M29" s="11">
        <f t="shared" si="2"/>
        <v>0</v>
      </c>
      <c r="N29" s="11">
        <f t="shared" si="2"/>
        <v>0</v>
      </c>
      <c r="O29" s="11">
        <f t="shared" si="2"/>
        <v>0</v>
      </c>
      <c r="P29" s="11">
        <f t="shared" si="2"/>
        <v>0</v>
      </c>
      <c r="Q29" s="11">
        <f t="shared" si="2"/>
        <v>0</v>
      </c>
      <c r="R29" s="11">
        <f t="shared" si="2"/>
        <v>0</v>
      </c>
      <c r="S29" s="11">
        <f t="shared" si="2"/>
        <v>0</v>
      </c>
      <c r="T29" s="11">
        <f t="shared" si="2"/>
        <v>0</v>
      </c>
      <c r="U29" s="11">
        <f t="shared" si="2"/>
        <v>0</v>
      </c>
      <c r="V29" s="11">
        <f t="shared" si="2"/>
        <v>0</v>
      </c>
      <c r="W29" s="11">
        <f t="shared" si="2"/>
        <v>0</v>
      </c>
      <c r="X29" s="12"/>
      <c r="Y29" s="46">
        <f>SUM(Y16:Y27)</f>
        <v>0</v>
      </c>
    </row>
    <row r="30" spans="1:26" ht="16.7" customHeight="1" thickBot="1" x14ac:dyDescent="0.25">
      <c r="A30" s="73" t="s">
        <v>19</v>
      </c>
      <c r="B30" s="74"/>
      <c r="C30" s="75">
        <f t="shared" ref="C30:W30" si="3">IF(C5&gt;0,C29/C5*1000000,0)</f>
        <v>0</v>
      </c>
      <c r="D30" s="75">
        <f t="shared" si="3"/>
        <v>0</v>
      </c>
      <c r="E30" s="75">
        <f t="shared" si="3"/>
        <v>0</v>
      </c>
      <c r="F30" s="75">
        <f t="shared" si="3"/>
        <v>0</v>
      </c>
      <c r="G30" s="75">
        <f t="shared" si="3"/>
        <v>0</v>
      </c>
      <c r="H30" s="75">
        <f t="shared" si="3"/>
        <v>0</v>
      </c>
      <c r="I30" s="75">
        <f t="shared" si="3"/>
        <v>0</v>
      </c>
      <c r="J30" s="75">
        <f t="shared" si="3"/>
        <v>0</v>
      </c>
      <c r="K30" s="75">
        <f t="shared" si="3"/>
        <v>0</v>
      </c>
      <c r="L30" s="75">
        <f t="shared" si="3"/>
        <v>0</v>
      </c>
      <c r="M30" s="75">
        <f t="shared" si="3"/>
        <v>0</v>
      </c>
      <c r="N30" s="75">
        <f t="shared" si="3"/>
        <v>0</v>
      </c>
      <c r="O30" s="75">
        <f t="shared" si="3"/>
        <v>0</v>
      </c>
      <c r="P30" s="75">
        <f t="shared" si="3"/>
        <v>0</v>
      </c>
      <c r="Q30" s="75">
        <f t="shared" si="3"/>
        <v>0</v>
      </c>
      <c r="R30" s="75">
        <f t="shared" si="3"/>
        <v>0</v>
      </c>
      <c r="S30" s="75">
        <f t="shared" si="3"/>
        <v>0</v>
      </c>
      <c r="T30" s="75">
        <f t="shared" si="3"/>
        <v>0</v>
      </c>
      <c r="U30" s="75">
        <f t="shared" si="3"/>
        <v>0</v>
      </c>
      <c r="V30" s="75">
        <f t="shared" si="3"/>
        <v>0</v>
      </c>
      <c r="W30" s="75">
        <f t="shared" si="3"/>
        <v>0</v>
      </c>
      <c r="X30" s="76"/>
      <c r="Y30" s="77" t="str">
        <f>IF(ISERR(Y29/Y5),"",Y29/Y5*1000000)</f>
        <v/>
      </c>
      <c r="Z30" s="23"/>
    </row>
    <row r="31" spans="1:26" ht="16.7" customHeight="1" x14ac:dyDescent="0.2">
      <c r="A31" s="100" t="s">
        <v>43</v>
      </c>
      <c r="B31" s="101"/>
      <c r="C31" s="78"/>
      <c r="D31" s="78"/>
      <c r="E31" s="78"/>
      <c r="F31" s="78"/>
      <c r="G31" s="78"/>
      <c r="H31" s="78"/>
      <c r="I31" s="78"/>
      <c r="J31" s="78"/>
      <c r="K31" s="78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9"/>
      <c r="Z31" s="23"/>
    </row>
    <row r="32" spans="1:26" ht="16.7" customHeight="1" thickBot="1" x14ac:dyDescent="0.25">
      <c r="A32" s="102" t="s">
        <v>42</v>
      </c>
      <c r="B32" s="103"/>
      <c r="C32" s="80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1"/>
      <c r="Z32" s="23"/>
    </row>
    <row r="33" spans="1:26" ht="15" x14ac:dyDescent="0.2">
      <c r="A33" s="70" t="s">
        <v>16</v>
      </c>
      <c r="B33" s="45"/>
      <c r="C33" s="45"/>
      <c r="D33" s="45"/>
      <c r="E33" s="45"/>
      <c r="F33" s="8"/>
      <c r="G33" s="71"/>
      <c r="I33" s="45"/>
      <c r="J33" s="45"/>
      <c r="K33" s="45"/>
      <c r="L33" s="45"/>
      <c r="M33" s="45"/>
      <c r="N33" s="45"/>
      <c r="O33" s="72"/>
      <c r="P33" s="71"/>
      <c r="R33" s="45"/>
      <c r="S33" s="45"/>
      <c r="T33" s="45"/>
      <c r="U33" s="45"/>
      <c r="V33" s="45"/>
      <c r="W33" s="45"/>
      <c r="X33" s="45"/>
      <c r="Y33" s="72"/>
      <c r="Z33" s="45"/>
    </row>
    <row r="34" spans="1:26" ht="15.75" thickBot="1" x14ac:dyDescent="0.25">
      <c r="A34" s="15" t="s">
        <v>17</v>
      </c>
      <c r="B34" s="16"/>
      <c r="C34" s="16"/>
      <c r="D34" s="16"/>
      <c r="E34" s="16"/>
      <c r="F34" s="17"/>
      <c r="G34" s="18" t="s">
        <v>17</v>
      </c>
      <c r="H34" s="19"/>
      <c r="I34" s="16"/>
      <c r="J34" s="16"/>
      <c r="K34" s="16"/>
      <c r="L34" s="16"/>
      <c r="M34" s="16"/>
      <c r="N34" s="16"/>
      <c r="O34" s="20"/>
      <c r="P34" s="18" t="s">
        <v>17</v>
      </c>
      <c r="Q34" s="19"/>
      <c r="R34" s="16"/>
      <c r="S34" s="16"/>
      <c r="T34" s="16"/>
      <c r="U34" s="16"/>
      <c r="V34" s="16"/>
      <c r="W34" s="16"/>
      <c r="X34" s="16"/>
      <c r="Y34" s="20"/>
      <c r="Z34" s="45"/>
    </row>
    <row r="35" spans="1:26" s="22" customFormat="1" x14ac:dyDescent="0.2">
      <c r="A35" s="99" t="s">
        <v>10</v>
      </c>
      <c r="B35" s="99"/>
      <c r="C35" s="21" t="s">
        <v>11</v>
      </c>
      <c r="D35" s="21"/>
      <c r="E35" s="21"/>
      <c r="F35" s="21"/>
      <c r="G35" s="21"/>
      <c r="H35"/>
      <c r="I35" s="21"/>
      <c r="J35" s="21"/>
      <c r="K35" s="21"/>
      <c r="L35" s="21"/>
      <c r="M35" s="21"/>
      <c r="N35" s="21"/>
      <c r="O35" s="21"/>
      <c r="P35" s="21"/>
    </row>
    <row r="37" spans="1:26" x14ac:dyDescent="0.2">
      <c r="A37" t="s">
        <v>12</v>
      </c>
      <c r="C37" s="23">
        <f>'SJCPIL-R 15-102 - DIA'!C37</f>
        <v>350</v>
      </c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</row>
    <row r="39" spans="1:26" x14ac:dyDescent="0.2">
      <c r="A39" s="12" t="s">
        <v>15</v>
      </c>
      <c r="B39" s="12"/>
      <c r="C39" s="28">
        <f>C2</f>
        <v>0</v>
      </c>
      <c r="D39" s="28">
        <f t="shared" ref="D39:W39" si="4">D2</f>
        <v>0</v>
      </c>
      <c r="E39" s="28">
        <f t="shared" si="4"/>
        <v>0</v>
      </c>
      <c r="F39" s="28">
        <f t="shared" si="4"/>
        <v>0</v>
      </c>
      <c r="G39" s="28">
        <f t="shared" si="4"/>
        <v>0</v>
      </c>
      <c r="H39" s="28">
        <f t="shared" si="4"/>
        <v>0</v>
      </c>
      <c r="I39" s="28">
        <f t="shared" si="4"/>
        <v>0</v>
      </c>
      <c r="J39" s="28">
        <f t="shared" si="4"/>
        <v>0</v>
      </c>
      <c r="K39" s="28">
        <f t="shared" si="4"/>
        <v>0</v>
      </c>
      <c r="L39" s="28">
        <f t="shared" si="4"/>
        <v>0</v>
      </c>
      <c r="M39" s="28">
        <f t="shared" si="4"/>
        <v>0</v>
      </c>
      <c r="N39" s="28">
        <f t="shared" si="4"/>
        <v>0</v>
      </c>
      <c r="O39" s="28">
        <f t="shared" si="4"/>
        <v>0</v>
      </c>
      <c r="P39" s="28">
        <f t="shared" si="4"/>
        <v>0</v>
      </c>
      <c r="Q39" s="28">
        <f t="shared" si="4"/>
        <v>0</v>
      </c>
      <c r="R39" s="28">
        <f t="shared" si="4"/>
        <v>0</v>
      </c>
      <c r="S39" s="28">
        <f t="shared" si="4"/>
        <v>0</v>
      </c>
      <c r="T39" s="28">
        <f t="shared" si="4"/>
        <v>0</v>
      </c>
      <c r="U39" s="28">
        <f t="shared" si="4"/>
        <v>0</v>
      </c>
      <c r="V39" s="28">
        <f t="shared" si="4"/>
        <v>0</v>
      </c>
      <c r="W39" s="28">
        <f t="shared" si="4"/>
        <v>0</v>
      </c>
      <c r="X39" s="28">
        <f t="shared" ref="X39" si="5">X2</f>
        <v>0</v>
      </c>
    </row>
    <row r="40" spans="1:26" ht="127.5" customHeight="1" x14ac:dyDescent="0.2">
      <c r="A40" s="24"/>
      <c r="B40" s="47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7"/>
      <c r="T40" s="47"/>
      <c r="U40" s="47"/>
      <c r="V40" s="47"/>
      <c r="W40" s="47"/>
      <c r="X40" s="47"/>
    </row>
    <row r="41" spans="1:26" x14ac:dyDescent="0.2">
      <c r="C41" s="22"/>
    </row>
    <row r="42" spans="1:26" x14ac:dyDescent="0.2">
      <c r="C42">
        <f>C4-C5</f>
        <v>0</v>
      </c>
      <c r="D42">
        <f t="shared" ref="D42:W42" si="6">D4-D5</f>
        <v>0</v>
      </c>
      <c r="E42">
        <f t="shared" si="6"/>
        <v>0</v>
      </c>
      <c r="F42">
        <f t="shared" si="6"/>
        <v>0</v>
      </c>
      <c r="G42">
        <f t="shared" si="6"/>
        <v>0</v>
      </c>
      <c r="H42">
        <f t="shared" si="6"/>
        <v>0</v>
      </c>
      <c r="I42">
        <f t="shared" si="6"/>
        <v>0</v>
      </c>
      <c r="J42">
        <f t="shared" si="6"/>
        <v>0</v>
      </c>
      <c r="K42">
        <f t="shared" si="6"/>
        <v>0</v>
      </c>
      <c r="L42">
        <f t="shared" si="6"/>
        <v>0</v>
      </c>
      <c r="M42">
        <f t="shared" si="6"/>
        <v>0</v>
      </c>
      <c r="N42">
        <f t="shared" si="6"/>
        <v>0</v>
      </c>
      <c r="O42">
        <f t="shared" si="6"/>
        <v>0</v>
      </c>
      <c r="P42">
        <f t="shared" si="6"/>
        <v>0</v>
      </c>
      <c r="Q42">
        <f t="shared" si="6"/>
        <v>0</v>
      </c>
      <c r="R42">
        <f t="shared" si="6"/>
        <v>0</v>
      </c>
      <c r="S42">
        <f t="shared" si="6"/>
        <v>0</v>
      </c>
      <c r="T42">
        <f t="shared" si="6"/>
        <v>0</v>
      </c>
      <c r="U42">
        <f t="shared" si="6"/>
        <v>0</v>
      </c>
      <c r="V42">
        <f t="shared" si="6"/>
        <v>0</v>
      </c>
      <c r="W42">
        <f t="shared" si="6"/>
        <v>0</v>
      </c>
    </row>
  </sheetData>
  <sheetProtection selectLockedCells="1"/>
  <mergeCells count="28">
    <mergeCell ref="A35:B35"/>
    <mergeCell ref="Q6:Q15"/>
    <mergeCell ref="P6:P15"/>
    <mergeCell ref="K6:K15"/>
    <mergeCell ref="L6:L15"/>
    <mergeCell ref="M6:M15"/>
    <mergeCell ref="N6:N15"/>
    <mergeCell ref="O6:O15"/>
    <mergeCell ref="C6:C15"/>
    <mergeCell ref="D6:D15"/>
    <mergeCell ref="E6:E15"/>
    <mergeCell ref="F6:F15"/>
    <mergeCell ref="G6:G15"/>
    <mergeCell ref="H6:H15"/>
    <mergeCell ref="I6:I15"/>
    <mergeCell ref="J6:J15"/>
    <mergeCell ref="U1:W1"/>
    <mergeCell ref="X1:Y1"/>
    <mergeCell ref="A7:A15"/>
    <mergeCell ref="A31:B31"/>
    <mergeCell ref="A32:B32"/>
    <mergeCell ref="C1:Q1"/>
    <mergeCell ref="W6:W15"/>
    <mergeCell ref="R6:R15"/>
    <mergeCell ref="S6:S15"/>
    <mergeCell ref="T6:T15"/>
    <mergeCell ref="U6:U15"/>
    <mergeCell ref="V6:V15"/>
  </mergeCells>
  <conditionalFormatting sqref="Y29">
    <cfRule type="expression" dxfId="1" priority="2">
      <formula>$Y$29&lt;&gt;SUM($C$16:$W$27)</formula>
    </cfRule>
  </conditionalFormatting>
  <conditionalFormatting sqref="Y5">
    <cfRule type="expression" dxfId="0" priority="1">
      <formula>$Y$5&lt;&gt;$AA$5</formula>
    </cfRule>
  </conditionalFormatting>
  <dataValidations count="1">
    <dataValidation type="date" allowBlank="1" showInputMessage="1" showErrorMessage="1" sqref="C2:W2" xr:uid="{00000000-0002-0000-0200-000000000000}">
      <formula1>44287</formula1>
      <formula2>44651</formula2>
    </dataValidation>
  </dataValidations>
  <printOptions horizontalCentered="1" verticalCentered="1" gridLines="1" gridLinesSet="0"/>
  <pageMargins left="0.19685039370078741" right="0.19685039370078741" top="0.98425196850393704" bottom="0.39370078740157483" header="0.27559055118110237" footer="0.19685039370078741"/>
  <pageSetup paperSize="9" scale="79" orientation="landscape" r:id="rId1"/>
  <headerFooter alignWithMargins="0">
    <oddFooter>&amp;RSJCPIL-R 15-102-04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54"/>
  <dimension ref="A1"/>
  <sheetViews>
    <sheetView workbookViewId="0">
      <selection activeCell="U5" sqref="U5"/>
    </sheetView>
  </sheetViews>
  <sheetFormatPr defaultRowHeight="12.75" x14ac:dyDescent="0.2"/>
  <sheetData/>
  <sheetProtection algorithmName="SHA-512" hashValue="jTnbwIc3Js0+2ZW3Y6g2G2saz9ycplaN/zaZedSQcUG8tWp+ZTDg8+ECewIaDW7Ep/pcVlm0WA/d1HdJJw58Aw==" saltValue="KOdqLFZSBjaI1DaizMLogw==" spinCount="100000" sheet="1" objects="1" scenarios="1" selectLockedCells="1"/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3"/>
  <dimension ref="A1:M14"/>
  <sheetViews>
    <sheetView tabSelected="1" workbookViewId="0">
      <selection activeCell="H26" sqref="H26"/>
    </sheetView>
  </sheetViews>
  <sheetFormatPr defaultRowHeight="12.75" x14ac:dyDescent="0.2"/>
  <cols>
    <col min="2" max="2" width="24.7109375" bestFit="1" customWidth="1"/>
    <col min="8" max="8" width="20.5703125" bestFit="1" customWidth="1"/>
  </cols>
  <sheetData>
    <row r="1" spans="1:13" x14ac:dyDescent="0.2">
      <c r="A1" t="s">
        <v>27</v>
      </c>
      <c r="B1" t="s">
        <v>28</v>
      </c>
      <c r="C1" t="s">
        <v>29</v>
      </c>
      <c r="D1" t="s">
        <v>30</v>
      </c>
      <c r="E1" s="60" t="s">
        <v>31</v>
      </c>
      <c r="F1" t="s">
        <v>32</v>
      </c>
      <c r="H1" t="s">
        <v>33</v>
      </c>
      <c r="I1" t="s">
        <v>35</v>
      </c>
      <c r="J1" t="s">
        <v>34</v>
      </c>
      <c r="K1" t="s">
        <v>35</v>
      </c>
      <c r="L1" t="s">
        <v>36</v>
      </c>
      <c r="M1" t="s">
        <v>45</v>
      </c>
    </row>
    <row r="2" spans="1:13" x14ac:dyDescent="0.2">
      <c r="A2">
        <v>1</v>
      </c>
      <c r="B2" s="58" t="s">
        <v>3</v>
      </c>
      <c r="C2">
        <f>'SJCPIL-R 15-102 - DIA'!Y16</f>
        <v>0</v>
      </c>
      <c r="D2">
        <f>C2*1000+A2</f>
        <v>1</v>
      </c>
      <c r="E2">
        <f>LARGE(D$2:D$14,A2)</f>
        <v>13</v>
      </c>
      <c r="F2">
        <f>MATCH(E2,D$2:D$14,)</f>
        <v>13</v>
      </c>
      <c r="H2" t="str">
        <f>VLOOKUP(F2,A$2:C$14,2,)</f>
        <v>PILHAS RECUPERADAS</v>
      </c>
      <c r="I2" s="23">
        <f>VLOOKUP(F2,A$2:C$14,3,)</f>
        <v>0</v>
      </c>
      <c r="J2" s="23">
        <f>I2</f>
        <v>0</v>
      </c>
      <c r="K2" s="23" t="e">
        <f t="shared" ref="K2:K14" si="0">I2/TT_PROD_UM1D*1000000</f>
        <v>#DIV/0!</v>
      </c>
      <c r="L2" s="61" t="e">
        <f>J2/J$14*100</f>
        <v>#DIV/0!</v>
      </c>
      <c r="M2" t="e">
        <f>IF(('SJCPIL-R 15-102 - DIA'!$Y$30&gt;TARGET)*('Dados do Gráfico'!L2&lt;80),'Dados do Gráfico'!I2,0)</f>
        <v>#DIV/0!</v>
      </c>
    </row>
    <row r="3" spans="1:13" x14ac:dyDescent="0.2">
      <c r="A3">
        <v>2</v>
      </c>
      <c r="B3" s="58" t="s">
        <v>4</v>
      </c>
      <c r="C3">
        <f>'SJCPIL-R 15-102 - DIA'!Y17</f>
        <v>0</v>
      </c>
      <c r="D3">
        <f t="shared" ref="D3:D14" si="1">C3*1000+A3</f>
        <v>2</v>
      </c>
      <c r="E3">
        <f t="shared" ref="E3:E14" si="2">LARGE(D$2:D$14,A3)</f>
        <v>11</v>
      </c>
      <c r="F3">
        <f t="shared" ref="F3:F14" si="3">MATCH(E3,D$2:D$14,)</f>
        <v>11</v>
      </c>
      <c r="H3" t="str">
        <f t="shared" ref="H3:H14" si="4">VLOOKUP(F3,A$2:C$14,2,)</f>
        <v>ENCAIXOTADEIRA</v>
      </c>
      <c r="I3" s="23">
        <f t="shared" ref="I3:I14" si="5">VLOOKUP(F3,A$2:C$14,3,)</f>
        <v>0</v>
      </c>
      <c r="J3" s="23">
        <f>I3+J2</f>
        <v>0</v>
      </c>
      <c r="K3" s="23" t="e">
        <f t="shared" si="0"/>
        <v>#DIV/0!</v>
      </c>
      <c r="L3" s="61" t="e">
        <f t="shared" ref="L3:L14" si="6">J3/J$14*100</f>
        <v>#DIV/0!</v>
      </c>
      <c r="M3" t="e">
        <f>IF(('SJCPIL-R 15-102 - DIA'!$Y$30&gt;TARGET)*('Dados do Gráfico'!L3&lt;80),'Dados do Gráfico'!I3,0)</f>
        <v>#DIV/0!</v>
      </c>
    </row>
    <row r="4" spans="1:13" x14ac:dyDescent="0.2">
      <c r="A4">
        <v>3</v>
      </c>
      <c r="B4" s="58" t="s">
        <v>5</v>
      </c>
      <c r="C4">
        <f>'SJCPIL-R 15-102 - DIA'!Y18</f>
        <v>0</v>
      </c>
      <c r="D4">
        <f t="shared" si="1"/>
        <v>3</v>
      </c>
      <c r="E4">
        <f t="shared" si="2"/>
        <v>10</v>
      </c>
      <c r="F4">
        <f t="shared" si="3"/>
        <v>10</v>
      </c>
      <c r="H4" t="str">
        <f t="shared" si="4"/>
        <v>S/ BOTTOM PLATE</v>
      </c>
      <c r="I4" s="23">
        <f t="shared" si="5"/>
        <v>0</v>
      </c>
      <c r="J4" s="23">
        <f t="shared" ref="J4:J14" si="7">I4+J3</f>
        <v>0</v>
      </c>
      <c r="K4" s="23" t="e">
        <f t="shared" si="0"/>
        <v>#DIV/0!</v>
      </c>
      <c r="L4" s="61" t="e">
        <f t="shared" si="6"/>
        <v>#DIV/0!</v>
      </c>
      <c r="M4" t="e">
        <f>IF(('SJCPIL-R 15-102 - DIA'!$Y$30&gt;TARGET)*('Dados do Gráfico'!L4&lt;80),'Dados do Gráfico'!I4,0)</f>
        <v>#DIV/0!</v>
      </c>
    </row>
    <row r="5" spans="1:13" x14ac:dyDescent="0.2">
      <c r="A5">
        <v>4</v>
      </c>
      <c r="B5" s="58" t="s">
        <v>20</v>
      </c>
      <c r="C5">
        <f>'SJCPIL-R 15-102 - DIA'!Y19</f>
        <v>0</v>
      </c>
      <c r="D5">
        <f t="shared" si="1"/>
        <v>4</v>
      </c>
      <c r="E5">
        <f t="shared" si="2"/>
        <v>9</v>
      </c>
      <c r="F5">
        <f t="shared" si="3"/>
        <v>9</v>
      </c>
      <c r="H5" t="str">
        <f t="shared" si="4"/>
        <v>S/ ARRUELA / ARR. DESLOCADA</v>
      </c>
      <c r="I5" s="23">
        <f t="shared" si="5"/>
        <v>0</v>
      </c>
      <c r="J5" s="23">
        <f t="shared" si="7"/>
        <v>0</v>
      </c>
      <c r="K5" s="23" t="e">
        <f t="shared" si="0"/>
        <v>#DIV/0!</v>
      </c>
      <c r="L5" s="61" t="e">
        <f t="shared" si="6"/>
        <v>#DIV/0!</v>
      </c>
      <c r="M5" t="e">
        <f>IF(('SJCPIL-R 15-102 - DIA'!$Y$30&gt;TARGET)*('Dados do Gráfico'!L5&lt;80),'Dados do Gráfico'!I5,0)</f>
        <v>#DIV/0!</v>
      </c>
    </row>
    <row r="6" spans="1:13" x14ac:dyDescent="0.2">
      <c r="A6">
        <v>5</v>
      </c>
      <c r="B6" s="58" t="s">
        <v>21</v>
      </c>
      <c r="C6">
        <f>'SJCPIL-R 15-102 - DIA'!Y20</f>
        <v>0</v>
      </c>
      <c r="D6">
        <f t="shared" si="1"/>
        <v>5</v>
      </c>
      <c r="E6">
        <f t="shared" si="2"/>
        <v>8</v>
      </c>
      <c r="F6">
        <f t="shared" si="3"/>
        <v>8</v>
      </c>
      <c r="H6" t="str">
        <f t="shared" si="4"/>
        <v>PANK</v>
      </c>
      <c r="I6" s="23">
        <f t="shared" si="5"/>
        <v>0</v>
      </c>
      <c r="J6" s="23">
        <f t="shared" si="7"/>
        <v>0</v>
      </c>
      <c r="K6" s="23" t="e">
        <f t="shared" si="0"/>
        <v>#DIV/0!</v>
      </c>
      <c r="L6" s="61" t="e">
        <f t="shared" si="6"/>
        <v>#DIV/0!</v>
      </c>
      <c r="M6" t="e">
        <f>IF(('SJCPIL-R 15-102 - DIA'!$Y$30&gt;TARGET)*('Dados do Gráfico'!L6&lt;80),'Dados do Gráfico'!I6,0)</f>
        <v>#DIV/0!</v>
      </c>
    </row>
    <row r="7" spans="1:13" x14ac:dyDescent="0.2">
      <c r="A7">
        <v>6</v>
      </c>
      <c r="B7" s="58" t="s">
        <v>37</v>
      </c>
      <c r="C7">
        <f>'SJCPIL-R 15-102 - DIA'!Y21</f>
        <v>0</v>
      </c>
      <c r="D7">
        <f t="shared" si="1"/>
        <v>6</v>
      </c>
      <c r="E7">
        <f t="shared" si="2"/>
        <v>7</v>
      </c>
      <c r="F7">
        <f t="shared" si="3"/>
        <v>7</v>
      </c>
      <c r="H7" t="str">
        <f t="shared" si="4"/>
        <v>AMASSADO INFERIOR</v>
      </c>
      <c r="I7" s="23">
        <f t="shared" si="5"/>
        <v>0</v>
      </c>
      <c r="J7" s="23">
        <f t="shared" si="7"/>
        <v>0</v>
      </c>
      <c r="K7" s="23" t="e">
        <f t="shared" si="0"/>
        <v>#DIV/0!</v>
      </c>
      <c r="L7" s="61" t="e">
        <f t="shared" si="6"/>
        <v>#DIV/0!</v>
      </c>
      <c r="M7" t="e">
        <f>IF(('SJCPIL-R 15-102 - DIA'!$Y$30&gt;TARGET)*('Dados do Gráfico'!L7&lt;80),'Dados do Gráfico'!I7,0)</f>
        <v>#DIV/0!</v>
      </c>
    </row>
    <row r="8" spans="1:13" x14ac:dyDescent="0.2">
      <c r="A8">
        <v>7</v>
      </c>
      <c r="B8" s="59" t="s">
        <v>38</v>
      </c>
      <c r="C8">
        <f>'SJCPIL-R 15-102 - DIA'!Y22</f>
        <v>0</v>
      </c>
      <c r="D8">
        <f t="shared" si="1"/>
        <v>7</v>
      </c>
      <c r="E8">
        <f t="shared" si="2"/>
        <v>6</v>
      </c>
      <c r="F8">
        <f t="shared" si="3"/>
        <v>6</v>
      </c>
      <c r="H8" t="str">
        <f t="shared" si="4"/>
        <v>AMASSADO SUPERIOR</v>
      </c>
      <c r="I8" s="23">
        <f t="shared" si="5"/>
        <v>0</v>
      </c>
      <c r="J8" s="23">
        <f t="shared" si="7"/>
        <v>0</v>
      </c>
      <c r="K8" s="23" t="e">
        <f t="shared" si="0"/>
        <v>#DIV/0!</v>
      </c>
      <c r="L8" s="61" t="e">
        <f t="shared" si="6"/>
        <v>#DIV/0!</v>
      </c>
      <c r="M8" t="e">
        <f>IF(('SJCPIL-R 15-102 - DIA'!$Y$30&gt;TARGET)*('Dados do Gráfico'!L8&lt;80),'Dados do Gráfico'!I8,0)</f>
        <v>#DIV/0!</v>
      </c>
    </row>
    <row r="9" spans="1:13" x14ac:dyDescent="0.2">
      <c r="A9">
        <v>8</v>
      </c>
      <c r="B9" s="58" t="s">
        <v>39</v>
      </c>
      <c r="C9">
        <f>'SJCPIL-R 15-102 - DIA'!Y23</f>
        <v>0</v>
      </c>
      <c r="D9">
        <f t="shared" si="1"/>
        <v>8</v>
      </c>
      <c r="E9">
        <f t="shared" si="2"/>
        <v>5</v>
      </c>
      <c r="F9">
        <f t="shared" si="3"/>
        <v>5</v>
      </c>
      <c r="H9" t="str">
        <f t="shared" si="4"/>
        <v>MANCHADA</v>
      </c>
      <c r="I9" s="23">
        <f t="shared" si="5"/>
        <v>0</v>
      </c>
      <c r="J9" s="23">
        <f t="shared" si="7"/>
        <v>0</v>
      </c>
      <c r="K9" s="23" t="e">
        <f t="shared" si="0"/>
        <v>#DIV/0!</v>
      </c>
      <c r="L9" s="61" t="e">
        <f t="shared" si="6"/>
        <v>#DIV/0!</v>
      </c>
      <c r="M9" t="e">
        <f>IF(('SJCPIL-R 15-102 - DIA'!$Y$30&gt;TARGET)*('Dados do Gráfico'!L9&lt;80),'Dados do Gráfico'!I9,0)</f>
        <v>#DIV/0!</v>
      </c>
    </row>
    <row r="10" spans="1:13" x14ac:dyDescent="0.2">
      <c r="A10">
        <v>9</v>
      </c>
      <c r="B10" s="58" t="s">
        <v>13</v>
      </c>
      <c r="C10">
        <f>'SJCPIL-R 15-102 - DIA'!Y24</f>
        <v>0</v>
      </c>
      <c r="D10">
        <f t="shared" si="1"/>
        <v>9</v>
      </c>
      <c r="E10">
        <f t="shared" si="2"/>
        <v>4</v>
      </c>
      <c r="F10">
        <f t="shared" si="3"/>
        <v>4</v>
      </c>
      <c r="H10" t="str">
        <f t="shared" si="4"/>
        <v>RISCADA</v>
      </c>
      <c r="I10" s="23">
        <f t="shared" si="5"/>
        <v>0</v>
      </c>
      <c r="J10" s="23">
        <f t="shared" si="7"/>
        <v>0</v>
      </c>
      <c r="K10" s="23" t="e">
        <f t="shared" si="0"/>
        <v>#DIV/0!</v>
      </c>
      <c r="L10" s="61" t="e">
        <f t="shared" si="6"/>
        <v>#DIV/0!</v>
      </c>
      <c r="M10" t="e">
        <f>IF(('SJCPIL-R 15-102 - DIA'!$Y$30&gt;TARGET)*('Dados do Gráfico'!L10&lt;80),'Dados do Gráfico'!I10,0)</f>
        <v>#DIV/0!</v>
      </c>
    </row>
    <row r="11" spans="1:13" x14ac:dyDescent="0.2">
      <c r="A11">
        <v>10</v>
      </c>
      <c r="B11" s="58" t="s">
        <v>6</v>
      </c>
      <c r="C11">
        <f>'SJCPIL-R 15-102 - DIA'!Y25</f>
        <v>0</v>
      </c>
      <c r="D11">
        <f t="shared" si="1"/>
        <v>10</v>
      </c>
      <c r="E11">
        <f t="shared" si="2"/>
        <v>3</v>
      </c>
      <c r="F11">
        <f t="shared" si="3"/>
        <v>3</v>
      </c>
      <c r="H11" t="str">
        <f t="shared" si="4"/>
        <v>S/ CAP</v>
      </c>
      <c r="I11" s="23">
        <f t="shared" si="5"/>
        <v>0</v>
      </c>
      <c r="J11" s="23">
        <f t="shared" si="7"/>
        <v>0</v>
      </c>
      <c r="K11" s="23" t="e">
        <f t="shared" si="0"/>
        <v>#DIV/0!</v>
      </c>
      <c r="L11" s="61" t="e">
        <f t="shared" si="6"/>
        <v>#DIV/0!</v>
      </c>
      <c r="M11" t="e">
        <f>IF(('SJCPIL-R 15-102 - DIA'!$Y$30&gt;TARGET)*('Dados do Gráfico'!L11&lt;80),'Dados do Gráfico'!I11,0)</f>
        <v>#DIV/0!</v>
      </c>
    </row>
    <row r="12" spans="1:13" x14ac:dyDescent="0.2">
      <c r="A12">
        <v>11</v>
      </c>
      <c r="B12" t="s">
        <v>7</v>
      </c>
      <c r="C12">
        <f>'SJCPIL-R 15-102 - DIA'!Y26</f>
        <v>0</v>
      </c>
      <c r="D12">
        <f t="shared" si="1"/>
        <v>11</v>
      </c>
      <c r="E12">
        <f t="shared" si="2"/>
        <v>2</v>
      </c>
      <c r="F12">
        <f t="shared" si="3"/>
        <v>2</v>
      </c>
      <c r="H12" t="str">
        <f t="shared" si="4"/>
        <v>S/ ANEL VERMELHO</v>
      </c>
      <c r="I12" s="23">
        <f t="shared" si="5"/>
        <v>0</v>
      </c>
      <c r="J12" s="23">
        <f t="shared" si="7"/>
        <v>0</v>
      </c>
      <c r="K12" s="23" t="e">
        <f t="shared" si="0"/>
        <v>#DIV/0!</v>
      </c>
      <c r="L12" s="61" t="e">
        <f t="shared" si="6"/>
        <v>#DIV/0!</v>
      </c>
      <c r="M12" t="e">
        <f>IF(('SJCPIL-R 15-102 - DIA'!$Y$30&gt;TARGET)*('Dados do Gráfico'!L12&lt;80),'Dados do Gráfico'!I12,0)</f>
        <v>#DIV/0!</v>
      </c>
    </row>
    <row r="13" spans="1:13" x14ac:dyDescent="0.2">
      <c r="A13">
        <v>12</v>
      </c>
      <c r="B13" t="s">
        <v>8</v>
      </c>
      <c r="C13">
        <f>'SJCPIL-R 15-102 - DIA'!Y27</f>
        <v>0</v>
      </c>
      <c r="D13">
        <f>C13</f>
        <v>0</v>
      </c>
      <c r="E13">
        <f t="shared" si="2"/>
        <v>1</v>
      </c>
      <c r="F13">
        <f t="shared" si="3"/>
        <v>1</v>
      </c>
      <c r="H13" t="str">
        <f t="shared" si="4"/>
        <v>LEAK</v>
      </c>
      <c r="I13" s="23">
        <f t="shared" si="5"/>
        <v>0</v>
      </c>
      <c r="J13" s="23">
        <f t="shared" si="7"/>
        <v>0</v>
      </c>
      <c r="K13" s="23" t="e">
        <f t="shared" si="0"/>
        <v>#DIV/0!</v>
      </c>
      <c r="L13" s="61" t="e">
        <f t="shared" si="6"/>
        <v>#DIV/0!</v>
      </c>
      <c r="M13" t="e">
        <f>IF(('SJCPIL-R 15-102 - DIA'!$Y$30&gt;TARGET)*('Dados do Gráfico'!L13&lt;80),'Dados do Gráfico'!I13,0)</f>
        <v>#DIV/0!</v>
      </c>
    </row>
    <row r="14" spans="1:13" x14ac:dyDescent="0.2">
      <c r="A14">
        <v>13</v>
      </c>
      <c r="B14" t="s">
        <v>41</v>
      </c>
      <c r="C14">
        <f>'SJCPIL-R 15-102 - DIA'!Y28</f>
        <v>0</v>
      </c>
      <c r="D14">
        <f t="shared" si="1"/>
        <v>13</v>
      </c>
      <c r="E14">
        <f t="shared" si="2"/>
        <v>0</v>
      </c>
      <c r="F14">
        <f t="shared" si="3"/>
        <v>12</v>
      </c>
      <c r="H14" t="str">
        <f t="shared" si="4"/>
        <v>OUTROS</v>
      </c>
      <c r="I14" s="23">
        <f t="shared" si="5"/>
        <v>0</v>
      </c>
      <c r="J14" s="23">
        <f t="shared" si="7"/>
        <v>0</v>
      </c>
      <c r="K14" s="23" t="e">
        <f t="shared" si="0"/>
        <v>#DIV/0!</v>
      </c>
      <c r="L14" s="61" t="e">
        <f t="shared" si="6"/>
        <v>#DIV/0!</v>
      </c>
      <c r="M14" t="e">
        <f>IF(('SJCPIL-R 15-102 - DIA'!$Y$30&gt;TARGET)*('Dados do Gráfico'!L14&lt;80),'Dados do Gráfico'!I14,0)</f>
        <v>#DIV/0!</v>
      </c>
    </row>
  </sheetData>
  <sheetProtection password="CE4F" sheet="1" selectLockedCells="1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8</vt:i4>
      </vt:variant>
    </vt:vector>
  </HeadingPairs>
  <TitlesOfParts>
    <vt:vector size="13" baseType="lpstr">
      <vt:lpstr>Instruções de Uso</vt:lpstr>
      <vt:lpstr>SJCPIL-R 15-102 - DIA</vt:lpstr>
      <vt:lpstr>SJCPIL-R 15-102 - NOITE</vt:lpstr>
      <vt:lpstr>Pareto</vt:lpstr>
      <vt:lpstr>Dados do Gráfico</vt:lpstr>
      <vt:lpstr>'SJCPIL-R 15-102 - DIA'!Area_de_impressao</vt:lpstr>
      <vt:lpstr>'SJCPIL-R 15-102 - NOITE'!Area_de_impressao</vt:lpstr>
      <vt:lpstr>'SJCPIL-R 15-102 - NOITE'!TARGET</vt:lpstr>
      <vt:lpstr>TARGET</vt:lpstr>
      <vt:lpstr>TT_FALHAS_UM1D</vt:lpstr>
      <vt:lpstr>'SJCPIL-R 15-102 - NOITE'!TT_FALHAS_UM1N</vt:lpstr>
      <vt:lpstr>TT_PROD_UM1D</vt:lpstr>
      <vt:lpstr>'SJCPIL-R 15-102 - NOITE'!TT_PROD_UM1N</vt:lpstr>
    </vt:vector>
  </TitlesOfParts>
  <Company>Panasonic do Brasil LTDA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Panasonic do Brasil LTDA</dc:creator>
  <cp:lastModifiedBy>Osvaldo Martins Torquati</cp:lastModifiedBy>
  <cp:lastPrinted>2019-11-08T13:37:43Z</cp:lastPrinted>
  <dcterms:created xsi:type="dcterms:W3CDTF">2003-08-05T18:55:37Z</dcterms:created>
  <dcterms:modified xsi:type="dcterms:W3CDTF">2022-02-21T10:50:08Z</dcterms:modified>
</cp:coreProperties>
</file>