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6 - CEP\Prensa\UM-1\"/>
    </mc:Choice>
  </mc:AlternateContent>
  <xr:revisionPtr revIDLastSave="0" documentId="13_ncr:1_{00895809-D503-4839-A195-FC8D5EF5F25E}" xr6:coauthVersionLast="47" xr6:coauthVersionMax="47" xr10:uidLastSave="{00000000-0000-0000-0000-000000000000}"/>
  <workbookProtection workbookAlgorithmName="SHA-512" workbookHashValue="00DIivyuXJGB9/VCtNuuU8oXFBXDewYGcftdJFFf0gdHt4NiZCG7NZ/IwgeEGbOMyGkdRo3SUx7TfCanoQLLsA==" workbookSaltValue="iI5O1F9ow1D/A0hZ+inBDQ==" workbookSpinCount="100000" lockStructure="1"/>
  <bookViews>
    <workbookView xWindow="-120" yWindow="-120" windowWidth="29040" windowHeight="16440" tabRatio="734" firstSheet="1" activeTab="7" xr2:uid="{00000000-000D-0000-FFFF-FFFF00000000}"/>
  </bookViews>
  <sheets>
    <sheet name="Configurações" sheetId="23" state="hidden" r:id="rId1"/>
    <sheet name="P6 - Esp. Lado" sheetId="15" r:id="rId2"/>
    <sheet name="P6 - Esp. Fundo" sheetId="17" r:id="rId3"/>
    <sheet name="P7 - Esp. Lado" sheetId="18" r:id="rId4"/>
    <sheet name="P7 - Esp. Fundo" sheetId="19" r:id="rId5"/>
    <sheet name="P8 - Esp. Lado" sheetId="20" r:id="rId6"/>
    <sheet name="P8 - Esp. Fundo" sheetId="21" r:id="rId7"/>
    <sheet name="Cortadeira" sheetId="22" r:id="rId8"/>
  </sheets>
  <definedNames>
    <definedName name="_xlnm.Print_Area" localSheetId="7">Cortadeira!$A$1:$AH$63</definedName>
    <definedName name="_xlnm.Print_Area" localSheetId="2">'P6 - Esp. Fundo'!$A$1:$AH$63</definedName>
    <definedName name="_xlnm.Print_Area" localSheetId="1">'P6 - Esp. Lado'!$A$1:$AH$63</definedName>
    <definedName name="_xlnm.Print_Area" localSheetId="4">'P7 - Esp. Fundo'!$A$1:$AH$63</definedName>
    <definedName name="_xlnm.Print_Area" localSheetId="3">'P7 - Esp. Lado'!$A$1:$AH$63</definedName>
    <definedName name="_xlnm.Print_Area" localSheetId="6">'P8 - Esp. Fundo'!$A$1:$AH$63</definedName>
    <definedName name="_xlnm.Print_Area" localSheetId="5">'P8 - Esp. Lado'!$A$1:$AH$63</definedName>
    <definedName name="Turnos">OFFSET(Configurações!$D$10,,,COUNTA(Configurações!$D$10:$D$16))</definedName>
    <definedName name="XM_bottom_thickness">'P8 - Esp. Fundo'!$C$78</definedName>
    <definedName name="XM_heigth">Cortadeira!$C$67</definedName>
    <definedName name="XM_side_thickness">'P8 - Esp. Lado'!$C$78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6" i="18" l="1"/>
  <c r="B56" i="19"/>
  <c r="B56" i="20"/>
  <c r="B56" i="21"/>
  <c r="B56" i="22"/>
  <c r="B56" i="17"/>
  <c r="E53" i="19"/>
  <c r="D53" i="18"/>
  <c r="E78" i="20" l="1"/>
  <c r="AD4" i="15" l="1"/>
  <c r="Z4" i="15"/>
  <c r="C78" i="21" l="1"/>
  <c r="AD4" i="22" l="1"/>
  <c r="Z4" i="22"/>
  <c r="G6" i="22"/>
  <c r="E6" i="22"/>
  <c r="G4" i="22"/>
  <c r="E4" i="22"/>
  <c r="C75" i="22"/>
  <c r="E67" i="22"/>
  <c r="AG54" i="22"/>
  <c r="AF54" i="22"/>
  <c r="AE54" i="22"/>
  <c r="AD54" i="22"/>
  <c r="AC54" i="22"/>
  <c r="AB54" i="22"/>
  <c r="AA54" i="22"/>
  <c r="Z54" i="22"/>
  <c r="Y54" i="22"/>
  <c r="X54" i="22"/>
  <c r="W54" i="22"/>
  <c r="V54" i="22"/>
  <c r="U54" i="22"/>
  <c r="T54" i="22"/>
  <c r="S54" i="22"/>
  <c r="R54" i="22"/>
  <c r="Q54" i="22"/>
  <c r="P54" i="22"/>
  <c r="O54" i="22"/>
  <c r="N54" i="22"/>
  <c r="M54" i="22"/>
  <c r="L54" i="22"/>
  <c r="K54" i="22"/>
  <c r="J54" i="22"/>
  <c r="I54" i="22"/>
  <c r="H54" i="22"/>
  <c r="G54" i="22"/>
  <c r="F54" i="22"/>
  <c r="E54" i="22"/>
  <c r="D54" i="22"/>
  <c r="C54" i="22"/>
  <c r="AG53" i="22"/>
  <c r="AF53" i="22"/>
  <c r="AE53" i="22"/>
  <c r="AD53" i="22"/>
  <c r="AC53" i="22"/>
  <c r="AB53" i="22"/>
  <c r="AA53" i="22"/>
  <c r="Z53" i="22"/>
  <c r="Y53" i="22"/>
  <c r="X53" i="22"/>
  <c r="W53" i="22"/>
  <c r="V53" i="22"/>
  <c r="U53" i="22"/>
  <c r="T53" i="22"/>
  <c r="S53" i="22"/>
  <c r="R53" i="22"/>
  <c r="Q53" i="22"/>
  <c r="P53" i="22"/>
  <c r="O53" i="22"/>
  <c r="N53" i="22"/>
  <c r="M53" i="22"/>
  <c r="L53" i="22"/>
  <c r="K53" i="22"/>
  <c r="J53" i="22"/>
  <c r="I53" i="22"/>
  <c r="H53" i="22"/>
  <c r="G53" i="22"/>
  <c r="F53" i="22"/>
  <c r="E53" i="22"/>
  <c r="D53" i="22"/>
  <c r="C53" i="22"/>
  <c r="B5" i="22"/>
  <c r="G7" i="22" l="1"/>
  <c r="E7" i="22"/>
  <c r="C73" i="22" s="1"/>
  <c r="C69" i="22"/>
  <c r="C66" i="22" s="1"/>
  <c r="C67" i="22"/>
  <c r="C74" i="22" s="1"/>
  <c r="C68" i="22" l="1"/>
  <c r="AD4" i="17"/>
  <c r="AD4" i="18"/>
  <c r="AD4" i="19"/>
  <c r="AD4" i="20"/>
  <c r="AD4" i="21"/>
  <c r="Z4" i="17"/>
  <c r="Z4" i="18"/>
  <c r="Z4" i="19"/>
  <c r="Z4" i="20"/>
  <c r="Z4" i="21"/>
  <c r="C75" i="21"/>
  <c r="E67" i="21"/>
  <c r="AG54" i="21"/>
  <c r="AF54" i="21"/>
  <c r="AE54" i="21"/>
  <c r="AD54" i="21"/>
  <c r="AC54" i="21"/>
  <c r="AB54" i="21"/>
  <c r="AA54" i="21"/>
  <c r="Z54" i="21"/>
  <c r="Y54" i="21"/>
  <c r="X54" i="21"/>
  <c r="W54" i="21"/>
  <c r="V54" i="21"/>
  <c r="U54" i="21"/>
  <c r="T54" i="21"/>
  <c r="S54" i="21"/>
  <c r="R54" i="21"/>
  <c r="Q54" i="21"/>
  <c r="P54" i="21"/>
  <c r="O54" i="21"/>
  <c r="N54" i="21"/>
  <c r="M54" i="21"/>
  <c r="L54" i="21"/>
  <c r="K54" i="21"/>
  <c r="J54" i="21"/>
  <c r="I54" i="21"/>
  <c r="H54" i="21"/>
  <c r="G54" i="21"/>
  <c r="F54" i="21"/>
  <c r="E54" i="21"/>
  <c r="D54" i="21"/>
  <c r="C54" i="21"/>
  <c r="AG53" i="21"/>
  <c r="AF53" i="21"/>
  <c r="AE53" i="21"/>
  <c r="AD53" i="21"/>
  <c r="AC53" i="21"/>
  <c r="AB53" i="21"/>
  <c r="AA53" i="21"/>
  <c r="Z53" i="21"/>
  <c r="Y53" i="21"/>
  <c r="X53" i="21"/>
  <c r="W53" i="21"/>
  <c r="V53" i="21"/>
  <c r="U53" i="21"/>
  <c r="T53" i="21"/>
  <c r="S53" i="21"/>
  <c r="R53" i="21"/>
  <c r="Q53" i="21"/>
  <c r="P53" i="21"/>
  <c r="O53" i="21"/>
  <c r="N53" i="21"/>
  <c r="M53" i="21"/>
  <c r="L53" i="21"/>
  <c r="K53" i="21"/>
  <c r="J53" i="21"/>
  <c r="I53" i="21"/>
  <c r="H53" i="21"/>
  <c r="G53" i="21"/>
  <c r="F53" i="21"/>
  <c r="E53" i="21"/>
  <c r="D53" i="21"/>
  <c r="C53" i="21"/>
  <c r="G6" i="21"/>
  <c r="E6" i="21"/>
  <c r="B5" i="21"/>
  <c r="G4" i="21"/>
  <c r="E4" i="21"/>
  <c r="C75" i="20"/>
  <c r="E67" i="20"/>
  <c r="AG54" i="20"/>
  <c r="AF54" i="20"/>
  <c r="AE54" i="20"/>
  <c r="AD54" i="20"/>
  <c r="AC54" i="20"/>
  <c r="AB54" i="20"/>
  <c r="AA54" i="20"/>
  <c r="Z54" i="20"/>
  <c r="Y54" i="20"/>
  <c r="X54" i="20"/>
  <c r="W54" i="20"/>
  <c r="V54" i="20"/>
  <c r="U54" i="20"/>
  <c r="T54" i="20"/>
  <c r="S54" i="20"/>
  <c r="R54" i="20"/>
  <c r="Q54" i="20"/>
  <c r="P54" i="20"/>
  <c r="O54" i="20"/>
  <c r="N54" i="20"/>
  <c r="M54" i="20"/>
  <c r="L54" i="20"/>
  <c r="K54" i="20"/>
  <c r="J54" i="20"/>
  <c r="I54" i="20"/>
  <c r="H54" i="20"/>
  <c r="G54" i="20"/>
  <c r="F54" i="20"/>
  <c r="E54" i="20"/>
  <c r="D54" i="20"/>
  <c r="C54" i="20"/>
  <c r="AG53" i="20"/>
  <c r="AF53" i="20"/>
  <c r="AE53" i="20"/>
  <c r="AD53" i="20"/>
  <c r="AC53" i="20"/>
  <c r="AB53" i="20"/>
  <c r="AA53" i="20"/>
  <c r="Z53" i="20"/>
  <c r="Y53" i="20"/>
  <c r="X53" i="20"/>
  <c r="W53" i="20"/>
  <c r="V53" i="20"/>
  <c r="U53" i="20"/>
  <c r="T53" i="20"/>
  <c r="S53" i="20"/>
  <c r="R53" i="20"/>
  <c r="Q53" i="20"/>
  <c r="P53" i="20"/>
  <c r="O53" i="20"/>
  <c r="N53" i="20"/>
  <c r="M53" i="20"/>
  <c r="L53" i="20"/>
  <c r="K53" i="20"/>
  <c r="J53" i="20"/>
  <c r="I53" i="20"/>
  <c r="H53" i="20"/>
  <c r="G53" i="20"/>
  <c r="F53" i="20"/>
  <c r="E53" i="20"/>
  <c r="D53" i="20"/>
  <c r="C53" i="20"/>
  <c r="G6" i="20"/>
  <c r="E6" i="20"/>
  <c r="G4" i="20"/>
  <c r="E4" i="20"/>
  <c r="C75" i="19"/>
  <c r="E67" i="19"/>
  <c r="AG54" i="19"/>
  <c r="AF54" i="19"/>
  <c r="AE54" i="19"/>
  <c r="AD54" i="19"/>
  <c r="AC54" i="19"/>
  <c r="AB54" i="19"/>
  <c r="AA54" i="19"/>
  <c r="Z54" i="19"/>
  <c r="Y54" i="19"/>
  <c r="X54" i="19"/>
  <c r="W54" i="19"/>
  <c r="V54" i="19"/>
  <c r="U54" i="19"/>
  <c r="T54" i="19"/>
  <c r="S54" i="19"/>
  <c r="R54" i="19"/>
  <c r="Q54" i="19"/>
  <c r="P54" i="19"/>
  <c r="O54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AG53" i="19"/>
  <c r="AF53" i="19"/>
  <c r="AE53" i="19"/>
  <c r="AD53" i="19"/>
  <c r="AC53" i="19"/>
  <c r="AB53" i="19"/>
  <c r="AA53" i="19"/>
  <c r="Z53" i="19"/>
  <c r="Y53" i="19"/>
  <c r="X53" i="19"/>
  <c r="W53" i="19"/>
  <c r="V53" i="19"/>
  <c r="U53" i="19"/>
  <c r="T53" i="19"/>
  <c r="S53" i="19"/>
  <c r="R53" i="19"/>
  <c r="Q53" i="19"/>
  <c r="P53" i="19"/>
  <c r="O53" i="19"/>
  <c r="N53" i="19"/>
  <c r="M53" i="19"/>
  <c r="L53" i="19"/>
  <c r="K53" i="19"/>
  <c r="J53" i="19"/>
  <c r="I53" i="19"/>
  <c r="H53" i="19"/>
  <c r="G53" i="19"/>
  <c r="F53" i="19"/>
  <c r="D53" i="19"/>
  <c r="C53" i="19"/>
  <c r="G6" i="19"/>
  <c r="E6" i="19"/>
  <c r="B5" i="19"/>
  <c r="G4" i="19"/>
  <c r="E4" i="19"/>
  <c r="C75" i="18"/>
  <c r="E67" i="18"/>
  <c r="AG54" i="18"/>
  <c r="AF54" i="18"/>
  <c r="AE54" i="18"/>
  <c r="AD54" i="18"/>
  <c r="AC54" i="18"/>
  <c r="AB54" i="18"/>
  <c r="AA54" i="18"/>
  <c r="Z54" i="18"/>
  <c r="Y54" i="18"/>
  <c r="X54" i="18"/>
  <c r="W54" i="18"/>
  <c r="V54" i="18"/>
  <c r="U54" i="18"/>
  <c r="T54" i="18"/>
  <c r="S54" i="18"/>
  <c r="R54" i="18"/>
  <c r="Q54" i="18"/>
  <c r="P54" i="18"/>
  <c r="O54" i="18"/>
  <c r="N54" i="18"/>
  <c r="M54" i="18"/>
  <c r="L54" i="18"/>
  <c r="K54" i="18"/>
  <c r="J54" i="18"/>
  <c r="I54" i="18"/>
  <c r="H54" i="18"/>
  <c r="G54" i="18"/>
  <c r="F54" i="18"/>
  <c r="E54" i="18"/>
  <c r="D54" i="18"/>
  <c r="C54" i="18"/>
  <c r="AG53" i="18"/>
  <c r="AF53" i="18"/>
  <c r="AE53" i="18"/>
  <c r="AD53" i="18"/>
  <c r="AC53" i="18"/>
  <c r="AB53" i="18"/>
  <c r="AA53" i="18"/>
  <c r="Z53" i="18"/>
  <c r="Y53" i="18"/>
  <c r="X53" i="18"/>
  <c r="W53" i="18"/>
  <c r="V53" i="18"/>
  <c r="U53" i="18"/>
  <c r="T53" i="18"/>
  <c r="S53" i="18"/>
  <c r="R53" i="18"/>
  <c r="Q53" i="18"/>
  <c r="P53" i="18"/>
  <c r="O53" i="18"/>
  <c r="N53" i="18"/>
  <c r="M53" i="18"/>
  <c r="L53" i="18"/>
  <c r="K53" i="18"/>
  <c r="J53" i="18"/>
  <c r="I53" i="18"/>
  <c r="H53" i="18"/>
  <c r="G53" i="18"/>
  <c r="F53" i="18"/>
  <c r="E53" i="18"/>
  <c r="C53" i="18"/>
  <c r="G6" i="18"/>
  <c r="E6" i="18"/>
  <c r="G4" i="18"/>
  <c r="E4" i="18"/>
  <c r="B5" i="17"/>
  <c r="G6" i="17"/>
  <c r="G4" i="17"/>
  <c r="E6" i="17"/>
  <c r="E4" i="17"/>
  <c r="C75" i="17"/>
  <c r="E67" i="17"/>
  <c r="AG54" i="17"/>
  <c r="AF54" i="17"/>
  <c r="AE54" i="17"/>
  <c r="AD54" i="17"/>
  <c r="AC54" i="17"/>
  <c r="AB54" i="17"/>
  <c r="AA54" i="17"/>
  <c r="Z54" i="17"/>
  <c r="Y54" i="17"/>
  <c r="X54" i="17"/>
  <c r="W54" i="17"/>
  <c r="V54" i="17"/>
  <c r="U54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H54" i="17"/>
  <c r="G54" i="17"/>
  <c r="F54" i="17"/>
  <c r="E54" i="17"/>
  <c r="D54" i="17"/>
  <c r="C54" i="17"/>
  <c r="AG53" i="17"/>
  <c r="AF53" i="17"/>
  <c r="AE53" i="17"/>
  <c r="AD53" i="17"/>
  <c r="AC53" i="17"/>
  <c r="AB53" i="17"/>
  <c r="AA53" i="17"/>
  <c r="Z53" i="17"/>
  <c r="Y53" i="17"/>
  <c r="X53" i="17"/>
  <c r="W53" i="17"/>
  <c r="V53" i="17"/>
  <c r="U53" i="17"/>
  <c r="T53" i="17"/>
  <c r="S53" i="17"/>
  <c r="R53" i="17"/>
  <c r="Q53" i="17"/>
  <c r="P53" i="17"/>
  <c r="O53" i="17"/>
  <c r="N53" i="17"/>
  <c r="M53" i="17"/>
  <c r="L53" i="17"/>
  <c r="K53" i="17"/>
  <c r="J53" i="17"/>
  <c r="I53" i="17"/>
  <c r="H53" i="17"/>
  <c r="G53" i="17"/>
  <c r="F53" i="17"/>
  <c r="E53" i="17"/>
  <c r="D53" i="17"/>
  <c r="C53" i="17"/>
  <c r="G6" i="15"/>
  <c r="G4" i="15"/>
  <c r="E6" i="15"/>
  <c r="E4" i="15"/>
  <c r="C75" i="15"/>
  <c r="E67" i="15"/>
  <c r="AG54" i="15"/>
  <c r="AF54" i="15"/>
  <c r="AE54" i="15"/>
  <c r="AD54" i="15"/>
  <c r="AC54" i="15"/>
  <c r="AB54" i="15"/>
  <c r="AA54" i="15"/>
  <c r="Z54" i="15"/>
  <c r="Y54" i="15"/>
  <c r="X54" i="15"/>
  <c r="W54" i="15"/>
  <c r="V54" i="15"/>
  <c r="U54" i="15"/>
  <c r="T54" i="15"/>
  <c r="S54" i="15"/>
  <c r="R54" i="15"/>
  <c r="Q54" i="15"/>
  <c r="P54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C54" i="15"/>
  <c r="AG53" i="15"/>
  <c r="AF53" i="15"/>
  <c r="AE53" i="15"/>
  <c r="AD53" i="15"/>
  <c r="AC53" i="15"/>
  <c r="AB53" i="15"/>
  <c r="AA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E7" i="21" l="1"/>
  <c r="C73" i="21" s="1"/>
  <c r="C78" i="20"/>
  <c r="C80" i="20" s="1"/>
  <c r="E7" i="19"/>
  <c r="C73" i="19" s="1"/>
  <c r="G7" i="15"/>
  <c r="G7" i="18"/>
  <c r="E7" i="20"/>
  <c r="G7" i="20"/>
  <c r="G7" i="21"/>
  <c r="E7" i="17"/>
  <c r="C73" i="17" s="1"/>
  <c r="C69" i="18"/>
  <c r="C66" i="18" s="1"/>
  <c r="C67" i="18"/>
  <c r="C74" i="18" s="1"/>
  <c r="G7" i="17"/>
  <c r="C69" i="21"/>
  <c r="C66" i="21" s="1"/>
  <c r="G7" i="19"/>
  <c r="C67" i="21"/>
  <c r="C74" i="21" s="1"/>
  <c r="C69" i="19"/>
  <c r="C66" i="19" s="1"/>
  <c r="C67" i="19"/>
  <c r="C74" i="19" s="1"/>
  <c r="C69" i="20"/>
  <c r="C66" i="20" s="1"/>
  <c r="C67" i="20"/>
  <c r="C74" i="20" s="1"/>
  <c r="C69" i="17"/>
  <c r="C66" i="17" s="1"/>
  <c r="C67" i="17"/>
  <c r="C74" i="17" s="1"/>
  <c r="E7" i="18"/>
  <c r="C73" i="18" s="1"/>
  <c r="C69" i="15"/>
  <c r="C66" i="15" s="1"/>
  <c r="C67" i="15"/>
  <c r="C74" i="15" s="1"/>
  <c r="E7" i="15"/>
  <c r="C73" i="15" s="1"/>
  <c r="C73" i="20" l="1"/>
  <c r="C79" i="20"/>
  <c r="C68" i="18"/>
  <c r="C68" i="21"/>
  <c r="C68" i="19"/>
  <c r="C68" i="20"/>
  <c r="C68" i="17"/>
  <c r="C68" i="15"/>
</calcChain>
</file>

<file path=xl/sharedStrings.xml><?xml version="1.0" encoding="utf-8"?>
<sst xmlns="http://schemas.openxmlformats.org/spreadsheetml/2006/main" count="383" uniqueCount="60">
  <si>
    <t>Cpk</t>
  </si>
  <si>
    <t>Cp</t>
  </si>
  <si>
    <t>Cálculo de Cp e Cpk</t>
  </si>
  <si>
    <t>R</t>
  </si>
  <si>
    <t>LIC</t>
  </si>
  <si>
    <t>S</t>
  </si>
  <si>
    <t>X</t>
  </si>
  <si>
    <t>LSC</t>
  </si>
  <si>
    <t>Limites Calculados</t>
  </si>
  <si>
    <t xml:space="preserve">Data: </t>
  </si>
  <si>
    <t>Controle da Qualidade:</t>
  </si>
  <si>
    <t>Data:</t>
  </si>
  <si>
    <t>Produção:</t>
  </si>
  <si>
    <t>Média</t>
  </si>
  <si>
    <t>Limites de Controle</t>
  </si>
  <si>
    <t>Limites de Especificação</t>
  </si>
  <si>
    <t>Diário de Bordo:</t>
  </si>
  <si>
    <t>Legenda:</t>
  </si>
  <si>
    <t>Visto do operador</t>
  </si>
  <si>
    <t>Turno</t>
  </si>
  <si>
    <t>Data</t>
  </si>
  <si>
    <t>Grupo</t>
  </si>
  <si>
    <t>Medida: unid.(mm)</t>
  </si>
  <si>
    <t>LSC=</t>
  </si>
  <si>
    <t>N=noturno</t>
  </si>
  <si>
    <t>1 vez / turno</t>
  </si>
  <si>
    <t>LIC=</t>
  </si>
  <si>
    <t>Visto:</t>
  </si>
  <si>
    <t>D=diurno</t>
  </si>
  <si>
    <t>Amostra n= 5</t>
  </si>
  <si>
    <t>LC=</t>
  </si>
  <si>
    <t xml:space="preserve"> LC=</t>
  </si>
  <si>
    <t>Especificação</t>
  </si>
  <si>
    <t>Altura do Tubo Cortado</t>
  </si>
  <si>
    <t>Característica:</t>
  </si>
  <si>
    <t>Cortadeira</t>
  </si>
  <si>
    <t>Máquina:</t>
  </si>
  <si>
    <t>UM-1</t>
  </si>
  <si>
    <t>Modelo:</t>
  </si>
  <si>
    <t>CONTROLE ESTATÍSTICO DO PROCESSO (CEP)</t>
  </si>
  <si>
    <t>Sistema de Gestão Integrado</t>
  </si>
  <si>
    <t>Panasonic do Brasil Limitada</t>
  </si>
  <si>
    <t>Espessura do Lado</t>
  </si>
  <si>
    <t>LSE=</t>
  </si>
  <si>
    <t>LIE=</t>
  </si>
  <si>
    <t>Nº 6</t>
  </si>
  <si>
    <t>Nº 7</t>
  </si>
  <si>
    <t>Nº 8</t>
  </si>
  <si>
    <t>Espessura do Fundo</t>
  </si>
  <si>
    <t>SJCPIL-I 15-011-XX</t>
  </si>
  <si>
    <t>SETOR:  MONTAGEM</t>
  </si>
  <si>
    <t>Gerência</t>
  </si>
  <si>
    <t>Média Geral</t>
  </si>
  <si>
    <t>Configurações</t>
  </si>
  <si>
    <t>Responsável</t>
  </si>
  <si>
    <t>3° T</t>
  </si>
  <si>
    <t>D</t>
  </si>
  <si>
    <t>2° T</t>
  </si>
  <si>
    <t>Turnos</t>
  </si>
  <si>
    <t xml:space="preserve">Visto do Lider / Sublíder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</si>
</sst>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0"/>
      <name val="Arial"/>
    </font>
    <font>
      <sz val="11"/>
      <name val="明朝"/>
      <family val="1"/>
      <charset val="128"/>
    </font>
    <font>
      <sz val="10"/>
      <name val="Times New Roman"/>
      <family val="1"/>
    </font>
    <font>
      <sz val="8"/>
      <name val="Arial"/>
      <family val="2"/>
    </font>
    <font>
      <sz val="11"/>
      <name val="Arial"/>
      <family val="2"/>
    </font>
    <font>
      <sz val="10"/>
      <name val="Arial Narrow"/>
      <family val="2"/>
    </font>
    <font>
      <sz val="12"/>
      <name val="Arial Narrow"/>
      <family val="2"/>
    </font>
    <font>
      <sz val="11"/>
      <name val="Arial Narrow"/>
      <family val="2"/>
    </font>
    <font>
      <sz val="10"/>
      <name val="Arial"/>
      <family val="2"/>
    </font>
    <font>
      <sz val="8"/>
      <name val="Arial Narrow"/>
      <family val="2"/>
    </font>
    <font>
      <sz val="14"/>
      <name val="Arial Narrow"/>
      <family val="2"/>
    </font>
    <font>
      <b/>
      <sz val="14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6"/>
      <name val="SwitzerlandBlack"/>
      <family val="2"/>
    </font>
    <font>
      <b/>
      <sz val="10"/>
      <name val="Arial"/>
      <family val="2"/>
    </font>
    <font>
      <sz val="12"/>
      <name val="Times New Roman"/>
      <family val="1"/>
    </font>
    <font>
      <b/>
      <u/>
      <sz val="16"/>
      <name val="Arial"/>
      <family val="2"/>
    </font>
    <font>
      <sz val="9"/>
      <name val="Times New Roman"/>
      <family val="1"/>
    </font>
    <font>
      <b/>
      <sz val="16"/>
      <name val="Arial"/>
      <family val="2"/>
    </font>
    <font>
      <sz val="16"/>
      <name val="Arial"/>
      <family val="2"/>
    </font>
    <font>
      <sz val="16"/>
      <name val="Franklin Gothic Book"/>
      <family val="2"/>
    </font>
    <font>
      <sz val="20"/>
      <color rgb="FF0070C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</fills>
  <borders count="75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8" fillId="0" borderId="0"/>
  </cellStyleXfs>
  <cellXfs count="189">
    <xf numFmtId="0" fontId="0" fillId="0" borderId="0" xfId="0"/>
    <xf numFmtId="0" fontId="2" fillId="0" borderId="0" xfId="1" applyFont="1"/>
    <xf numFmtId="2" fontId="2" fillId="0" borderId="0" xfId="1" applyNumberFormat="1" applyFont="1"/>
    <xf numFmtId="0" fontId="2" fillId="0" borderId="0" xfId="1" applyFont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1" applyFont="1"/>
    <xf numFmtId="0" fontId="6" fillId="0" borderId="0" xfId="0" applyFont="1" applyAlignment="1">
      <alignment horizontal="left"/>
    </xf>
    <xf numFmtId="0" fontId="5" fillId="0" borderId="11" xfId="1" applyFont="1" applyBorder="1"/>
    <xf numFmtId="0" fontId="5" fillId="0" borderId="12" xfId="1" applyFont="1" applyBorder="1"/>
    <xf numFmtId="0" fontId="5" fillId="0" borderId="12" xfId="1" applyFont="1" applyBorder="1" applyAlignment="1">
      <alignment horizontal="left" vertical="top"/>
    </xf>
    <xf numFmtId="0" fontId="5" fillId="0" borderId="13" xfId="1" applyFont="1" applyBorder="1" applyAlignment="1">
      <alignment horizontal="center" vertical="top"/>
    </xf>
    <xf numFmtId="0" fontId="5" fillId="0" borderId="14" xfId="1" applyFont="1" applyBorder="1"/>
    <xf numFmtId="0" fontId="5" fillId="0" borderId="0" xfId="1" applyFont="1" applyAlignment="1">
      <alignment vertical="center"/>
    </xf>
    <xf numFmtId="0" fontId="5" fillId="0" borderId="15" xfId="1" applyFont="1" applyBorder="1"/>
    <xf numFmtId="0" fontId="5" fillId="0" borderId="16" xfId="1" applyFont="1" applyBorder="1"/>
    <xf numFmtId="0" fontId="5" fillId="0" borderId="17" xfId="1" applyFont="1" applyBorder="1"/>
    <xf numFmtId="0" fontId="5" fillId="0" borderId="17" xfId="1" applyFont="1" applyBorder="1" applyAlignment="1">
      <alignment vertical="top"/>
    </xf>
    <xf numFmtId="0" fontId="7" fillId="0" borderId="0" xfId="1" applyFont="1"/>
    <xf numFmtId="0" fontId="8" fillId="0" borderId="26" xfId="0" applyFont="1" applyBorder="1" applyAlignment="1">
      <alignment horizontal="center" vertical="center"/>
    </xf>
    <xf numFmtId="0" fontId="7" fillId="0" borderId="27" xfId="1" applyFont="1" applyBorder="1"/>
    <xf numFmtId="0" fontId="7" fillId="0" borderId="28" xfId="1" applyFont="1" applyBorder="1"/>
    <xf numFmtId="0" fontId="5" fillId="0" borderId="30" xfId="1" applyFont="1" applyBorder="1" applyAlignment="1">
      <alignment horizontal="center" vertical="center"/>
    </xf>
    <xf numFmtId="2" fontId="7" fillId="0" borderId="31" xfId="1" applyNumberFormat="1" applyFont="1" applyBorder="1"/>
    <xf numFmtId="2" fontId="7" fillId="0" borderId="32" xfId="1" applyNumberFormat="1" applyFont="1" applyBorder="1"/>
    <xf numFmtId="2" fontId="7" fillId="0" borderId="33" xfId="1" applyNumberFormat="1" applyFont="1" applyBorder="1"/>
    <xf numFmtId="2" fontId="7" fillId="0" borderId="31" xfId="1" applyNumberFormat="1" applyFont="1" applyBorder="1" applyProtection="1">
      <protection locked="0"/>
    </xf>
    <xf numFmtId="2" fontId="7" fillId="0" borderId="32" xfId="1" applyNumberFormat="1" applyFont="1" applyBorder="1" applyProtection="1">
      <protection locked="0"/>
    </xf>
    <xf numFmtId="2" fontId="7" fillId="0" borderId="33" xfId="1" applyNumberFormat="1" applyFont="1" applyBorder="1" applyProtection="1">
      <protection locked="0"/>
    </xf>
    <xf numFmtId="0" fontId="5" fillId="0" borderId="30" xfId="1" quotePrefix="1" applyFont="1" applyBorder="1" applyAlignment="1">
      <alignment horizontal="center" vertical="center"/>
    </xf>
    <xf numFmtId="2" fontId="7" fillId="0" borderId="34" xfId="1" applyNumberFormat="1" applyFont="1" applyBorder="1" applyProtection="1">
      <protection locked="0"/>
    </xf>
    <xf numFmtId="2" fontId="7" fillId="0" borderId="35" xfId="1" applyNumberFormat="1" applyFont="1" applyBorder="1" applyProtection="1">
      <protection locked="0"/>
    </xf>
    <xf numFmtId="2" fontId="7" fillId="0" borderId="36" xfId="1" applyNumberFormat="1" applyFont="1" applyBorder="1" applyProtection="1">
      <protection locked="0"/>
    </xf>
    <xf numFmtId="0" fontId="5" fillId="0" borderId="37" xfId="1" applyFont="1" applyBorder="1" applyAlignment="1">
      <alignment horizontal="center" vertical="center"/>
    </xf>
    <xf numFmtId="0" fontId="5" fillId="0" borderId="15" xfId="1" applyFont="1" applyBorder="1" applyAlignment="1">
      <alignment vertical="center"/>
    </xf>
    <xf numFmtId="0" fontId="9" fillId="0" borderId="13" xfId="1" applyFont="1" applyBorder="1" applyAlignment="1">
      <alignment horizontal="right" vertical="center"/>
    </xf>
    <xf numFmtId="2" fontId="5" fillId="0" borderId="15" xfId="1" applyNumberFormat="1" applyFont="1" applyBorder="1" applyAlignment="1">
      <alignment horizontal="right" vertical="center"/>
    </xf>
    <xf numFmtId="0" fontId="9" fillId="0" borderId="15" xfId="1" applyFont="1" applyBorder="1" applyAlignment="1">
      <alignment horizontal="right" vertical="center"/>
    </xf>
    <xf numFmtId="0" fontId="5" fillId="0" borderId="38" xfId="1" applyFont="1" applyBorder="1"/>
    <xf numFmtId="0" fontId="5" fillId="0" borderId="39" xfId="1" applyFont="1" applyBorder="1" applyAlignment="1" applyProtection="1">
      <alignment horizontal="center"/>
      <protection locked="0"/>
    </xf>
    <xf numFmtId="0" fontId="5" fillId="0" borderId="40" xfId="1" applyFont="1" applyBorder="1" applyAlignment="1" applyProtection="1">
      <alignment horizontal="center"/>
      <protection locked="0"/>
    </xf>
    <xf numFmtId="0" fontId="5" fillId="0" borderId="38" xfId="1" applyFont="1" applyBorder="1" applyAlignment="1">
      <alignment horizontal="center"/>
    </xf>
    <xf numFmtId="0" fontId="5" fillId="0" borderId="30" xfId="1" applyFont="1" applyBorder="1" applyAlignment="1">
      <alignment horizontal="center"/>
    </xf>
    <xf numFmtId="0" fontId="5" fillId="0" borderId="41" xfId="1" applyFont="1" applyBorder="1" applyProtection="1">
      <protection locked="0"/>
    </xf>
    <xf numFmtId="0" fontId="5" fillId="0" borderId="42" xfId="1" applyFont="1" applyBorder="1" applyProtection="1">
      <protection locked="0"/>
    </xf>
    <xf numFmtId="0" fontId="5" fillId="0" borderId="43" xfId="1" applyFont="1" applyBorder="1" applyAlignment="1">
      <alignment horizontal="center"/>
    </xf>
    <xf numFmtId="0" fontId="5" fillId="0" borderId="11" xfId="1" applyFont="1" applyBorder="1" applyAlignment="1">
      <alignment vertical="center"/>
    </xf>
    <xf numFmtId="0" fontId="5" fillId="0" borderId="12" xfId="1" applyFont="1" applyBorder="1" applyAlignment="1">
      <alignment vertical="center"/>
    </xf>
    <xf numFmtId="0" fontId="5" fillId="0" borderId="12" xfId="1" applyFont="1" applyBorder="1" applyAlignment="1">
      <alignment vertical="center" wrapText="1"/>
    </xf>
    <xf numFmtId="2" fontId="5" fillId="2" borderId="44" xfId="1" applyNumberFormat="1" applyFont="1" applyFill="1" applyBorder="1" applyAlignment="1">
      <alignment vertical="center"/>
    </xf>
    <xf numFmtId="0" fontId="5" fillId="2" borderId="45" xfId="1" applyFont="1" applyFill="1" applyBorder="1" applyAlignment="1">
      <alignment vertical="center"/>
    </xf>
    <xf numFmtId="2" fontId="5" fillId="0" borderId="44" xfId="1" applyNumberFormat="1" applyFont="1" applyBorder="1" applyAlignment="1">
      <alignment horizontal="center" vertical="center"/>
    </xf>
    <xf numFmtId="0" fontId="5" fillId="0" borderId="46" xfId="0" applyFont="1" applyBorder="1" applyAlignment="1">
      <alignment vertical="center"/>
    </xf>
    <xf numFmtId="0" fontId="5" fillId="0" borderId="47" xfId="1" applyFont="1" applyBorder="1" applyAlignment="1">
      <alignment vertical="center"/>
    </xf>
    <xf numFmtId="0" fontId="5" fillId="0" borderId="14" xfId="1" applyFont="1" applyBorder="1" applyAlignment="1">
      <alignment vertical="center"/>
    </xf>
    <xf numFmtId="0" fontId="5" fillId="0" borderId="0" xfId="1" applyFont="1" applyAlignment="1">
      <alignment vertical="center" wrapText="1"/>
    </xf>
    <xf numFmtId="2" fontId="5" fillId="2" borderId="48" xfId="1" applyNumberFormat="1" applyFont="1" applyFill="1" applyBorder="1" applyAlignment="1">
      <alignment vertical="center"/>
    </xf>
    <xf numFmtId="0" fontId="5" fillId="2" borderId="49" xfId="1" applyFont="1" applyFill="1" applyBorder="1" applyAlignment="1">
      <alignment vertical="center"/>
    </xf>
    <xf numFmtId="2" fontId="5" fillId="0" borderId="48" xfId="1" applyNumberFormat="1" applyFont="1" applyBorder="1" applyAlignment="1">
      <alignment horizontal="center" vertical="center"/>
    </xf>
    <xf numFmtId="0" fontId="5" fillId="0" borderId="50" xfId="0" applyFont="1" applyBorder="1" applyAlignment="1">
      <alignment vertical="center"/>
    </xf>
    <xf numFmtId="0" fontId="9" fillId="0" borderId="51" xfId="1" applyFont="1" applyBorder="1" applyAlignment="1">
      <alignment horizontal="left" vertical="center"/>
    </xf>
    <xf numFmtId="2" fontId="5" fillId="2" borderId="52" xfId="1" applyNumberFormat="1" applyFont="1" applyFill="1" applyBorder="1" applyAlignment="1">
      <alignment vertical="center"/>
    </xf>
    <xf numFmtId="0" fontId="5" fillId="2" borderId="53" xfId="1" applyFont="1" applyFill="1" applyBorder="1" applyAlignment="1">
      <alignment vertical="center"/>
    </xf>
    <xf numFmtId="2" fontId="5" fillId="0" borderId="52" xfId="1" applyNumberFormat="1" applyFont="1" applyBorder="1" applyAlignment="1">
      <alignment horizontal="center" vertical="center"/>
    </xf>
    <xf numFmtId="0" fontId="5" fillId="0" borderId="54" xfId="0" applyFont="1" applyBorder="1" applyAlignment="1">
      <alignment vertical="center"/>
    </xf>
    <xf numFmtId="0" fontId="9" fillId="0" borderId="55" xfId="1" applyFont="1" applyBorder="1" applyAlignment="1">
      <alignment horizontal="center" vertical="center"/>
    </xf>
    <xf numFmtId="2" fontId="5" fillId="2" borderId="56" xfId="1" applyNumberFormat="1" applyFont="1" applyFill="1" applyBorder="1" applyAlignment="1">
      <alignment vertical="center"/>
    </xf>
    <xf numFmtId="0" fontId="5" fillId="2" borderId="57" xfId="1" applyFont="1" applyFill="1" applyBorder="1" applyAlignment="1">
      <alignment vertical="center"/>
    </xf>
    <xf numFmtId="2" fontId="5" fillId="0" borderId="58" xfId="1" applyNumberFormat="1" applyFont="1" applyBorder="1" applyAlignment="1">
      <alignment horizontal="center"/>
    </xf>
    <xf numFmtId="0" fontId="5" fillId="0" borderId="59" xfId="0" applyFont="1" applyBorder="1" applyAlignment="1">
      <alignment vertical="center"/>
    </xf>
    <xf numFmtId="0" fontId="5" fillId="0" borderId="10" xfId="1" applyFont="1" applyBorder="1"/>
    <xf numFmtId="0" fontId="9" fillId="0" borderId="51" xfId="1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2" fillId="0" borderId="60" xfId="1" applyFont="1" applyBorder="1"/>
    <xf numFmtId="0" fontId="12" fillId="0" borderId="60" xfId="1" applyFont="1" applyBorder="1"/>
    <xf numFmtId="0" fontId="2" fillId="0" borderId="15" xfId="1" applyFont="1" applyBorder="1"/>
    <xf numFmtId="0" fontId="16" fillId="0" borderId="0" xfId="1" applyFont="1"/>
    <xf numFmtId="0" fontId="11" fillId="0" borderId="63" xfId="0" applyFont="1" applyBorder="1" applyAlignment="1">
      <alignment vertical="center"/>
    </xf>
    <xf numFmtId="0" fontId="11" fillId="0" borderId="64" xfId="0" applyFont="1" applyBorder="1" applyAlignment="1">
      <alignment vertical="center"/>
    </xf>
    <xf numFmtId="0" fontId="16" fillId="0" borderId="64" xfId="1" applyFont="1" applyBorder="1"/>
    <xf numFmtId="2" fontId="17" fillId="0" borderId="64" xfId="0" applyNumberFormat="1" applyFont="1" applyBorder="1" applyAlignment="1">
      <alignment vertical="center"/>
    </xf>
    <xf numFmtId="2" fontId="12" fillId="0" borderId="64" xfId="0" applyNumberFormat="1" applyFont="1" applyBorder="1" applyAlignment="1">
      <alignment vertical="center"/>
    </xf>
    <xf numFmtId="0" fontId="18" fillId="0" borderId="0" xfId="1" applyFont="1"/>
    <xf numFmtId="0" fontId="2" fillId="0" borderId="66" xfId="1" applyFont="1" applyBorder="1"/>
    <xf numFmtId="0" fontId="2" fillId="0" borderId="67" xfId="1" applyFont="1" applyBorder="1"/>
    <xf numFmtId="0" fontId="4" fillId="0" borderId="18" xfId="0" applyFont="1" applyBorder="1" applyAlignment="1">
      <alignment horizontal="centerContinuous" vertical="center"/>
    </xf>
    <xf numFmtId="0" fontId="19" fillId="0" borderId="15" xfId="0" applyFont="1" applyBorder="1" applyAlignment="1">
      <alignment horizontal="centerContinuous" vertical="center"/>
    </xf>
    <xf numFmtId="0" fontId="19" fillId="0" borderId="0" xfId="0" applyFont="1" applyAlignment="1">
      <alignment horizontal="centerContinuous" vertical="center"/>
    </xf>
    <xf numFmtId="2" fontId="5" fillId="0" borderId="69" xfId="1" applyNumberFormat="1" applyFont="1" applyBorder="1"/>
    <xf numFmtId="0" fontId="5" fillId="0" borderId="0" xfId="1" applyFont="1" applyAlignment="1">
      <alignment horizontal="center" vertical="center"/>
    </xf>
    <xf numFmtId="2" fontId="5" fillId="0" borderId="70" xfId="1" applyNumberFormat="1" applyFont="1" applyBorder="1" applyAlignment="1">
      <alignment vertical="center"/>
    </xf>
    <xf numFmtId="0" fontId="5" fillId="0" borderId="71" xfId="1" applyFont="1" applyBorder="1" applyAlignment="1">
      <alignment vertical="center"/>
    </xf>
    <xf numFmtId="0" fontId="5" fillId="0" borderId="12" xfId="1" applyFont="1" applyBorder="1" applyAlignment="1">
      <alignment horizontal="center" vertical="center"/>
    </xf>
    <xf numFmtId="2" fontId="5" fillId="0" borderId="60" xfId="1" applyNumberFormat="1" applyFont="1" applyBorder="1" applyAlignment="1">
      <alignment vertical="center"/>
    </xf>
    <xf numFmtId="2" fontId="5" fillId="0" borderId="69" xfId="1" applyNumberFormat="1" applyFont="1" applyBorder="1" applyAlignment="1">
      <alignment horizontal="center"/>
    </xf>
    <xf numFmtId="2" fontId="5" fillId="0" borderId="70" xfId="1" applyNumberFormat="1" applyFont="1" applyBorder="1" applyAlignment="1">
      <alignment horizontal="center" vertical="center"/>
    </xf>
    <xf numFmtId="2" fontId="5" fillId="0" borderId="60" xfId="1" applyNumberFormat="1" applyFont="1" applyBorder="1" applyAlignment="1">
      <alignment horizontal="center" vertical="center"/>
    </xf>
    <xf numFmtId="0" fontId="20" fillId="0" borderId="0" xfId="1" applyFont="1" applyAlignment="1">
      <alignment horizontal="centerContinuous"/>
    </xf>
    <xf numFmtId="0" fontId="4" fillId="0" borderId="17" xfId="1" applyFont="1" applyBorder="1" applyAlignment="1">
      <alignment horizontal="centerContinuous"/>
    </xf>
    <xf numFmtId="0" fontId="4" fillId="0" borderId="17" xfId="0" applyFont="1" applyBorder="1" applyAlignment="1">
      <alignment horizontal="centerContinuous" vertical="center"/>
    </xf>
    <xf numFmtId="0" fontId="4" fillId="0" borderId="17" xfId="0" applyFont="1" applyBorder="1" applyAlignment="1">
      <alignment horizontal="centerContinuous"/>
    </xf>
    <xf numFmtId="0" fontId="21" fillId="0" borderId="68" xfId="1" quotePrefix="1" applyFont="1" applyBorder="1" applyAlignment="1">
      <alignment horizontal="left"/>
    </xf>
    <xf numFmtId="0" fontId="20" fillId="0" borderId="0" xfId="0" applyFont="1" applyAlignment="1">
      <alignment horizontal="centerContinuous" vertical="center"/>
    </xf>
    <xf numFmtId="0" fontId="20" fillId="0" borderId="0" xfId="0" applyFont="1" applyAlignment="1">
      <alignment horizontal="centerContinuous"/>
    </xf>
    <xf numFmtId="0" fontId="5" fillId="0" borderId="59" xfId="0" applyFont="1" applyBorder="1" applyAlignment="1">
      <alignment horizontal="left" vertical="center"/>
    </xf>
    <xf numFmtId="0" fontId="5" fillId="2" borderId="43" xfId="0" applyFont="1" applyFill="1" applyBorder="1" applyAlignment="1">
      <alignment horizontal="left" vertical="center"/>
    </xf>
    <xf numFmtId="2" fontId="5" fillId="2" borderId="63" xfId="1" applyNumberFormat="1" applyFont="1" applyFill="1" applyBorder="1" applyAlignment="1">
      <alignment horizontal="center"/>
    </xf>
    <xf numFmtId="0" fontId="5" fillId="0" borderId="0" xfId="0" applyFont="1" applyAlignment="1">
      <alignment vertical="center"/>
    </xf>
    <xf numFmtId="2" fontId="5" fillId="0" borderId="0" xfId="1" applyNumberFormat="1" applyFont="1"/>
    <xf numFmtId="0" fontId="5" fillId="0" borderId="54" xfId="0" applyFont="1" applyBorder="1" applyAlignment="1">
      <alignment horizontal="left" vertical="center"/>
    </xf>
    <xf numFmtId="0" fontId="5" fillId="2" borderId="30" xfId="0" applyFont="1" applyFill="1" applyBorder="1" applyAlignment="1">
      <alignment horizontal="left" vertical="center"/>
    </xf>
    <xf numFmtId="0" fontId="5" fillId="0" borderId="72" xfId="0" applyFont="1" applyBorder="1" applyAlignment="1">
      <alignment horizontal="left" vertical="center"/>
    </xf>
    <xf numFmtId="0" fontId="5" fillId="2" borderId="62" xfId="0" applyFont="1" applyFill="1" applyBorder="1" applyAlignment="1">
      <alignment horizontal="left" vertical="center"/>
    </xf>
    <xf numFmtId="2" fontId="5" fillId="2" borderId="74" xfId="1" applyNumberFormat="1" applyFont="1" applyFill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1" fontId="5" fillId="0" borderId="40" xfId="1" applyNumberFormat="1" applyFont="1" applyBorder="1" applyAlignment="1" applyProtection="1">
      <alignment horizontal="center"/>
      <protection locked="0"/>
    </xf>
    <xf numFmtId="2" fontId="7" fillId="0" borderId="29" xfId="1" applyNumberFormat="1" applyFont="1" applyBorder="1"/>
    <xf numFmtId="2" fontId="7" fillId="0" borderId="28" xfId="1" applyNumberFormat="1" applyFont="1" applyBorder="1"/>
    <xf numFmtId="0" fontId="7" fillId="0" borderId="25" xfId="1" applyFont="1" applyBorder="1" applyProtection="1">
      <protection locked="0"/>
    </xf>
    <xf numFmtId="0" fontId="7" fillId="0" borderId="24" xfId="1" applyFont="1" applyBorder="1" applyProtection="1">
      <protection locked="0"/>
    </xf>
    <xf numFmtId="0" fontId="7" fillId="0" borderId="23" xfId="1" applyFont="1" applyBorder="1" applyProtection="1">
      <protection locked="0"/>
    </xf>
    <xf numFmtId="0" fontId="7" fillId="0" borderId="21" xfId="1" applyFont="1" applyBorder="1" applyProtection="1">
      <protection locked="0"/>
    </xf>
    <xf numFmtId="0" fontId="7" fillId="0" borderId="20" xfId="1" applyFont="1" applyBorder="1" applyProtection="1">
      <protection locked="0"/>
    </xf>
    <xf numFmtId="0" fontId="7" fillId="0" borderId="19" xfId="1" applyFont="1" applyBorder="1" applyProtection="1">
      <protection locked="0"/>
    </xf>
    <xf numFmtId="0" fontId="5" fillId="0" borderId="0" xfId="1" applyFont="1" applyProtection="1">
      <protection locked="0"/>
    </xf>
    <xf numFmtId="0" fontId="5" fillId="0" borderId="14" xfId="1" applyFont="1" applyBorder="1" applyProtection="1">
      <protection locked="0"/>
    </xf>
    <xf numFmtId="14" fontId="5" fillId="0" borderId="0" xfId="1" applyNumberFormat="1" applyFont="1" applyProtection="1">
      <protection locked="0"/>
    </xf>
    <xf numFmtId="0" fontId="5" fillId="0" borderId="12" xfId="1" applyFont="1" applyBorder="1" applyProtection="1">
      <protection locked="0"/>
    </xf>
    <xf numFmtId="0" fontId="5" fillId="0" borderId="11" xfId="1" applyFont="1" applyBorder="1" applyProtection="1">
      <protection locked="0"/>
    </xf>
    <xf numFmtId="2" fontId="5" fillId="2" borderId="63" xfId="1" applyNumberFormat="1" applyFont="1" applyFill="1" applyBorder="1" applyAlignment="1">
      <alignment vertical="center"/>
    </xf>
    <xf numFmtId="2" fontId="5" fillId="2" borderId="73" xfId="1" applyNumberFormat="1" applyFont="1" applyFill="1" applyBorder="1" applyAlignment="1">
      <alignment vertical="center"/>
    </xf>
    <xf numFmtId="2" fontId="5" fillId="2" borderId="74" xfId="1" applyNumberFormat="1" applyFont="1" applyFill="1" applyBorder="1" applyAlignment="1">
      <alignment vertical="center"/>
    </xf>
    <xf numFmtId="2" fontId="5" fillId="2" borderId="73" xfId="1" applyNumberFormat="1" applyFont="1" applyFill="1" applyBorder="1" applyAlignment="1">
      <alignment horizontal="center" vertical="center"/>
    </xf>
    <xf numFmtId="0" fontId="22" fillId="0" borderId="0" xfId="0" applyFont="1"/>
    <xf numFmtId="0" fontId="0" fillId="3" borderId="0" xfId="0" applyFill="1" applyProtection="1">
      <protection locked="0"/>
    </xf>
    <xf numFmtId="0" fontId="8" fillId="0" borderId="0" xfId="0" applyFont="1"/>
    <xf numFmtId="0" fontId="15" fillId="0" borderId="0" xfId="0" applyFont="1"/>
    <xf numFmtId="0" fontId="8" fillId="3" borderId="0" xfId="0" applyFont="1" applyFill="1" applyProtection="1">
      <protection locked="0"/>
    </xf>
    <xf numFmtId="0" fontId="8" fillId="0" borderId="22" xfId="0" applyFont="1" applyBorder="1" applyAlignment="1">
      <alignment horizontal="center" vertical="center" wrapText="1"/>
    </xf>
    <xf numFmtId="0" fontId="5" fillId="0" borderId="43" xfId="1" applyFont="1" applyBorder="1" applyAlignment="1" applyProtection="1">
      <alignment horizontal="center"/>
      <protection locked="0"/>
    </xf>
    <xf numFmtId="0" fontId="15" fillId="0" borderId="0" xfId="0" applyFont="1" applyAlignment="1">
      <alignment horizontal="right"/>
    </xf>
    <xf numFmtId="0" fontId="0" fillId="0" borderId="7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6" fillId="0" borderId="7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6" fillId="0" borderId="6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3" fillId="0" borderId="0" xfId="0" applyFont="1" applyAlignment="1">
      <alignment horizontal="right"/>
    </xf>
    <xf numFmtId="0" fontId="0" fillId="0" borderId="9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2" fontId="5" fillId="0" borderId="15" xfId="1" applyNumberFormat="1" applyFont="1" applyBorder="1" applyAlignment="1">
      <alignment horizontal="right" vertical="center"/>
    </xf>
    <xf numFmtId="49" fontId="5" fillId="0" borderId="15" xfId="1" applyNumberFormat="1" applyFont="1" applyBorder="1" applyAlignment="1">
      <alignment horizontal="right" vertical="center"/>
    </xf>
    <xf numFmtId="2" fontId="5" fillId="0" borderId="18" xfId="1" applyNumberFormat="1" applyFont="1" applyBorder="1" applyAlignment="1">
      <alignment horizontal="right" vertical="center"/>
    </xf>
    <xf numFmtId="0" fontId="5" fillId="0" borderId="18" xfId="1" applyFont="1" applyBorder="1" applyAlignment="1">
      <alignment horizontal="center" vertical="top"/>
    </xf>
    <xf numFmtId="0" fontId="5" fillId="0" borderId="17" xfId="1" applyFont="1" applyBorder="1" applyAlignment="1">
      <alignment horizontal="center" vertical="top"/>
    </xf>
    <xf numFmtId="0" fontId="5" fillId="0" borderId="16" xfId="1" applyFont="1" applyBorder="1" applyAlignment="1">
      <alignment horizontal="center" vertical="top"/>
    </xf>
    <xf numFmtId="0" fontId="5" fillId="0" borderId="15" xfId="1" applyFont="1" applyBorder="1" applyAlignment="1">
      <alignment horizontal="right" vertical="center"/>
    </xf>
    <xf numFmtId="0" fontId="5" fillId="0" borderId="0" xfId="1" applyFont="1" applyAlignment="1">
      <alignment horizontal="right" vertical="center"/>
    </xf>
    <xf numFmtId="0" fontId="6" fillId="0" borderId="10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0" fillId="0" borderId="14" xfId="0" applyFont="1" applyBorder="1" applyAlignment="1">
      <alignment horizontal="left" vertical="center"/>
    </xf>
    <xf numFmtId="0" fontId="10" fillId="0" borderId="12" xfId="0" applyFont="1" applyBorder="1" applyAlignment="1">
      <alignment horizontal="left" vertical="center"/>
    </xf>
    <xf numFmtId="0" fontId="10" fillId="0" borderId="11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0" fontId="10" fillId="0" borderId="13" xfId="0" applyFont="1" applyBorder="1" applyAlignment="1">
      <alignment horizontal="left" vertical="center"/>
    </xf>
    <xf numFmtId="0" fontId="15" fillId="0" borderId="18" xfId="1" applyFont="1" applyBorder="1" applyAlignment="1">
      <alignment horizontal="center" vertical="center"/>
    </xf>
    <xf numFmtId="0" fontId="15" fillId="0" borderId="17" xfId="1" applyFont="1" applyBorder="1" applyAlignment="1">
      <alignment horizontal="center" vertical="center"/>
    </xf>
    <xf numFmtId="0" fontId="15" fillId="0" borderId="13" xfId="1" applyFont="1" applyBorder="1" applyAlignment="1">
      <alignment horizontal="center" vertical="center"/>
    </xf>
    <xf numFmtId="0" fontId="15" fillId="0" borderId="12" xfId="1" applyFont="1" applyBorder="1" applyAlignment="1">
      <alignment horizontal="center" vertical="center"/>
    </xf>
    <xf numFmtId="0" fontId="14" fillId="0" borderId="17" xfId="1" applyFont="1" applyBorder="1" applyAlignment="1">
      <alignment horizontal="center" vertical="center"/>
    </xf>
    <xf numFmtId="0" fontId="14" fillId="0" borderId="16" xfId="1" applyFont="1" applyBorder="1" applyAlignment="1">
      <alignment horizontal="center" vertical="center"/>
    </xf>
    <xf numFmtId="0" fontId="14" fillId="0" borderId="12" xfId="1" applyFont="1" applyBorder="1" applyAlignment="1">
      <alignment horizontal="center" vertical="center"/>
    </xf>
    <xf numFmtId="0" fontId="14" fillId="0" borderId="11" xfId="1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2" fontId="12" fillId="0" borderId="43" xfId="0" applyNumberFormat="1" applyFont="1" applyBorder="1" applyAlignment="1">
      <alignment horizontal="center" vertical="center"/>
    </xf>
    <xf numFmtId="2" fontId="12" fillId="0" borderId="64" xfId="0" applyNumberFormat="1" applyFont="1" applyBorder="1" applyAlignment="1">
      <alignment horizontal="center" vertical="center"/>
    </xf>
    <xf numFmtId="2" fontId="12" fillId="0" borderId="65" xfId="0" applyNumberFormat="1" applyFont="1" applyBorder="1" applyAlignment="1">
      <alignment horizontal="center" vertical="center"/>
    </xf>
    <xf numFmtId="0" fontId="12" fillId="0" borderId="62" xfId="1" applyFont="1" applyBorder="1" applyAlignment="1">
      <alignment horizontal="center"/>
    </xf>
    <xf numFmtId="0" fontId="12" fillId="0" borderId="60" xfId="1" applyFont="1" applyBorder="1" applyAlignment="1">
      <alignment horizontal="center"/>
    </xf>
    <xf numFmtId="0" fontId="12" fillId="0" borderId="61" xfId="1" applyFont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_FA" xfId="1" xr:uid="{00000000-0005-0000-0000-000002000000}"/>
  </cellStyles>
  <dxfs count="9">
    <dxf>
      <font>
        <b/>
        <i val="0"/>
        <color rgb="FFFF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'P6 - Esp. Lado'!$B$53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'P6 - Esp. Lado'!$C$9:$AG$9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'P6 - Esp. Lado'!$C$53:$AG$53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AF-4DEF-86B5-EED3C2AF0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235592"/>
        <c:axId val="174239120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'P6 - Esp. Lado'!$E$4</c:f>
              <c:numCache>
                <c:formatCode>0.00</c:formatCode>
                <c:ptCount val="1"/>
                <c:pt idx="0">
                  <c:v>0.32999999999999996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AF-4DEF-86B5-EED3C2AF0DD4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'P6 - Esp. Lado'!$G$4</c:f>
              <c:numCache>
                <c:formatCode>0.00</c:formatCode>
                <c:ptCount val="1"/>
                <c:pt idx="0">
                  <c:v>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AF-4DEF-86B5-EED3C2AF0DD4}"/>
            </c:ext>
          </c:extLst>
        </c:ser>
        <c:ser>
          <c:idx val="3"/>
          <c:order val="3"/>
          <c:tx>
            <c:strRef>
              <c:f>'P6 - Esp. Lado'!#REF!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'P6 - Esp. Lado'!$G$5</c:f>
              <c:numCache>
                <c:formatCode>0.00</c:formatCode>
                <c:ptCount val="1"/>
                <c:pt idx="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8AF-4DEF-86B5-EED3C2AF0DD4}"/>
            </c:ext>
          </c:extLst>
        </c:ser>
        <c:ser>
          <c:idx val="5"/>
          <c:order val="4"/>
          <c:tx>
            <c:strRef>
              <c:f>'P6 - Esp. Lado'!#REF!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'P6 - Esp. Lado'!$G$6</c:f>
              <c:numCache>
                <c:formatCode>0.00</c:formatCode>
                <c:ptCount val="1"/>
                <c:pt idx="0">
                  <c:v>0.27999999999999997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8AF-4DEF-86B5-EED3C2AF0DD4}"/>
            </c:ext>
          </c:extLst>
        </c:ser>
        <c:ser>
          <c:idx val="4"/>
          <c:order val="5"/>
          <c:tx>
            <c:strRef>
              <c:f>'P6 - Esp. Lado'!#REF!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'P6 - Esp. Lado'!$E$6</c:f>
              <c:numCache>
                <c:formatCode>0.00</c:formatCode>
                <c:ptCount val="1"/>
                <c:pt idx="0">
                  <c:v>0.27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8AF-4DEF-86B5-EED3C2AF0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5984"/>
        <c:axId val="174237160"/>
      </c:scatterChart>
      <c:catAx>
        <c:axId val="1742355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74239120"/>
        <c:crosses val="autoZero"/>
        <c:auto val="1"/>
        <c:lblAlgn val="ctr"/>
        <c:lblOffset val="100"/>
        <c:tickMarkSkip val="1"/>
        <c:noMultiLvlLbl val="0"/>
      </c:catAx>
      <c:valAx>
        <c:axId val="174239120"/>
        <c:scaling>
          <c:orientation val="minMax"/>
          <c:max val="0.35000000000000003"/>
          <c:min val="0.2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74235592"/>
        <c:crosses val="autoZero"/>
        <c:crossBetween val="between"/>
        <c:majorUnit val="1.0000000000000002E-2"/>
        <c:minorUnit val="5.000000000000001E-3"/>
      </c:valAx>
      <c:valAx>
        <c:axId val="17423716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174235984"/>
        <c:crosses val="max"/>
        <c:crossBetween val="midCat"/>
      </c:valAx>
      <c:valAx>
        <c:axId val="174235984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17423716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7249315030825E-2"/>
          <c:y val="5.6677495575681358E-2"/>
          <c:w val="0.9665983223191819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'P6 - Esp. Lado'!$C$54:$AG$54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7B-44C9-802A-C379887C3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238728"/>
        <c:axId val="174236768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'P6 - Esp. Lado'!$G$7</c:f>
              <c:numCache>
                <c:formatCode>0.00</c:formatCode>
                <c:ptCount val="1"/>
                <c:pt idx="0">
                  <c:v>4.0000000000000036E-2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7B-44C9-802A-C379887C3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25720"/>
        <c:axId val="227328072"/>
      </c:scatterChart>
      <c:catAx>
        <c:axId val="174238728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174236768"/>
        <c:crosses val="autoZero"/>
        <c:auto val="1"/>
        <c:lblAlgn val="ctr"/>
        <c:lblOffset val="100"/>
        <c:noMultiLvlLbl val="0"/>
      </c:catAx>
      <c:valAx>
        <c:axId val="174236768"/>
        <c:scaling>
          <c:orientation val="minMax"/>
          <c:max val="8.0000000000000016E-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74238728"/>
        <c:crosses val="autoZero"/>
        <c:crossBetween val="between"/>
        <c:majorUnit val="2.0000000000000004E-2"/>
      </c:valAx>
      <c:valAx>
        <c:axId val="227328072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7325720"/>
        <c:crosses val="max"/>
        <c:crossBetween val="midCat"/>
      </c:valAx>
      <c:valAx>
        <c:axId val="227325720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732807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'P6 - Esp. Fundo'!$B$53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'P6 - Esp. Fundo'!$C$9:$AG$9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'P6 - Esp. Fundo'!$C$53:$AG$53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67F-A355-ABBD73FF5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332384"/>
        <c:axId val="227331208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'P6 - Esp. Fundo'!$E$4</c:f>
              <c:numCache>
                <c:formatCode>0.00</c:formatCode>
                <c:ptCount val="1"/>
                <c:pt idx="0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DF-467F-A355-ABBD73FF5D23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'P6 - Esp. Fundo'!$G$4</c:f>
              <c:numCache>
                <c:formatCode>0.00</c:formatCode>
                <c:ptCount val="1"/>
                <c:pt idx="0">
                  <c:v>0.57999999999999996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DF-467F-A355-ABBD73FF5D23}"/>
            </c:ext>
          </c:extLst>
        </c:ser>
        <c:ser>
          <c:idx val="3"/>
          <c:order val="3"/>
          <c:tx>
            <c:strRef>
              <c:f>'P6 - Esp. Lado - N'!#REF!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'P6 - Esp. Fundo'!$G$5</c:f>
              <c:numCache>
                <c:formatCode>0.00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DF-467F-A355-ABBD73FF5D23}"/>
            </c:ext>
          </c:extLst>
        </c:ser>
        <c:ser>
          <c:idx val="5"/>
          <c:order val="4"/>
          <c:tx>
            <c:strRef>
              <c:f>'P6 - Esp. Lado - N'!#REF!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'P6 - Esp. Fundo'!$G$6</c:f>
              <c:numCache>
                <c:formatCode>0.00</c:formatCode>
                <c:ptCount val="1"/>
                <c:pt idx="0">
                  <c:v>0.42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DDF-467F-A355-ABBD73FF5D23}"/>
            </c:ext>
          </c:extLst>
        </c:ser>
        <c:ser>
          <c:idx val="4"/>
          <c:order val="5"/>
          <c:tx>
            <c:strRef>
              <c:f>'P6 - Esp. Lado - N'!#REF!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'P6 - Esp. Fundo'!$E$6</c:f>
              <c:numCache>
                <c:formatCode>0.00</c:formatCode>
                <c:ptCount val="1"/>
                <c:pt idx="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DDF-467F-A355-ABBD73FF5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31600"/>
        <c:axId val="227329640"/>
      </c:scatterChart>
      <c:catAx>
        <c:axId val="227332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7331208"/>
        <c:crosses val="autoZero"/>
        <c:auto val="1"/>
        <c:lblAlgn val="ctr"/>
        <c:lblOffset val="100"/>
        <c:tickMarkSkip val="1"/>
        <c:noMultiLvlLbl val="0"/>
      </c:catAx>
      <c:valAx>
        <c:axId val="227331208"/>
        <c:scaling>
          <c:orientation val="minMax"/>
          <c:max val="0.65000000000000013"/>
          <c:min val="0.350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7332384"/>
        <c:crosses val="autoZero"/>
        <c:crossBetween val="between"/>
        <c:majorUnit val="5.000000000000001E-2"/>
        <c:minorUnit val="1.0000000000000002E-2"/>
      </c:valAx>
      <c:valAx>
        <c:axId val="22732964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7331600"/>
        <c:crosses val="max"/>
        <c:crossBetween val="midCat"/>
      </c:valAx>
      <c:valAx>
        <c:axId val="227331600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732964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54230219088424E-2"/>
          <c:y val="5.6677495575681358E-2"/>
          <c:w val="0.96481658525040193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'P6 - Esp. Fundo'!$C$54:$AG$54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C7-4EA7-8959-53614717B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325328"/>
        <c:axId val="227324936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'P6 - Esp. Fundo'!$G$7</c:f>
              <c:numCache>
                <c:formatCode>0.00</c:formatCode>
                <c:ptCount val="1"/>
                <c:pt idx="0">
                  <c:v>0.15999999999999998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C7-4EA7-8959-53614717B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26504"/>
        <c:axId val="227326896"/>
      </c:scatterChart>
      <c:catAx>
        <c:axId val="227325328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227324936"/>
        <c:crosses val="autoZero"/>
        <c:auto val="1"/>
        <c:lblAlgn val="ctr"/>
        <c:lblOffset val="100"/>
        <c:noMultiLvlLbl val="0"/>
      </c:catAx>
      <c:valAx>
        <c:axId val="2273249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7325328"/>
        <c:crosses val="autoZero"/>
        <c:crossBetween val="between"/>
        <c:majorUnit val="0.1"/>
        <c:minorUnit val="2.0000000000000004E-2"/>
      </c:valAx>
      <c:valAx>
        <c:axId val="227326896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7326504"/>
        <c:crosses val="max"/>
        <c:crossBetween val="midCat"/>
      </c:valAx>
      <c:valAx>
        <c:axId val="227326504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732689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'P7 - Esp. Lado'!$B$53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'P7 - Esp. Lado'!$C$9:$AG$9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'P7 - Esp. Lado'!$C$53:$AG$53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57-4F42-A739-E003D3F31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328464"/>
        <c:axId val="227330816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'P7 - Esp. Lado'!$E$4</c:f>
              <c:numCache>
                <c:formatCode>0.00</c:formatCode>
                <c:ptCount val="1"/>
                <c:pt idx="0">
                  <c:v>0.32999999999999996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57-4F42-A739-E003D3F31088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'P7 - Esp. Lado'!$G$4</c:f>
              <c:numCache>
                <c:formatCode>0.00</c:formatCode>
                <c:ptCount val="1"/>
                <c:pt idx="0">
                  <c:v>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57-4F42-A739-E003D3F31088}"/>
            </c:ext>
          </c:extLst>
        </c:ser>
        <c:ser>
          <c:idx val="3"/>
          <c:order val="3"/>
          <c:tx>
            <c:strRef>
              <c:f>'P6 - Esp. Lado'!#REF!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'P7 - Esp. Lado'!$G$5</c:f>
              <c:numCache>
                <c:formatCode>0.00</c:formatCode>
                <c:ptCount val="1"/>
                <c:pt idx="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57-4F42-A739-E003D3F31088}"/>
            </c:ext>
          </c:extLst>
        </c:ser>
        <c:ser>
          <c:idx val="5"/>
          <c:order val="4"/>
          <c:tx>
            <c:strRef>
              <c:f>'P6 - Esp. Lado'!#REF!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'P7 - Esp. Lado'!$G$6</c:f>
              <c:numCache>
                <c:formatCode>0.00</c:formatCode>
                <c:ptCount val="1"/>
                <c:pt idx="0">
                  <c:v>0.27999999999999997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757-4F42-A739-E003D3F31088}"/>
            </c:ext>
          </c:extLst>
        </c:ser>
        <c:ser>
          <c:idx val="4"/>
          <c:order val="5"/>
          <c:tx>
            <c:strRef>
              <c:f>'P6 - Esp. Lado'!#REF!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'P7 - Esp. Lado'!$E$6</c:f>
              <c:numCache>
                <c:formatCode>0.00</c:formatCode>
                <c:ptCount val="1"/>
                <c:pt idx="0">
                  <c:v>0.27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757-4F42-A739-E003D3F31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189960"/>
        <c:axId val="227329248"/>
      </c:scatterChart>
      <c:catAx>
        <c:axId val="227328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7330816"/>
        <c:crosses val="autoZero"/>
        <c:auto val="1"/>
        <c:lblAlgn val="ctr"/>
        <c:lblOffset val="100"/>
        <c:tickMarkSkip val="1"/>
        <c:noMultiLvlLbl val="0"/>
      </c:catAx>
      <c:valAx>
        <c:axId val="227330816"/>
        <c:scaling>
          <c:orientation val="minMax"/>
          <c:max val="0.35000000000000003"/>
          <c:min val="0.2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7328464"/>
        <c:crosses val="autoZero"/>
        <c:crossBetween val="between"/>
        <c:majorUnit val="1.0000000000000002E-2"/>
        <c:minorUnit val="5.000000000000001E-3"/>
      </c:valAx>
      <c:valAx>
        <c:axId val="227329248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7189960"/>
        <c:crosses val="max"/>
        <c:crossBetween val="midCat"/>
      </c:valAx>
      <c:valAx>
        <c:axId val="227189960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732924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7249315030825E-2"/>
          <c:y val="5.6677495575681358E-2"/>
          <c:w val="0.9665983223191819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'P7 - Esp. Lado'!$C$54:$AG$54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F6-47E0-AC08-6FC1ADBBE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190744"/>
        <c:axId val="227190352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'P7 - Esp. Lado'!$G$7</c:f>
              <c:numCache>
                <c:formatCode>0.00</c:formatCode>
                <c:ptCount val="1"/>
                <c:pt idx="0">
                  <c:v>4.0000000000000036E-2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F6-47E0-AC08-6FC1ADBBE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187608"/>
        <c:axId val="227191136"/>
      </c:scatterChart>
      <c:catAx>
        <c:axId val="227190744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227190352"/>
        <c:crosses val="autoZero"/>
        <c:auto val="1"/>
        <c:lblAlgn val="ctr"/>
        <c:lblOffset val="100"/>
        <c:noMultiLvlLbl val="0"/>
      </c:catAx>
      <c:valAx>
        <c:axId val="227190352"/>
        <c:scaling>
          <c:orientation val="minMax"/>
          <c:max val="8.0000000000000016E-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7190744"/>
        <c:crosses val="autoZero"/>
        <c:crossBetween val="between"/>
        <c:majorUnit val="2.0000000000000004E-2"/>
      </c:valAx>
      <c:valAx>
        <c:axId val="227191136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7187608"/>
        <c:crosses val="max"/>
        <c:crossBetween val="midCat"/>
      </c:valAx>
      <c:valAx>
        <c:axId val="227187608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719113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'P7 - Esp. Fundo'!$B$53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'P7 - Esp. Fundo'!$C$9:$AG$9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'P7 - Esp. Fundo'!$C$53:$AG$53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FD-4343-994E-D0CBD4C0F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188784"/>
        <c:axId val="227185648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'P7 - Esp. Fundo'!$E$4</c:f>
              <c:numCache>
                <c:formatCode>0.00</c:formatCode>
                <c:ptCount val="1"/>
                <c:pt idx="0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FD-4343-994E-D0CBD4C0F53E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'P7 - Esp. Fundo'!$G$4</c:f>
              <c:numCache>
                <c:formatCode>0.00</c:formatCode>
                <c:ptCount val="1"/>
                <c:pt idx="0">
                  <c:v>0.57999999999999996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FD-4343-994E-D0CBD4C0F53E}"/>
            </c:ext>
          </c:extLst>
        </c:ser>
        <c:ser>
          <c:idx val="3"/>
          <c:order val="3"/>
          <c:tx>
            <c:strRef>
              <c:f>'P6 - Esp. Lado - N'!#REF!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'P7 - Esp. Fundo'!$G$5</c:f>
              <c:numCache>
                <c:formatCode>0.00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5FD-4343-994E-D0CBD4C0F53E}"/>
            </c:ext>
          </c:extLst>
        </c:ser>
        <c:ser>
          <c:idx val="5"/>
          <c:order val="4"/>
          <c:tx>
            <c:strRef>
              <c:f>'P6 - Esp. Lado - N'!#REF!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'P7 - Esp. Fundo'!$G$6</c:f>
              <c:numCache>
                <c:formatCode>0.00</c:formatCode>
                <c:ptCount val="1"/>
                <c:pt idx="0">
                  <c:v>0.42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5FD-4343-994E-D0CBD4C0F53E}"/>
            </c:ext>
          </c:extLst>
        </c:ser>
        <c:ser>
          <c:idx val="4"/>
          <c:order val="5"/>
          <c:tx>
            <c:strRef>
              <c:f>'P6 - Esp. Lado - N'!#REF!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'P7 - Esp. Fundo'!$E$6</c:f>
              <c:numCache>
                <c:formatCode>0.00</c:formatCode>
                <c:ptCount val="1"/>
                <c:pt idx="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5FD-4343-994E-D0CBD4C0F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191528"/>
        <c:axId val="227187216"/>
      </c:scatterChart>
      <c:catAx>
        <c:axId val="2271887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7185648"/>
        <c:crosses val="autoZero"/>
        <c:auto val="1"/>
        <c:lblAlgn val="ctr"/>
        <c:lblOffset val="100"/>
        <c:tickMarkSkip val="1"/>
        <c:noMultiLvlLbl val="0"/>
      </c:catAx>
      <c:valAx>
        <c:axId val="227185648"/>
        <c:scaling>
          <c:orientation val="minMax"/>
          <c:max val="0.65000000000000013"/>
          <c:min val="0.350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7188784"/>
        <c:crosses val="autoZero"/>
        <c:crossBetween val="between"/>
        <c:majorUnit val="5.000000000000001E-2"/>
        <c:minorUnit val="1.0000000000000002E-2"/>
      </c:valAx>
      <c:valAx>
        <c:axId val="227187216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7191528"/>
        <c:crosses val="max"/>
        <c:crossBetween val="midCat"/>
      </c:valAx>
      <c:valAx>
        <c:axId val="227191528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718721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54230219088424E-2"/>
          <c:y val="5.6677495575681358E-2"/>
          <c:w val="0.96481658525040193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'P7 - Esp. Fundo'!$C$54:$AG$54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6F-4B88-848D-E58C20EAB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186824"/>
        <c:axId val="227191920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'P7 - Esp. Fundo'!$G$7</c:f>
              <c:numCache>
                <c:formatCode>0.00</c:formatCode>
                <c:ptCount val="1"/>
                <c:pt idx="0">
                  <c:v>0.15999999999999998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6F-4B88-848D-E58C20EAB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186040"/>
        <c:axId val="227188392"/>
      </c:scatterChart>
      <c:catAx>
        <c:axId val="227186824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227191920"/>
        <c:crosses val="autoZero"/>
        <c:auto val="1"/>
        <c:lblAlgn val="ctr"/>
        <c:lblOffset val="100"/>
        <c:noMultiLvlLbl val="0"/>
      </c:catAx>
      <c:valAx>
        <c:axId val="227191920"/>
        <c:scaling>
          <c:orientation val="minMax"/>
          <c:max val="0.30000000000000004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7186824"/>
        <c:crosses val="autoZero"/>
        <c:crossBetween val="between"/>
        <c:majorUnit val="0.1"/>
        <c:minorUnit val="2.0000000000000004E-2"/>
      </c:valAx>
      <c:valAx>
        <c:axId val="227188392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7186040"/>
        <c:crosses val="max"/>
        <c:crossBetween val="midCat"/>
      </c:valAx>
      <c:valAx>
        <c:axId val="227186040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718839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'P8 - Esp. Lado'!$B$53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'P8 - Esp. Lado'!$C$9:$AG$9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'P8 - Esp. Lado'!$C$53:$AG$53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0-48BD-BEF4-F06D3EAD7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189176"/>
        <c:axId val="227186432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'P8 - Esp. Lado'!$E$4</c:f>
              <c:numCache>
                <c:formatCode>0.00</c:formatCode>
                <c:ptCount val="1"/>
                <c:pt idx="0">
                  <c:v>0.32999999999999996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F0-48BD-BEF4-F06D3EAD7073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'P8 - Esp. Lado'!$G$4</c:f>
              <c:numCache>
                <c:formatCode>0.00</c:formatCode>
                <c:ptCount val="1"/>
                <c:pt idx="0">
                  <c:v>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F0-48BD-BEF4-F06D3EAD7073}"/>
            </c:ext>
          </c:extLst>
        </c:ser>
        <c:ser>
          <c:idx val="3"/>
          <c:order val="3"/>
          <c:tx>
            <c:strRef>
              <c:f>'P6 - Esp. Lado'!#REF!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'P8 - Esp. Lado'!$G$5</c:f>
              <c:numCache>
                <c:formatCode>0.00</c:formatCode>
                <c:ptCount val="1"/>
                <c:pt idx="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F0-48BD-BEF4-F06D3EAD7073}"/>
            </c:ext>
          </c:extLst>
        </c:ser>
        <c:ser>
          <c:idx val="5"/>
          <c:order val="4"/>
          <c:tx>
            <c:strRef>
              <c:f>'P6 - Esp. Lado'!#REF!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'P8 - Esp. Lado'!$G$6</c:f>
              <c:numCache>
                <c:formatCode>0.00</c:formatCode>
                <c:ptCount val="1"/>
                <c:pt idx="0">
                  <c:v>0.27999999999999997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F0-48BD-BEF4-F06D3EAD7073}"/>
            </c:ext>
          </c:extLst>
        </c:ser>
        <c:ser>
          <c:idx val="4"/>
          <c:order val="5"/>
          <c:tx>
            <c:strRef>
              <c:f>'P6 - Esp. Lado'!#REF!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'P8 - Esp. Lado'!$E$6</c:f>
              <c:numCache>
                <c:formatCode>0.00</c:formatCode>
                <c:ptCount val="1"/>
                <c:pt idx="0">
                  <c:v>0.27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0F0-48BD-BEF4-F06D3EAD7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5944"/>
        <c:axId val="227185256"/>
      </c:scatterChart>
      <c:catAx>
        <c:axId val="2271891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7186432"/>
        <c:crosses val="autoZero"/>
        <c:auto val="1"/>
        <c:lblAlgn val="ctr"/>
        <c:lblOffset val="100"/>
        <c:tickMarkSkip val="1"/>
        <c:noMultiLvlLbl val="0"/>
      </c:catAx>
      <c:valAx>
        <c:axId val="227186432"/>
        <c:scaling>
          <c:orientation val="minMax"/>
          <c:max val="0.35000000000000003"/>
          <c:min val="0.2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7189176"/>
        <c:crosses val="autoZero"/>
        <c:crossBetween val="between"/>
        <c:majorUnit val="1.0000000000000002E-2"/>
        <c:minorUnit val="5.000000000000001E-3"/>
      </c:valAx>
      <c:valAx>
        <c:axId val="227185256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8805944"/>
        <c:crosses val="max"/>
        <c:crossBetween val="midCat"/>
      </c:valAx>
      <c:valAx>
        <c:axId val="228805944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718525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7249315030825E-2"/>
          <c:y val="5.6677495575681358E-2"/>
          <c:w val="0.9665983223191819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'P8 - Esp. Lado'!$C$54:$AG$54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9E-4904-B5A8-E593B439E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805552"/>
        <c:axId val="228803592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'P8 - Esp. Lado'!$G$7</c:f>
              <c:numCache>
                <c:formatCode>0.00</c:formatCode>
                <c:ptCount val="1"/>
                <c:pt idx="0">
                  <c:v>4.0000000000000036E-2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9E-4904-B5A8-E593B439E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376"/>
        <c:axId val="228803984"/>
      </c:scatterChart>
      <c:catAx>
        <c:axId val="228805552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228803592"/>
        <c:crosses val="autoZero"/>
        <c:auto val="1"/>
        <c:lblAlgn val="ctr"/>
        <c:lblOffset val="100"/>
        <c:noMultiLvlLbl val="0"/>
      </c:catAx>
      <c:valAx>
        <c:axId val="228803592"/>
        <c:scaling>
          <c:orientation val="minMax"/>
          <c:max val="8.0000000000000016E-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8805552"/>
        <c:crosses val="autoZero"/>
        <c:crossBetween val="between"/>
        <c:majorUnit val="2.0000000000000004E-2"/>
      </c:valAx>
      <c:valAx>
        <c:axId val="228803984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8804376"/>
        <c:crosses val="max"/>
        <c:crossBetween val="midCat"/>
      </c:valAx>
      <c:valAx>
        <c:axId val="228804376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880398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'P8 - Esp. Fundo'!$B$53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'P8 - Esp. Fundo'!$C$9:$AG$9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'P8 - Esp. Fundo'!$C$53:$AG$53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D8-476E-828C-905F87212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807120"/>
        <c:axId val="228809472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'P8 - Esp. Fundo'!$E$4</c:f>
              <c:numCache>
                <c:formatCode>0.00</c:formatCode>
                <c:ptCount val="1"/>
                <c:pt idx="0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D8-476E-828C-905F87212688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'P8 - Esp. Fundo'!$G$4</c:f>
              <c:numCache>
                <c:formatCode>0.00</c:formatCode>
                <c:ptCount val="1"/>
                <c:pt idx="0">
                  <c:v>0.57999999999999996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D8-476E-828C-905F87212688}"/>
            </c:ext>
          </c:extLst>
        </c:ser>
        <c:ser>
          <c:idx val="3"/>
          <c:order val="3"/>
          <c:tx>
            <c:strRef>
              <c:f>'P6 - Esp. Lado - N'!#REF!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'P8 - Esp. Fundo'!$G$5</c:f>
              <c:numCache>
                <c:formatCode>0.00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D8-476E-828C-905F87212688}"/>
            </c:ext>
          </c:extLst>
        </c:ser>
        <c:ser>
          <c:idx val="5"/>
          <c:order val="4"/>
          <c:tx>
            <c:strRef>
              <c:f>'P6 - Esp. Lado - N'!#REF!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'P8 - Esp. Fundo'!$G$6</c:f>
              <c:numCache>
                <c:formatCode>0.00</c:formatCode>
                <c:ptCount val="1"/>
                <c:pt idx="0">
                  <c:v>0.42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D8-476E-828C-905F87212688}"/>
            </c:ext>
          </c:extLst>
        </c:ser>
        <c:ser>
          <c:idx val="4"/>
          <c:order val="5"/>
          <c:tx>
            <c:strRef>
              <c:f>'P6 - Esp. Lado - N'!#REF!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'P8 - Esp. Fundo'!$E$6</c:f>
              <c:numCache>
                <c:formatCode>0.00</c:formatCode>
                <c:ptCount val="1"/>
                <c:pt idx="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D8-476E-828C-905F87212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6336"/>
        <c:axId val="228810256"/>
      </c:scatterChart>
      <c:catAx>
        <c:axId val="2288071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8809472"/>
        <c:crosses val="autoZero"/>
        <c:auto val="1"/>
        <c:lblAlgn val="ctr"/>
        <c:lblOffset val="100"/>
        <c:tickMarkSkip val="1"/>
        <c:noMultiLvlLbl val="0"/>
      </c:catAx>
      <c:valAx>
        <c:axId val="228809472"/>
        <c:scaling>
          <c:orientation val="minMax"/>
          <c:max val="0.65000000000000013"/>
          <c:min val="0.350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8807120"/>
        <c:crosses val="autoZero"/>
        <c:crossBetween val="between"/>
        <c:majorUnit val="5.000000000000001E-2"/>
        <c:minorUnit val="1.0000000000000002E-2"/>
      </c:valAx>
      <c:valAx>
        <c:axId val="228810256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8806336"/>
        <c:crosses val="max"/>
        <c:crossBetween val="midCat"/>
      </c:valAx>
      <c:valAx>
        <c:axId val="228806336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881025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54230219088424E-2"/>
          <c:y val="5.6677495575681358E-2"/>
          <c:w val="0.96481658525040193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'P8 - Esp. Fundo'!$C$54:$AG$54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AF-4980-B270-F315E5F5B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806728"/>
        <c:axId val="228811040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'P8 - Esp. Fundo'!$G$7</c:f>
              <c:numCache>
                <c:formatCode>0.00</c:formatCode>
                <c:ptCount val="1"/>
                <c:pt idx="0">
                  <c:v>0.15999999999999998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AF-4980-B270-F315E5F5B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768"/>
        <c:axId val="228807904"/>
      </c:scatterChart>
      <c:catAx>
        <c:axId val="228806728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228811040"/>
        <c:crosses val="autoZero"/>
        <c:auto val="1"/>
        <c:lblAlgn val="ctr"/>
        <c:lblOffset val="100"/>
        <c:noMultiLvlLbl val="0"/>
      </c:catAx>
      <c:valAx>
        <c:axId val="228811040"/>
        <c:scaling>
          <c:orientation val="minMax"/>
          <c:max val="0.30000000000000004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8806728"/>
        <c:crosses val="autoZero"/>
        <c:crossBetween val="between"/>
        <c:majorUnit val="0.1"/>
        <c:minorUnit val="2.0000000000000004E-2"/>
      </c:valAx>
      <c:valAx>
        <c:axId val="228807904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8804768"/>
        <c:crosses val="max"/>
        <c:crossBetween val="midCat"/>
      </c:valAx>
      <c:valAx>
        <c:axId val="228804768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880790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Cortadeira!$B$53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Cortadeira!$C$9:$AG$9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Cortadeira!$C$53:$AG$53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2-4196-8843-1E2DF9B11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808688"/>
        <c:axId val="228809864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Cortadeira!$E$4</c:f>
              <c:numCache>
                <c:formatCode>0.00</c:formatCode>
                <c:ptCount val="1"/>
                <c:pt idx="0">
                  <c:v>53.900000000000006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62-4196-8843-1E2DF9B118AB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Cortadeira!$G$4</c:f>
              <c:numCache>
                <c:formatCode>0.00</c:formatCode>
                <c:ptCount val="1"/>
                <c:pt idx="0">
                  <c:v>53.85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62-4196-8843-1E2DF9B118AB}"/>
            </c:ext>
          </c:extLst>
        </c:ser>
        <c:ser>
          <c:idx val="3"/>
          <c:order val="3"/>
          <c:tx>
            <c:strRef>
              <c:f>'P6 - Esp. Lado - N'!#REF!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Cortadeira!$G$5</c:f>
              <c:numCache>
                <c:formatCode>0.00</c:formatCode>
                <c:ptCount val="1"/>
                <c:pt idx="0">
                  <c:v>53.7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C62-4196-8843-1E2DF9B118AB}"/>
            </c:ext>
          </c:extLst>
        </c:ser>
        <c:ser>
          <c:idx val="5"/>
          <c:order val="4"/>
          <c:tx>
            <c:strRef>
              <c:f>'P6 - Esp. Lado - N'!#REF!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Cortadeira!$G$6</c:f>
              <c:numCache>
                <c:formatCode>0.00</c:formatCode>
                <c:ptCount val="1"/>
                <c:pt idx="0">
                  <c:v>53.550000000000004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C62-4196-8843-1E2DF9B118AB}"/>
            </c:ext>
          </c:extLst>
        </c:ser>
        <c:ser>
          <c:idx val="4"/>
          <c:order val="5"/>
          <c:tx>
            <c:strRef>
              <c:f>'P6 - Esp. Lado - N'!#REF!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Cortadeira!$E$6</c:f>
              <c:numCache>
                <c:formatCode>0.00</c:formatCode>
                <c:ptCount val="1"/>
                <c:pt idx="0">
                  <c:v>53.5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C62-4196-8843-1E2DF9B11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73640"/>
        <c:axId val="228805160"/>
      </c:scatterChart>
      <c:catAx>
        <c:axId val="22880868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8809864"/>
        <c:crosses val="autoZero"/>
        <c:auto val="1"/>
        <c:lblAlgn val="ctr"/>
        <c:lblOffset val="100"/>
        <c:tickMarkSkip val="1"/>
        <c:noMultiLvlLbl val="0"/>
      </c:catAx>
      <c:valAx>
        <c:axId val="228809864"/>
        <c:scaling>
          <c:orientation val="minMax"/>
          <c:max val="54"/>
          <c:min val="53.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8808688"/>
        <c:crosses val="autoZero"/>
        <c:crossBetween val="between"/>
        <c:majorUnit val="0.1"/>
        <c:minorUnit val="2.0000000000000004E-2"/>
      </c:valAx>
      <c:valAx>
        <c:axId val="22880516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9273640"/>
        <c:crosses val="max"/>
        <c:crossBetween val="midCat"/>
      </c:valAx>
      <c:valAx>
        <c:axId val="229273640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880516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54230219088424E-2"/>
          <c:y val="5.6677495575681358E-2"/>
          <c:w val="0.96481658525040193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Cortadeira!$C$54:$AG$54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52-40EE-A8E3-1A8B50189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274032"/>
        <c:axId val="229278736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Cortadeira!$G$7</c:f>
              <c:numCache>
                <c:formatCode>0.00</c:formatCode>
                <c:ptCount val="1"/>
                <c:pt idx="0">
                  <c:v>0.29999999999999716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52-40EE-A8E3-1A8B50189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74424"/>
        <c:axId val="229276384"/>
      </c:scatterChart>
      <c:catAx>
        <c:axId val="229274032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229278736"/>
        <c:crosses val="autoZero"/>
        <c:auto val="1"/>
        <c:lblAlgn val="ctr"/>
        <c:lblOffset val="100"/>
        <c:noMultiLvlLbl val="0"/>
      </c:catAx>
      <c:valAx>
        <c:axId val="229278736"/>
        <c:scaling>
          <c:orientation val="minMax"/>
          <c:max val="0.4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9274032"/>
        <c:crosses val="autoZero"/>
        <c:crossBetween val="between"/>
        <c:majorUnit val="0.1"/>
        <c:minorUnit val="2.0000000000000004E-2"/>
      </c:valAx>
      <c:valAx>
        <c:axId val="229276384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9274424"/>
        <c:crosses val="max"/>
        <c:crossBetween val="midCat"/>
      </c:valAx>
      <c:valAx>
        <c:axId val="229274424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927638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4AB7FEAB-B8A7-4184-A150-257642E9400E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1F54D0-AC0F-4D4F-A3A6-EA0625BF8275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C05268B8-E799-4B8C-9FCD-C23BE271E7F1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7078C1C8-FA6F-4CE3-928B-7298CC4123B2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CED9153E-961B-4A85-B21B-37EAB38F578F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D731D8FD-5B2F-4E62-87B8-E4483892A9C8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173B91A5-62FE-434E-B49A-793940BC161E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AF31A93C-FFA7-4E2F-8059-218FBAED2DF0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D938CDF7-C9CB-4BF8-882E-52AB018D38AC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C28C8D98-FFCD-46E4-B7DB-9750EAF06452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67C90FD0-3FAD-4160-A938-37D11C6C2140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A5BA5E51-F15E-434D-A3A1-75E9CAD3C268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A02B066D-C1F2-477C-A032-564905B7C2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921668D5-D0C0-4F10-967C-F6CDABCA67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421B8BBF-C602-4A4F-A81F-C9481E776E8B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BDFCE978-E03B-4599-BA38-BCE40D8E376A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D61F48F7-38F5-461E-A17B-8D2B0C36FD9C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17C3F82E-80BE-43C5-A129-B4E66D4AFF26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B87470EB-1E4F-458F-9FA6-BFA3D7F3B803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C6EC583-5808-4585-9E68-67E732D54E45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78450A9B-F9FF-4904-9D07-BFB97CC980CE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4FDCD5D7-144C-4CDA-A1AC-3D44A8E112D1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FEA5452E-C565-4C2B-9C7D-97D8FF2C92B3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CEF9F407-79F2-4733-B4BA-D43D4FA78541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02742B92-FE4B-46B7-B373-DA42206DA465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0212594E-EAF7-4DCA-83C0-453AA0E41A77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F24F05D5-CB8B-4F00-95BD-8E2E5B8B6FEC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1A6B05F4-545B-46BC-92E7-F71F2134FF46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CBBD5171-881E-485D-B073-776E9036C1D9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53DE1ADE-5263-4FE6-9AEC-4F3897FF6384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5F785A-48AD-4256-8396-76D148522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118B936B-D7CF-47FB-8B2D-8D66B165D1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241C72C8-C1E2-41AE-BD9C-FA5565D1C3BB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EC5ADA9F-A0F2-4A2A-9807-0EE8BCB2566B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91B65B0F-CC50-4E34-A149-A8FEC6454E18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7AA6419F-80AA-4BC3-A46B-BE7338278C2E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92FAC847-90B6-4604-8246-FB76ACBA6972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358E241-41F3-48D8-9791-26BAEFC92906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62EF95C3-1613-4CBA-B8C3-FF855CAEF2BB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C91BB816-BEEC-41D2-89E6-B22091FB36A5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2E42B3C4-0BF0-482F-A810-CDCE8016FDE3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AFA7E36E-FB86-495A-AF73-BB779E48DACE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98B38E86-CA2C-4ED7-BB6F-1DD4476B184A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35C2AC58-9E7A-48FC-AE97-41C422DB7262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9634E3DB-47F2-4EC4-ACA4-36CA8E72CC3C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A0632912-6806-4BA9-B4F9-F083EDF8CEEE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06B86422-0371-43ED-AB9B-BC0A1FDD61A7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C110D341-5AB3-4C16-BD83-9A5CAFDF7A2F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530A72B5-D9E3-4D57-88ED-D6E0469DD6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273D2614-2D6A-47B3-A65E-25FC0FE8D4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18A24106-1C11-4B74-A373-3FF83FCA40FA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3811B97C-C660-4BF7-982A-6669143EFBF2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19C19E5D-5A85-4015-9AE3-56F0EFF27D4B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B2251508-B2FB-4CED-9A5B-755C8DE23BF0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9E2F462E-D906-46B6-B362-21F640D258BC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D24863D-2176-424D-825B-ECE553F36D64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C2074872-2D6F-4339-9720-D41C5896CE8D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5CCC157F-C095-4775-AB8B-69464CE54476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1D0318A1-4725-48C2-BE7B-279A767F18EB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D056F377-9725-40D6-AC6E-19FFFCB3173E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2B0313C7-8664-48B2-99D6-13E5DEA99212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FE461FEF-BCEB-4B9D-9A6F-0002029A054C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E5A66D6E-77F7-4AC5-83C3-5FE7113867FE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2A092334-20A0-40D5-A647-B62BC573E907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3945AD91-4630-40D3-9314-343E6363A7F3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C535CF9B-3510-4820-8EB8-25C425EC9D37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18B0906E-8F25-4925-9429-48A957943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C967E9E-A2C3-4AE7-8031-14B34C3E68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0D2B4344-4150-4656-A1F0-B7DD98B1457C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80EA3906-7E52-4EB7-B99A-34CE1FE82B23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1109B63D-F1B2-4165-BEE2-D9B6DCE01030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2E504770-6AAB-440C-9C90-16AFBE208316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BD8F70A8-94E0-4F7F-B913-A009A64E8B03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74409FF-B45C-4CB8-B763-965F332AD4A5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75833826-94DA-481C-8B02-32CC294DB26D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68F68EDB-6F25-4F26-BF06-010651A47DF8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69C4E32C-2873-455F-BF9B-28DF832E6C85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C3024D86-4C8A-4779-8676-D94DE05030D7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B3CD2FC3-1F02-4832-A737-CE65E2D31221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7A3DDBE0-454E-4557-A54B-E1367E38CEB1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EF2ABB33-AD3B-49C2-AE4C-72BE6C87D59C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B9E8DD83-7729-4F36-9B22-C6BD7FACAB6C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D8F7FF2D-DD0A-42DE-ADC8-E00835FAC9D5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791561CC-894C-49E0-8F63-2F47594C7C47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2115548F-B99D-4C21-BF11-B0E98A858E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C6CFE743-BBAA-470E-AA97-D63FEB0A2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14D89FE7-3D01-4650-855D-342B1688DFCF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E552DF83-40FC-4DC0-802C-5E1221EFC1BB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763936E1-F3D1-4E43-BFBC-791A9A535A3D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30864AFB-B776-44AC-B7E2-658F3037F41A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E914220D-3C2F-4C28-AE5C-5DBB9E3D40E9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85C91D29-9862-4D97-ABEA-0EF66590C4D7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6E2407BF-B58D-438C-B976-01E39177E4EE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9A0F13FA-855B-4504-94F1-359923D444DE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5700D9CC-C0B3-4310-BBD8-25849143313D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99452C52-4DE5-420A-93A1-B690E5AA9E87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7007F91A-6D19-42AC-8579-EDFD249A6B55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8DB862D5-ED0A-4337-AD0F-BF80B6B57433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4DBBB3C8-4ED7-49E6-8A0E-9D21BB1EEA1A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77D71534-11E4-4579-8B6D-4E282A31D260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6D972C47-5410-4591-A702-C68B0406F3DD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4CD768C4-8B44-4DDC-9E9F-A8BD18158ED9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D2E0AC08-D140-4BD8-AFCF-B7821E731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B9D7611-A6C4-481C-88A1-DF165B3BA7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5A4BD449-2A11-467D-85EC-66144C821308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FF69E851-9EF3-4055-8AC9-2F3295869EED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3BB711DD-EF9A-4207-9D83-9195A94AF448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D7EBF1B2-96A9-47D7-93C7-61734B2D3655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736EE385-64FF-4934-9339-E21950997123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166216E2-4588-4CAF-803A-EA908D826B0E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18283D6A-FE5A-4653-A939-DC4F65405F1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A0E0649A-F4E9-4E20-B57D-6B3ABFFE68B7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7F0FD014-96B3-4CE1-BF73-C81BC87B725F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F0BAA80D-B1B1-408C-9AA2-F68BB0B1F8D1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BE9ECD07-B0E6-47DA-B280-D3A6968AFB7D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4CC8079B-A571-42C1-94DC-0FBD011E915A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D6026854-4D1C-48AB-BB18-D432FA9ACBFB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841D295E-2622-47D4-9E2D-4F22E9BE4C21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2B311FEB-7370-4E5C-9DE4-BC42E10EA7C0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F764E5E8-5C2B-4EA8-B8E3-B97CBB73CD37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3F352869-440C-4BD3-910C-D2C6CD9E78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740DAAE9-F2BB-49CE-B198-E0CD0158A8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2D19470E-5C5B-4B71-B255-ACA884B473A2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47C02988-9E38-4050-9E7E-2CEBC430E68E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A65EB736-1F17-4C31-A514-637CF7700112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5D384F85-A5EE-4852-ABA3-58539B5B410A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4</xdr:row>
      <xdr:rowOff>38100</xdr:rowOff>
    </xdr:from>
    <xdr:to>
      <xdr:col>3</xdr:col>
      <xdr:colOff>266700</xdr:colOff>
      <xdr:row>4</xdr:row>
      <xdr:rowOff>38100</xdr:rowOff>
    </xdr:to>
    <xdr:sp macro="" textlink="">
      <xdr:nvSpPr>
        <xdr:cNvPr id="20" name="Line 1">
          <a:extLst>
            <a:ext uri="{FF2B5EF4-FFF2-40B4-BE49-F238E27FC236}">
              <a16:creationId xmlns:a16="http://schemas.microsoft.com/office/drawing/2014/main" id="{BBD629F7-0AE5-4157-899F-E6E6AF39EAA2}"/>
            </a:ext>
          </a:extLst>
        </xdr:cNvPr>
        <xdr:cNvSpPr>
          <a:spLocks noChangeShapeType="1"/>
        </xdr:cNvSpPr>
      </xdr:nvSpPr>
      <xdr:spPr bwMode="auto">
        <a:xfrm>
          <a:off x="1800225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4</xdr:row>
      <xdr:rowOff>38100</xdr:rowOff>
    </xdr:from>
    <xdr:to>
      <xdr:col>3</xdr:col>
      <xdr:colOff>266700</xdr:colOff>
      <xdr:row>4</xdr:row>
      <xdr:rowOff>38100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1F1529D7-64AB-45F5-804E-9030A914158A}"/>
            </a:ext>
          </a:extLst>
        </xdr:cNvPr>
        <xdr:cNvSpPr>
          <a:spLocks noChangeShapeType="1"/>
        </xdr:cNvSpPr>
      </xdr:nvSpPr>
      <xdr:spPr bwMode="auto">
        <a:xfrm>
          <a:off x="1800225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indexed="47"/>
  </sheetPr>
  <dimension ref="B2:D16"/>
  <sheetViews>
    <sheetView zoomScaleNormal="100" workbookViewId="0">
      <selection activeCell="D11" sqref="D11"/>
    </sheetView>
  </sheetViews>
  <sheetFormatPr defaultRowHeight="12.75"/>
  <cols>
    <col min="4" max="4" width="27.28515625" customWidth="1"/>
  </cols>
  <sheetData>
    <row r="2" spans="2:4" ht="25.5">
      <c r="B2" s="134" t="s">
        <v>53</v>
      </c>
    </row>
    <row r="4" spans="2:4">
      <c r="B4" s="141" t="s">
        <v>54</v>
      </c>
      <c r="C4" s="141"/>
      <c r="D4" s="135"/>
    </row>
    <row r="10" spans="2:4">
      <c r="B10" s="136"/>
      <c r="C10" s="137" t="s">
        <v>58</v>
      </c>
      <c r="D10" s="138" t="s">
        <v>56</v>
      </c>
    </row>
    <row r="11" spans="2:4">
      <c r="D11" s="138" t="s">
        <v>57</v>
      </c>
    </row>
    <row r="12" spans="2:4">
      <c r="D12" s="138" t="s">
        <v>55</v>
      </c>
    </row>
    <row r="13" spans="2:4">
      <c r="D13" s="138"/>
    </row>
    <row r="14" spans="2:4">
      <c r="D14" s="135"/>
    </row>
    <row r="15" spans="2:4">
      <c r="D15" s="135"/>
    </row>
    <row r="16" spans="2:4">
      <c r="D16" s="135"/>
    </row>
  </sheetData>
  <sheetProtection algorithmName="SHA-512" hashValue="2+wQOhuxIevde+SMjLCVIAJckALHMs0NWJRAxIG5l1EI6FPp6riHYebAs6QCuSlPDdmJoYuh43E2XyBxusV3DA==" saltValue="LCHU6CsScds4aaFU0o33lw==" spinCount="100000" sheet="1" objects="1" scenarios="1" selectLockedCells="1"/>
  <mergeCells count="1">
    <mergeCell ref="B4:C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indexed="47"/>
    <pageSetUpPr fitToPage="1"/>
  </sheetPr>
  <dimension ref="B1:BC75"/>
  <sheetViews>
    <sheetView showZeros="0" zoomScaleNormal="100" workbookViewId="0">
      <selection activeCell="C10" sqref="C10"/>
    </sheetView>
  </sheetViews>
  <sheetFormatPr defaultColWidth="10.28515625" defaultRowHeight="12.75"/>
  <cols>
    <col min="1" max="1" width="1.5703125" style="1" customWidth="1"/>
    <col min="2" max="2" width="16.140625" style="1" customWidth="1"/>
    <col min="3" max="33" width="6.7109375" style="1" customWidth="1"/>
    <col min="34" max="34" width="3.140625" style="1" customWidth="1"/>
    <col min="35" max="55" width="6.7109375" style="1" customWidth="1"/>
    <col min="56" max="16384" width="10.28515625" style="1"/>
  </cols>
  <sheetData>
    <row r="1" spans="2:50" ht="21.75" thickBot="1">
      <c r="B1" s="86" t="s">
        <v>40</v>
      </c>
      <c r="C1" s="100"/>
      <c r="D1" s="100"/>
      <c r="E1" s="100"/>
      <c r="F1" s="101"/>
      <c r="G1" s="101"/>
      <c r="H1" s="99"/>
      <c r="I1" s="102" t="s">
        <v>39</v>
      </c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4"/>
      <c r="AX1" s="83"/>
    </row>
    <row r="2" spans="2:50" s="77" customFormat="1" ht="19.5" customHeight="1">
      <c r="B2" s="87" t="s">
        <v>41</v>
      </c>
      <c r="C2" s="88"/>
      <c r="D2" s="103"/>
      <c r="E2" s="103"/>
      <c r="F2" s="104"/>
      <c r="G2" s="104"/>
      <c r="H2" s="98"/>
      <c r="I2" s="169" t="s">
        <v>38</v>
      </c>
      <c r="J2" s="170"/>
      <c r="K2" s="173" t="s">
        <v>37</v>
      </c>
      <c r="L2" s="174"/>
      <c r="M2" s="177" t="s">
        <v>50</v>
      </c>
      <c r="N2" s="178"/>
      <c r="O2" s="178"/>
      <c r="P2" s="178"/>
      <c r="Q2" s="179"/>
      <c r="R2" s="183" t="s">
        <v>36</v>
      </c>
      <c r="S2" s="184"/>
      <c r="T2" s="185"/>
      <c r="U2" s="82" t="s">
        <v>45</v>
      </c>
      <c r="V2" s="81"/>
      <c r="W2" s="81"/>
      <c r="X2" s="81"/>
      <c r="Y2" s="81"/>
      <c r="Z2" s="80"/>
      <c r="AA2" s="80"/>
      <c r="AB2" s="80"/>
      <c r="AC2" s="80"/>
      <c r="AD2" s="80"/>
      <c r="AE2" s="79"/>
      <c r="AF2" s="79"/>
      <c r="AG2" s="78"/>
    </row>
    <row r="3" spans="2:50" ht="16.899999999999999" customHeight="1" thickBot="1">
      <c r="B3" s="76"/>
      <c r="I3" s="171"/>
      <c r="J3" s="172"/>
      <c r="K3" s="175"/>
      <c r="L3" s="176"/>
      <c r="M3" s="180"/>
      <c r="N3" s="181"/>
      <c r="O3" s="181"/>
      <c r="P3" s="181"/>
      <c r="Q3" s="182"/>
      <c r="R3" s="186" t="s">
        <v>34</v>
      </c>
      <c r="S3" s="187"/>
      <c r="T3" s="188"/>
      <c r="U3" s="75" t="s">
        <v>42</v>
      </c>
      <c r="V3" s="74"/>
      <c r="W3" s="74"/>
      <c r="X3" s="74"/>
      <c r="Y3" s="74"/>
      <c r="Z3" s="74"/>
      <c r="AA3" s="74"/>
      <c r="AB3" s="74"/>
      <c r="AC3" s="74"/>
      <c r="AD3" s="74"/>
      <c r="AE3" s="73"/>
      <c r="AF3" s="73"/>
      <c r="AG3" s="72"/>
    </row>
    <row r="4" spans="2:50" s="13" customFormat="1" ht="16.899999999999999" customHeight="1">
      <c r="B4" s="71" t="s">
        <v>32</v>
      </c>
      <c r="C4" s="70"/>
      <c r="D4" s="105" t="s">
        <v>43</v>
      </c>
      <c r="E4" s="89">
        <f>E5+0.03</f>
        <v>0.32999999999999996</v>
      </c>
      <c r="F4" s="106" t="s">
        <v>23</v>
      </c>
      <c r="G4" s="130">
        <f>G5+0.02</f>
        <v>0.32</v>
      </c>
      <c r="H4" s="108"/>
      <c r="I4" s="109"/>
      <c r="Z4" s="167" t="str">
        <f ca="1">"MÊS: "&amp;MID(CELL("nome.arquivo"),SEARCH(".xl",CELL("nome.arquivo"))-2,2)</f>
        <v>MÊS: 03</v>
      </c>
      <c r="AA4" s="163"/>
      <c r="AB4" s="163"/>
      <c r="AC4" s="163"/>
      <c r="AD4" s="163" t="str">
        <f ca="1">"ANO: 20"&amp;MID(CELL("nome.arquivo"),SEARCH(".xl",CELL("nome.arquivo"))-4,2)</f>
        <v>ANO: 2022</v>
      </c>
      <c r="AE4" s="163"/>
      <c r="AF4" s="163"/>
      <c r="AG4" s="164"/>
    </row>
    <row r="5" spans="2:50" s="13" customFormat="1" ht="16.899999999999999" customHeight="1" thickBot="1">
      <c r="B5" s="65" t="s">
        <v>49</v>
      </c>
      <c r="C5" s="90" t="s">
        <v>6</v>
      </c>
      <c r="D5" s="110" t="s">
        <v>31</v>
      </c>
      <c r="E5" s="91">
        <v>0.3</v>
      </c>
      <c r="F5" s="111" t="s">
        <v>31</v>
      </c>
      <c r="G5" s="131">
        <v>0.3</v>
      </c>
      <c r="H5" s="108"/>
      <c r="I5" s="13" t="s">
        <v>29</v>
      </c>
      <c r="R5" s="13" t="s">
        <v>28</v>
      </c>
      <c r="Z5" s="168"/>
      <c r="AA5" s="165"/>
      <c r="AB5" s="165"/>
      <c r="AC5" s="165"/>
      <c r="AD5" s="165"/>
      <c r="AE5" s="165"/>
      <c r="AF5" s="165"/>
      <c r="AG5" s="166"/>
    </row>
    <row r="6" spans="2:50" s="13" customFormat="1" ht="16.899999999999999" customHeight="1">
      <c r="B6" s="60" t="s">
        <v>27</v>
      </c>
      <c r="C6" s="92"/>
      <c r="D6" s="110" t="s">
        <v>44</v>
      </c>
      <c r="E6" s="91">
        <f>E5-0.03</f>
        <v>0.27</v>
      </c>
      <c r="F6" s="111" t="s">
        <v>26</v>
      </c>
      <c r="G6" s="131">
        <f>G5-0.02</f>
        <v>0.27999999999999997</v>
      </c>
      <c r="H6" s="108"/>
      <c r="I6" s="13" t="s">
        <v>25</v>
      </c>
      <c r="R6" s="13" t="s">
        <v>24</v>
      </c>
      <c r="AC6" s="55"/>
      <c r="AD6" s="55"/>
      <c r="AG6" s="54"/>
    </row>
    <row r="7" spans="2:50" s="13" customFormat="1" ht="16.899999999999999" customHeight="1" thickBot="1">
      <c r="B7" s="53"/>
      <c r="C7" s="93" t="s">
        <v>3</v>
      </c>
      <c r="D7" s="112" t="s">
        <v>43</v>
      </c>
      <c r="E7" s="94">
        <f>E4-E6</f>
        <v>5.9999999999999942E-2</v>
      </c>
      <c r="F7" s="113" t="s">
        <v>23</v>
      </c>
      <c r="G7" s="132">
        <f>G4-G6</f>
        <v>4.0000000000000036E-2</v>
      </c>
      <c r="H7" s="115"/>
      <c r="I7" s="47" t="s">
        <v>22</v>
      </c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8"/>
      <c r="AD7" s="48"/>
      <c r="AE7" s="47"/>
      <c r="AF7" s="47"/>
      <c r="AG7" s="46"/>
    </row>
    <row r="8" spans="2:50" s="13" customFormat="1" ht="4.5" customHeight="1" thickBot="1"/>
    <row r="9" spans="2:50" s="6" customFormat="1">
      <c r="B9" s="45" t="s">
        <v>21</v>
      </c>
      <c r="C9" s="140">
        <v>1</v>
      </c>
      <c r="D9" s="44">
        <v>2</v>
      </c>
      <c r="E9" s="44">
        <v>3</v>
      </c>
      <c r="F9" s="44">
        <v>4</v>
      </c>
      <c r="G9" s="44">
        <v>5</v>
      </c>
      <c r="H9" s="44">
        <v>6</v>
      </c>
      <c r="I9" s="44">
        <v>7</v>
      </c>
      <c r="J9" s="44">
        <v>8</v>
      </c>
      <c r="K9" s="44">
        <v>9</v>
      </c>
      <c r="L9" s="44">
        <v>10</v>
      </c>
      <c r="M9" s="44">
        <v>11</v>
      </c>
      <c r="N9" s="44">
        <v>12</v>
      </c>
      <c r="O9" s="44">
        <v>13</v>
      </c>
      <c r="P9" s="44">
        <v>14</v>
      </c>
      <c r="Q9" s="44">
        <v>15</v>
      </c>
      <c r="R9" s="44">
        <v>16</v>
      </c>
      <c r="S9" s="44">
        <v>17</v>
      </c>
      <c r="T9" s="44">
        <v>18</v>
      </c>
      <c r="U9" s="44">
        <v>19</v>
      </c>
      <c r="V9" s="44">
        <v>20</v>
      </c>
      <c r="W9" s="44">
        <v>21</v>
      </c>
      <c r="X9" s="44">
        <v>22</v>
      </c>
      <c r="Y9" s="44">
        <v>23</v>
      </c>
      <c r="Z9" s="44">
        <v>24</v>
      </c>
      <c r="AA9" s="44">
        <v>25</v>
      </c>
      <c r="AB9" s="44">
        <v>26</v>
      </c>
      <c r="AC9" s="44">
        <v>27</v>
      </c>
      <c r="AD9" s="44">
        <v>28</v>
      </c>
      <c r="AE9" s="44">
        <v>29</v>
      </c>
      <c r="AF9" s="44">
        <v>30</v>
      </c>
      <c r="AG9" s="43">
        <v>31</v>
      </c>
    </row>
    <row r="10" spans="2:50" s="6" customFormat="1" ht="14.1" customHeight="1">
      <c r="B10" s="42" t="s">
        <v>20</v>
      </c>
      <c r="C10" s="116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39"/>
    </row>
    <row r="11" spans="2:50" s="6" customFormat="1" ht="14.1" customHeight="1">
      <c r="B11" s="41" t="s">
        <v>19</v>
      </c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39"/>
    </row>
    <row r="12" spans="2:50" s="6" customFormat="1" ht="12" customHeight="1">
      <c r="B12" s="38"/>
      <c r="AG12" s="12"/>
    </row>
    <row r="13" spans="2:50" s="6" customFormat="1" ht="12" customHeight="1">
      <c r="B13" s="153"/>
      <c r="AG13" s="12"/>
    </row>
    <row r="14" spans="2:50" s="6" customFormat="1" ht="12" customHeight="1">
      <c r="B14" s="153"/>
      <c r="AG14" s="12"/>
    </row>
    <row r="15" spans="2:50" s="6" customFormat="1" ht="12" customHeight="1">
      <c r="B15" s="154"/>
      <c r="AG15" s="12"/>
    </row>
    <row r="16" spans="2:50" s="6" customFormat="1" ht="12" customHeight="1">
      <c r="B16" s="154"/>
      <c r="AG16" s="12"/>
    </row>
    <row r="17" spans="2:33" s="6" customFormat="1" ht="12" customHeight="1">
      <c r="B17" s="154"/>
      <c r="AG17" s="12"/>
    </row>
    <row r="18" spans="2:33" s="6" customFormat="1" ht="12" customHeight="1">
      <c r="B18" s="154"/>
      <c r="AG18" s="12"/>
    </row>
    <row r="19" spans="2:33" s="6" customFormat="1" ht="12" customHeight="1">
      <c r="B19" s="154"/>
      <c r="AG19" s="12"/>
    </row>
    <row r="20" spans="2:33" s="6" customFormat="1" ht="12" customHeight="1">
      <c r="B20" s="154"/>
      <c r="AG20" s="12"/>
    </row>
    <row r="21" spans="2:33" s="6" customFormat="1" ht="12" customHeight="1">
      <c r="B21" s="154"/>
      <c r="AG21" s="12"/>
    </row>
    <row r="22" spans="2:33" s="6" customFormat="1" ht="12" customHeight="1">
      <c r="B22" s="154"/>
      <c r="AG22" s="12"/>
    </row>
    <row r="23" spans="2:33" s="6" customFormat="1" ht="12" customHeight="1">
      <c r="B23" s="153"/>
      <c r="AG23" s="12"/>
    </row>
    <row r="24" spans="2:33" s="6" customFormat="1" ht="12" customHeight="1">
      <c r="B24" s="153"/>
      <c r="AG24" s="12"/>
    </row>
    <row r="25" spans="2:33" s="6" customFormat="1" ht="12" customHeight="1">
      <c r="B25" s="154"/>
      <c r="AG25" s="12"/>
    </row>
    <row r="26" spans="2:33" s="6" customFormat="1" ht="12" customHeight="1">
      <c r="B26" s="154"/>
      <c r="AG26" s="12"/>
    </row>
    <row r="27" spans="2:33" s="6" customFormat="1" ht="12" customHeight="1">
      <c r="B27" s="154"/>
      <c r="AG27" s="12"/>
    </row>
    <row r="28" spans="2:33" s="6" customFormat="1" ht="12" customHeight="1">
      <c r="B28" s="154"/>
      <c r="AG28" s="12"/>
    </row>
    <row r="29" spans="2:33" s="6" customFormat="1" ht="12" customHeight="1">
      <c r="B29" s="154"/>
      <c r="AG29" s="12"/>
    </row>
    <row r="30" spans="2:33" s="6" customFormat="1" ht="12" customHeight="1">
      <c r="B30" s="154"/>
      <c r="AG30" s="12"/>
    </row>
    <row r="31" spans="2:33" s="6" customFormat="1" ht="12" customHeight="1">
      <c r="B31" s="154"/>
      <c r="AG31" s="12"/>
    </row>
    <row r="32" spans="2:33" s="6" customFormat="1" ht="12" customHeight="1">
      <c r="B32" s="154"/>
      <c r="AG32" s="12"/>
    </row>
    <row r="33" spans="2:33" s="6" customFormat="1" ht="12" customHeight="1">
      <c r="B33" s="153"/>
      <c r="AG33" s="12"/>
    </row>
    <row r="34" spans="2:33" s="6" customFormat="1" ht="12" customHeight="1">
      <c r="B34" s="153"/>
      <c r="AG34" s="12"/>
    </row>
    <row r="35" spans="2:33" s="6" customFormat="1" ht="12" customHeight="1" thickBot="1">
      <c r="B35" s="37"/>
      <c r="AG35" s="12"/>
    </row>
    <row r="36" spans="2:33" s="6" customFormat="1" ht="12" customHeight="1">
      <c r="B36" s="155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5"/>
    </row>
    <row r="37" spans="2:33" s="6" customFormat="1" ht="12" customHeight="1">
      <c r="B37" s="153"/>
      <c r="AG37" s="12"/>
    </row>
    <row r="38" spans="2:33" s="6" customFormat="1" ht="12" customHeight="1">
      <c r="B38" s="36"/>
      <c r="AG38" s="12"/>
    </row>
    <row r="39" spans="2:33" s="6" customFormat="1" ht="12" customHeight="1">
      <c r="B39" s="36"/>
      <c r="AG39" s="12"/>
    </row>
    <row r="40" spans="2:33" s="6" customFormat="1" ht="12" customHeight="1">
      <c r="B40" s="36"/>
      <c r="AG40" s="12"/>
    </row>
    <row r="41" spans="2:33" s="6" customFormat="1" ht="12" customHeight="1">
      <c r="B41" s="153"/>
      <c r="AG41" s="12"/>
    </row>
    <row r="42" spans="2:33" s="6" customFormat="1" ht="12" customHeight="1">
      <c r="B42" s="153"/>
      <c r="AG42" s="12"/>
    </row>
    <row r="43" spans="2:33" s="6" customFormat="1" ht="12" customHeight="1">
      <c r="B43" s="36"/>
      <c r="AG43" s="12"/>
    </row>
    <row r="44" spans="2:33" s="6" customFormat="1" ht="12" customHeight="1">
      <c r="B44" s="36"/>
      <c r="AG44" s="12"/>
    </row>
    <row r="45" spans="2:33" s="6" customFormat="1" ht="12" customHeight="1">
      <c r="B45" s="36"/>
      <c r="AG45" s="12"/>
    </row>
    <row r="46" spans="2:33" s="6" customFormat="1" ht="12" customHeight="1" thickBot="1">
      <c r="B46" s="35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8"/>
    </row>
    <row r="47" spans="2:33" s="6" customFormat="1" ht="6" customHeight="1">
      <c r="B47" s="34"/>
      <c r="AG47" s="12"/>
    </row>
    <row r="48" spans="2:33" s="18" customFormat="1" ht="15" customHeight="1">
      <c r="B48" s="33">
        <v>1</v>
      </c>
      <c r="C48" s="32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0"/>
    </row>
    <row r="49" spans="2:55" s="18" customFormat="1" ht="15" customHeight="1">
      <c r="B49" s="29">
        <v>2</v>
      </c>
      <c r="C49" s="28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6"/>
    </row>
    <row r="50" spans="2:55" s="18" customFormat="1" ht="15" customHeight="1">
      <c r="B50" s="29">
        <v>3</v>
      </c>
      <c r="C50" s="28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6"/>
    </row>
    <row r="51" spans="2:55" s="18" customFormat="1" ht="15" customHeight="1">
      <c r="B51" s="29">
        <v>4</v>
      </c>
      <c r="C51" s="28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6"/>
    </row>
    <row r="52" spans="2:55" s="18" customFormat="1" ht="15" customHeight="1">
      <c r="B52" s="22">
        <v>5</v>
      </c>
      <c r="C52" s="28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6"/>
    </row>
    <row r="53" spans="2:55" s="18" customFormat="1" ht="15" customHeight="1">
      <c r="B53" s="22" t="s">
        <v>13</v>
      </c>
      <c r="C53" s="25" t="str">
        <f t="shared" ref="C53:AG53" si="0">IF(ISERR(AVERAGE(C48:C52))," ",AVERAGE(C48:C52))</f>
        <v xml:space="preserve"> </v>
      </c>
      <c r="D53" s="24" t="str">
        <f t="shared" si="0"/>
        <v xml:space="preserve"> </v>
      </c>
      <c r="E53" s="24" t="str">
        <f t="shared" si="0"/>
        <v xml:space="preserve"> </v>
      </c>
      <c r="F53" s="24" t="str">
        <f t="shared" si="0"/>
        <v xml:space="preserve"> </v>
      </c>
      <c r="G53" s="24" t="str">
        <f t="shared" si="0"/>
        <v xml:space="preserve"> </v>
      </c>
      <c r="H53" s="24" t="str">
        <f t="shared" si="0"/>
        <v xml:space="preserve"> </v>
      </c>
      <c r="I53" s="24" t="str">
        <f t="shared" si="0"/>
        <v xml:space="preserve"> </v>
      </c>
      <c r="J53" s="24" t="str">
        <f t="shared" si="0"/>
        <v xml:space="preserve"> </v>
      </c>
      <c r="K53" s="24" t="str">
        <f t="shared" si="0"/>
        <v xml:space="preserve"> </v>
      </c>
      <c r="L53" s="24" t="str">
        <f t="shared" si="0"/>
        <v xml:space="preserve"> </v>
      </c>
      <c r="M53" s="24" t="str">
        <f t="shared" si="0"/>
        <v xml:space="preserve"> </v>
      </c>
      <c r="N53" s="24" t="str">
        <f t="shared" si="0"/>
        <v xml:space="preserve"> </v>
      </c>
      <c r="O53" s="24" t="str">
        <f t="shared" si="0"/>
        <v xml:space="preserve"> </v>
      </c>
      <c r="P53" s="24" t="str">
        <f t="shared" si="0"/>
        <v xml:space="preserve"> </v>
      </c>
      <c r="Q53" s="24" t="str">
        <f t="shared" si="0"/>
        <v xml:space="preserve"> </v>
      </c>
      <c r="R53" s="24" t="str">
        <f t="shared" si="0"/>
        <v xml:space="preserve"> </v>
      </c>
      <c r="S53" s="24" t="str">
        <f t="shared" si="0"/>
        <v xml:space="preserve"> </v>
      </c>
      <c r="T53" s="24" t="str">
        <f t="shared" si="0"/>
        <v xml:space="preserve"> </v>
      </c>
      <c r="U53" s="24" t="str">
        <f t="shared" si="0"/>
        <v xml:space="preserve"> </v>
      </c>
      <c r="V53" s="24" t="str">
        <f t="shared" si="0"/>
        <v xml:space="preserve"> </v>
      </c>
      <c r="W53" s="24" t="str">
        <f t="shared" si="0"/>
        <v xml:space="preserve"> </v>
      </c>
      <c r="X53" s="24" t="str">
        <f t="shared" si="0"/>
        <v xml:space="preserve"> </v>
      </c>
      <c r="Y53" s="24" t="str">
        <f t="shared" si="0"/>
        <v xml:space="preserve"> </v>
      </c>
      <c r="Z53" s="24" t="str">
        <f t="shared" si="0"/>
        <v xml:space="preserve"> </v>
      </c>
      <c r="AA53" s="24" t="str">
        <f t="shared" si="0"/>
        <v xml:space="preserve"> </v>
      </c>
      <c r="AB53" s="24" t="str">
        <f t="shared" si="0"/>
        <v xml:space="preserve"> </v>
      </c>
      <c r="AC53" s="24" t="str">
        <f t="shared" si="0"/>
        <v xml:space="preserve"> </v>
      </c>
      <c r="AD53" s="24" t="str">
        <f t="shared" si="0"/>
        <v xml:space="preserve"> </v>
      </c>
      <c r="AE53" s="24" t="str">
        <f t="shared" si="0"/>
        <v xml:space="preserve"> </v>
      </c>
      <c r="AF53" s="24" t="str">
        <f t="shared" si="0"/>
        <v xml:space="preserve"> </v>
      </c>
      <c r="AG53" s="23" t="str">
        <f t="shared" si="0"/>
        <v xml:space="preserve"> </v>
      </c>
    </row>
    <row r="54" spans="2:55" s="18" customFormat="1" ht="15" customHeight="1">
      <c r="B54" s="22" t="s">
        <v>3</v>
      </c>
      <c r="C54" s="117">
        <f t="shared" ref="C54:AG54" si="1">MAX(C48:C52)-MIN(C48:C52)</f>
        <v>0</v>
      </c>
      <c r="D54" s="118">
        <f t="shared" si="1"/>
        <v>0</v>
      </c>
      <c r="E54" s="118">
        <f t="shared" si="1"/>
        <v>0</v>
      </c>
      <c r="F54" s="118">
        <f t="shared" si="1"/>
        <v>0</v>
      </c>
      <c r="G54" s="118">
        <f t="shared" si="1"/>
        <v>0</v>
      </c>
      <c r="H54" s="118">
        <f t="shared" si="1"/>
        <v>0</v>
      </c>
      <c r="I54" s="118">
        <f t="shared" si="1"/>
        <v>0</v>
      </c>
      <c r="J54" s="118">
        <f t="shared" si="1"/>
        <v>0</v>
      </c>
      <c r="K54" s="118">
        <f t="shared" si="1"/>
        <v>0</v>
      </c>
      <c r="L54" s="118">
        <f t="shared" si="1"/>
        <v>0</v>
      </c>
      <c r="M54" s="118">
        <f t="shared" si="1"/>
        <v>0</v>
      </c>
      <c r="N54" s="118">
        <f t="shared" si="1"/>
        <v>0</v>
      </c>
      <c r="O54" s="118">
        <f t="shared" si="1"/>
        <v>0</v>
      </c>
      <c r="P54" s="118">
        <f t="shared" si="1"/>
        <v>0</v>
      </c>
      <c r="Q54" s="118">
        <f t="shared" si="1"/>
        <v>0</v>
      </c>
      <c r="R54" s="21">
        <f t="shared" si="1"/>
        <v>0</v>
      </c>
      <c r="S54" s="21">
        <f t="shared" si="1"/>
        <v>0</v>
      </c>
      <c r="T54" s="21">
        <f t="shared" si="1"/>
        <v>0</v>
      </c>
      <c r="U54" s="21">
        <f t="shared" si="1"/>
        <v>0</v>
      </c>
      <c r="V54" s="21">
        <f t="shared" si="1"/>
        <v>0</v>
      </c>
      <c r="W54" s="21">
        <f t="shared" si="1"/>
        <v>0</v>
      </c>
      <c r="X54" s="21">
        <f t="shared" si="1"/>
        <v>0</v>
      </c>
      <c r="Y54" s="21">
        <f t="shared" si="1"/>
        <v>0</v>
      </c>
      <c r="Z54" s="21">
        <f t="shared" si="1"/>
        <v>0</v>
      </c>
      <c r="AA54" s="21">
        <f t="shared" si="1"/>
        <v>0</v>
      </c>
      <c r="AB54" s="21">
        <f t="shared" si="1"/>
        <v>0</v>
      </c>
      <c r="AC54" s="21">
        <f t="shared" si="1"/>
        <v>0</v>
      </c>
      <c r="AD54" s="21">
        <f t="shared" si="1"/>
        <v>0</v>
      </c>
      <c r="AE54" s="21">
        <f t="shared" si="1"/>
        <v>0</v>
      </c>
      <c r="AF54" s="21">
        <f t="shared" si="1"/>
        <v>0</v>
      </c>
      <c r="AG54" s="20">
        <f t="shared" si="1"/>
        <v>0</v>
      </c>
    </row>
    <row r="55" spans="2:55" s="18" customFormat="1" ht="20.100000000000001" customHeight="1">
      <c r="B55" s="19" t="s">
        <v>18</v>
      </c>
      <c r="C55" s="119"/>
      <c r="D55" s="120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120"/>
      <c r="R55" s="120"/>
      <c r="S55" s="120"/>
      <c r="T55" s="120"/>
      <c r="U55" s="120"/>
      <c r="V55" s="120"/>
      <c r="W55" s="120"/>
      <c r="X55" s="120"/>
      <c r="Y55" s="120"/>
      <c r="Z55" s="120"/>
      <c r="AA55" s="120"/>
      <c r="AB55" s="120"/>
      <c r="AC55" s="120"/>
      <c r="AD55" s="120"/>
      <c r="AE55" s="120"/>
      <c r="AF55" s="120"/>
      <c r="AG55" s="121"/>
    </row>
    <row r="56" spans="2:55" s="18" customFormat="1" ht="26.25" thickBot="1">
      <c r="B56" s="139" t="s">
        <v>59</v>
      </c>
      <c r="C56" s="122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4"/>
    </row>
    <row r="57" spans="2:55" s="6" customFormat="1" ht="20.100000000000001" customHeight="1">
      <c r="B57" s="156" t="s">
        <v>17</v>
      </c>
      <c r="C57" s="157"/>
      <c r="D57" s="157"/>
      <c r="E57" s="158"/>
      <c r="F57" s="17" t="s">
        <v>16</v>
      </c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5"/>
    </row>
    <row r="58" spans="2:55" s="6" customFormat="1" ht="20.100000000000001" customHeight="1">
      <c r="B58" s="14"/>
      <c r="C58" s="13" t="s">
        <v>15</v>
      </c>
      <c r="D58" s="13"/>
      <c r="E58" s="12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6"/>
    </row>
    <row r="59" spans="2:55" s="6" customFormat="1" ht="20.100000000000001" customHeight="1">
      <c r="B59" s="159" t="s">
        <v>14</v>
      </c>
      <c r="C59" s="160"/>
      <c r="D59" s="160"/>
      <c r="E59" s="12"/>
      <c r="F59" s="125"/>
      <c r="G59" s="125"/>
      <c r="H59" s="125"/>
      <c r="I59" s="125"/>
      <c r="J59" s="125"/>
      <c r="K59" s="125"/>
      <c r="L59" s="125"/>
      <c r="M59" s="125"/>
      <c r="N59" s="125"/>
      <c r="O59" s="127"/>
      <c r="P59" s="125"/>
      <c r="Q59" s="125"/>
      <c r="R59" s="125"/>
      <c r="S59" s="125"/>
      <c r="T59" s="125"/>
      <c r="U59" s="125"/>
      <c r="V59" s="125"/>
      <c r="W59" s="125"/>
      <c r="X59" s="125"/>
      <c r="Y59" s="125"/>
      <c r="Z59" s="125"/>
      <c r="AA59" s="125"/>
      <c r="AB59" s="125"/>
      <c r="AC59" s="125"/>
      <c r="AD59" s="125"/>
      <c r="AE59" s="125"/>
      <c r="AF59" s="125"/>
      <c r="AG59" s="126"/>
    </row>
    <row r="60" spans="2:55" s="6" customFormat="1" ht="20.100000000000001" customHeight="1" thickBot="1">
      <c r="B60" s="11"/>
      <c r="C60" s="10" t="s">
        <v>13</v>
      </c>
      <c r="D60" s="9"/>
      <c r="E60" s="8"/>
      <c r="F60" s="128"/>
      <c r="G60" s="128"/>
      <c r="H60" s="128"/>
      <c r="I60" s="128"/>
      <c r="J60" s="128"/>
      <c r="K60" s="128"/>
      <c r="L60" s="128"/>
      <c r="M60" s="128"/>
      <c r="N60" s="128"/>
      <c r="O60" s="128"/>
      <c r="P60" s="128"/>
      <c r="Q60" s="128"/>
      <c r="R60" s="128"/>
      <c r="S60" s="128"/>
      <c r="T60" s="128"/>
      <c r="U60" s="128"/>
      <c r="V60" s="128"/>
      <c r="W60" s="128"/>
      <c r="X60" s="128"/>
      <c r="Y60" s="128"/>
      <c r="Z60" s="128"/>
      <c r="AA60" s="128"/>
      <c r="AB60" s="128"/>
      <c r="AC60" s="128"/>
      <c r="AD60" s="128"/>
      <c r="AE60" s="128"/>
      <c r="AF60" s="128"/>
      <c r="AG60" s="129"/>
    </row>
    <row r="61" spans="2:55" s="6" customFormat="1" ht="7.5" customHeight="1"/>
    <row r="62" spans="2:55" s="6" customFormat="1" ht="15.75">
      <c r="B62" s="161" t="s">
        <v>12</v>
      </c>
      <c r="C62" s="144"/>
      <c r="D62" s="144"/>
      <c r="E62" s="144"/>
      <c r="F62" s="144"/>
      <c r="G62" s="142" t="s">
        <v>11</v>
      </c>
      <c r="H62" s="142"/>
      <c r="I62" s="142"/>
      <c r="J62" s="142"/>
      <c r="K62" s="151"/>
      <c r="L62" s="142" t="s">
        <v>10</v>
      </c>
      <c r="M62" s="142"/>
      <c r="N62" s="142"/>
      <c r="O62" s="142"/>
      <c r="P62" s="142"/>
      <c r="Q62" s="142"/>
      <c r="R62" s="142"/>
      <c r="S62" s="144" t="s">
        <v>9</v>
      </c>
      <c r="T62" s="144"/>
      <c r="U62" s="144"/>
      <c r="V62" s="144"/>
      <c r="W62" s="146" t="s">
        <v>51</v>
      </c>
      <c r="X62" s="144"/>
      <c r="Y62" s="144"/>
      <c r="Z62" s="144"/>
      <c r="AA62" s="144"/>
      <c r="AB62" s="144"/>
      <c r="AC62" s="144" t="s">
        <v>11</v>
      </c>
      <c r="AD62" s="144"/>
      <c r="AE62" s="144"/>
      <c r="AF62" s="144"/>
      <c r="AG62" s="148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</row>
    <row r="63" spans="2:55" s="6" customFormat="1" ht="15.75">
      <c r="B63" s="162"/>
      <c r="C63" s="145"/>
      <c r="D63" s="145"/>
      <c r="E63" s="145"/>
      <c r="F63" s="145"/>
      <c r="G63" s="143"/>
      <c r="H63" s="143"/>
      <c r="I63" s="143"/>
      <c r="J63" s="143"/>
      <c r="K63" s="152"/>
      <c r="L63" s="143"/>
      <c r="M63" s="143"/>
      <c r="N63" s="143"/>
      <c r="O63" s="143"/>
      <c r="P63" s="143"/>
      <c r="Q63" s="143"/>
      <c r="R63" s="143"/>
      <c r="S63" s="145"/>
      <c r="T63" s="145"/>
      <c r="U63" s="145"/>
      <c r="V63" s="145"/>
      <c r="W63" s="147"/>
      <c r="X63" s="145"/>
      <c r="Y63" s="145"/>
      <c r="Z63" s="145"/>
      <c r="AA63" s="145"/>
      <c r="AB63" s="145"/>
      <c r="AC63" s="145"/>
      <c r="AD63" s="145"/>
      <c r="AE63" s="145"/>
      <c r="AF63" s="145"/>
      <c r="AG63" s="149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</row>
    <row r="64" spans="2:55" ht="14.25">
      <c r="B64" s="4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4"/>
      <c r="AS64" s="150"/>
      <c r="AT64" s="150"/>
      <c r="AU64" s="150"/>
      <c r="AV64" s="150"/>
      <c r="AW64" s="150"/>
      <c r="AX64" s="150"/>
      <c r="AY64" s="150"/>
      <c r="AZ64" s="150"/>
      <c r="BA64" s="150"/>
      <c r="BB64" s="150"/>
      <c r="BC64" s="150"/>
    </row>
    <row r="65" spans="2:5">
      <c r="B65" s="1" t="s">
        <v>8</v>
      </c>
    </row>
    <row r="66" spans="2:5">
      <c r="B66" s="1" t="s">
        <v>7</v>
      </c>
      <c r="C66" s="2" t="e">
        <f>AVERAGE(C53:AG53)+0.577*C69</f>
        <v>#DIV/0!</v>
      </c>
    </row>
    <row r="67" spans="2:5">
      <c r="B67" s="1" t="s">
        <v>6</v>
      </c>
      <c r="C67" s="2" t="e">
        <f>AVERAGE(C53:AG53)</f>
        <v>#DIV/0!</v>
      </c>
      <c r="D67" s="3" t="s">
        <v>5</v>
      </c>
      <c r="E67" s="1" t="e">
        <f>STDEV(C48:AF52)</f>
        <v>#DIV/0!</v>
      </c>
    </row>
    <row r="68" spans="2:5">
      <c r="B68" s="1" t="s">
        <v>4</v>
      </c>
      <c r="C68" s="2" t="e">
        <f>C67-0.577*C69</f>
        <v>#DIV/0!</v>
      </c>
    </row>
    <row r="69" spans="2:5">
      <c r="B69" s="1" t="s">
        <v>3</v>
      </c>
      <c r="C69" s="2" t="e">
        <f>2.115*(SUM(C54:AG54)/COUNTIF(C54:AG54,"&lt;&gt;0"))</f>
        <v>#DIV/0!</v>
      </c>
    </row>
    <row r="71" spans="2:5">
      <c r="B71" s="1" t="s">
        <v>2</v>
      </c>
    </row>
    <row r="73" spans="2:5">
      <c r="B73" s="1" t="s">
        <v>1</v>
      </c>
      <c r="C73" s="2" t="e">
        <f>E7/(6*E67)</f>
        <v>#DIV/0!</v>
      </c>
    </row>
    <row r="74" spans="2:5">
      <c r="B74" s="1" t="s">
        <v>0</v>
      </c>
      <c r="C74" s="2" t="e">
        <f>MIN((E4-C67)/(3*E67),(C67-E6)/(3*E67))</f>
        <v>#DIV/0!</v>
      </c>
    </row>
    <row r="75" spans="2:5">
      <c r="C75" s="1">
        <f>COUNTIF(C10:AG10,"&gt;0")</f>
        <v>0</v>
      </c>
    </row>
  </sheetData>
  <sheetProtection algorithmName="SHA-512" hashValue="NywSM+NOZXfxKSyjuiiT35lPk4mfC2bSttEpAfToJumhLQsiOvOAQoRrLu4CtrImwnD2lHzS5GMr9UJASCbSug==" saltValue="edN5vVpal2R+ETYd/+euiA==" spinCount="100000" sheet="1" objects="1" scenarios="1" selectLockedCells="1"/>
  <mergeCells count="29">
    <mergeCell ref="B21:B22"/>
    <mergeCell ref="I2:J3"/>
    <mergeCell ref="K2:L3"/>
    <mergeCell ref="M2:Q3"/>
    <mergeCell ref="R2:T2"/>
    <mergeCell ref="R3:T3"/>
    <mergeCell ref="AD4:AG5"/>
    <mergeCell ref="B13:B14"/>
    <mergeCell ref="B15:B16"/>
    <mergeCell ref="B17:B18"/>
    <mergeCell ref="B19:B20"/>
    <mergeCell ref="Z4:AC5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L62:R63"/>
    <mergeCell ref="S62:V63"/>
    <mergeCell ref="W62:AB63"/>
    <mergeCell ref="AC62:AG63"/>
    <mergeCell ref="AS64:BC64"/>
  </mergeCells>
  <conditionalFormatting sqref="C48:AG52">
    <cfRule type="expression" dxfId="8" priority="1">
      <formula>((C48&gt;=$G$4)+(C48&lt;=$G$6))*(C48&gt;0)</formula>
    </cfRule>
  </conditionalFormatting>
  <dataValidations count="3">
    <dataValidation type="whole" showInputMessage="1" showErrorMessage="1" errorTitle="Data" error="Digite apenas o dia entre 1 e 31" sqref="E10:AG10" xr:uid="{00000000-0002-0000-0100-000000000000}">
      <formula1>1</formula1>
      <formula2>31</formula2>
    </dataValidation>
    <dataValidation type="list" showErrorMessage="1" promptTitle="Turno" prompt="Escolha" sqref="C11:AG11" xr:uid="{00000000-0002-0000-0100-000001000000}">
      <formula1>Turnos</formula1>
    </dataValidation>
    <dataValidation type="whole" showErrorMessage="1" errorTitle="Data" error="Digite apenas o dia entre 1 e 31" sqref="C10:D10" xr:uid="{00000000-0002-0000-0100-000002000000}">
      <formula1>1</formula1>
      <formula2>31</formula2>
    </dataValidation>
  </dataValidations>
  <printOptions horizontalCentered="1"/>
  <pageMargins left="0" right="0" top="0.59055118110236227" bottom="0.39370078740157483" header="0.39370078740157483" footer="0.23622047244094491"/>
  <pageSetup paperSize="9" scale="60" orientation="landscape" r:id="rId1"/>
  <headerFooter alignWithMargins="0">
    <oddFooter xml:space="preserve">&amp;RSJCPIL-R 15-074-02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indexed="47"/>
    <pageSetUpPr fitToPage="1"/>
  </sheetPr>
  <dimension ref="B1:BC75"/>
  <sheetViews>
    <sheetView showZeros="0" zoomScaleNormal="100" workbookViewId="0">
      <selection activeCell="C56" sqref="C56"/>
    </sheetView>
  </sheetViews>
  <sheetFormatPr defaultColWidth="10.28515625" defaultRowHeight="12.75"/>
  <cols>
    <col min="1" max="1" width="1.5703125" style="1" customWidth="1"/>
    <col min="2" max="2" width="16.140625" style="1" customWidth="1"/>
    <col min="3" max="33" width="6.7109375" style="1" customWidth="1"/>
    <col min="34" max="34" width="3.140625" style="1" customWidth="1"/>
    <col min="35" max="55" width="6.7109375" style="1" customWidth="1"/>
    <col min="56" max="16384" width="10.28515625" style="1"/>
  </cols>
  <sheetData>
    <row r="1" spans="2:50" ht="21.75" thickBot="1">
      <c r="B1" s="86" t="s">
        <v>40</v>
      </c>
      <c r="C1" s="100"/>
      <c r="D1" s="100"/>
      <c r="E1" s="100"/>
      <c r="F1" s="101"/>
      <c r="G1" s="101"/>
      <c r="H1" s="99"/>
      <c r="I1" s="102" t="s">
        <v>39</v>
      </c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4"/>
      <c r="AX1" s="83"/>
    </row>
    <row r="2" spans="2:50" s="77" customFormat="1" ht="19.5" customHeight="1">
      <c r="B2" s="87" t="s">
        <v>41</v>
      </c>
      <c r="C2" s="88"/>
      <c r="D2" s="103"/>
      <c r="E2" s="103"/>
      <c r="F2" s="104"/>
      <c r="G2" s="104"/>
      <c r="H2" s="98"/>
      <c r="I2" s="169" t="s">
        <v>38</v>
      </c>
      <c r="J2" s="170"/>
      <c r="K2" s="173" t="s">
        <v>37</v>
      </c>
      <c r="L2" s="174"/>
      <c r="M2" s="177" t="s">
        <v>50</v>
      </c>
      <c r="N2" s="178"/>
      <c r="O2" s="178"/>
      <c r="P2" s="178"/>
      <c r="Q2" s="179"/>
      <c r="R2" s="183" t="s">
        <v>36</v>
      </c>
      <c r="S2" s="184"/>
      <c r="T2" s="185"/>
      <c r="U2" s="82" t="s">
        <v>45</v>
      </c>
      <c r="V2" s="81"/>
      <c r="W2" s="81"/>
      <c r="X2" s="81"/>
      <c r="Y2" s="81"/>
      <c r="Z2" s="80"/>
      <c r="AA2" s="80"/>
      <c r="AB2" s="80"/>
      <c r="AC2" s="80"/>
      <c r="AD2" s="80"/>
      <c r="AE2" s="79"/>
      <c r="AF2" s="79"/>
      <c r="AG2" s="78"/>
    </row>
    <row r="3" spans="2:50" ht="16.899999999999999" customHeight="1" thickBot="1">
      <c r="B3" s="76"/>
      <c r="I3" s="171"/>
      <c r="J3" s="172"/>
      <c r="K3" s="175"/>
      <c r="L3" s="176"/>
      <c r="M3" s="180"/>
      <c r="N3" s="181"/>
      <c r="O3" s="181"/>
      <c r="P3" s="181"/>
      <c r="Q3" s="182"/>
      <c r="R3" s="186" t="s">
        <v>34</v>
      </c>
      <c r="S3" s="187"/>
      <c r="T3" s="188"/>
      <c r="U3" s="75" t="s">
        <v>48</v>
      </c>
      <c r="V3" s="74"/>
      <c r="W3" s="74"/>
      <c r="X3" s="74"/>
      <c r="Y3" s="74"/>
      <c r="Z3" s="74"/>
      <c r="AA3" s="74"/>
      <c r="AB3" s="74"/>
      <c r="AC3" s="74"/>
      <c r="AD3" s="74"/>
      <c r="AE3" s="73"/>
      <c r="AF3" s="73"/>
      <c r="AG3" s="72"/>
    </row>
    <row r="4" spans="2:50" s="13" customFormat="1" ht="16.899999999999999" customHeight="1">
      <c r="B4" s="71" t="s">
        <v>32</v>
      </c>
      <c r="C4" s="70"/>
      <c r="D4" s="105" t="s">
        <v>43</v>
      </c>
      <c r="E4" s="95">
        <f>E5+0.1</f>
        <v>0.6</v>
      </c>
      <c r="F4" s="106" t="s">
        <v>23</v>
      </c>
      <c r="G4" s="107">
        <f>G5+0.08</f>
        <v>0.57999999999999996</v>
      </c>
      <c r="H4" s="108"/>
      <c r="I4" s="109"/>
      <c r="Z4" s="167" t="str">
        <f ca="1">'P6 - Esp. Lado'!Z4:AC5</f>
        <v>MÊS: 03</v>
      </c>
      <c r="AA4" s="163"/>
      <c r="AB4" s="163"/>
      <c r="AC4" s="163"/>
      <c r="AD4" s="163" t="str">
        <f ca="1">'P6 - Esp. Lado'!AD4:AG5</f>
        <v>ANO: 2022</v>
      </c>
      <c r="AE4" s="163"/>
      <c r="AF4" s="163"/>
      <c r="AG4" s="164"/>
    </row>
    <row r="5" spans="2:50" s="13" customFormat="1" ht="16.899999999999999" customHeight="1" thickBot="1">
      <c r="B5" s="65" t="e">
        <f>#REF!</f>
        <v>#REF!</v>
      </c>
      <c r="C5" s="90" t="s">
        <v>6</v>
      </c>
      <c r="D5" s="110" t="s">
        <v>31</v>
      </c>
      <c r="E5" s="96">
        <v>0.5</v>
      </c>
      <c r="F5" s="111" t="s">
        <v>31</v>
      </c>
      <c r="G5" s="133">
        <v>0.5</v>
      </c>
      <c r="H5" s="108"/>
      <c r="I5" s="13" t="s">
        <v>29</v>
      </c>
      <c r="R5" s="13" t="s">
        <v>28</v>
      </c>
      <c r="Z5" s="168"/>
      <c r="AA5" s="165"/>
      <c r="AB5" s="165"/>
      <c r="AC5" s="165"/>
      <c r="AD5" s="165"/>
      <c r="AE5" s="165"/>
      <c r="AF5" s="165"/>
      <c r="AG5" s="166"/>
    </row>
    <row r="6" spans="2:50" s="13" customFormat="1" ht="16.899999999999999" customHeight="1">
      <c r="B6" s="60" t="s">
        <v>27</v>
      </c>
      <c r="C6" s="92"/>
      <c r="D6" s="110" t="s">
        <v>44</v>
      </c>
      <c r="E6" s="96">
        <f>E5-0.1</f>
        <v>0.4</v>
      </c>
      <c r="F6" s="111" t="s">
        <v>26</v>
      </c>
      <c r="G6" s="133">
        <f>G5-0.08</f>
        <v>0.42</v>
      </c>
      <c r="H6" s="108"/>
      <c r="I6" s="13" t="s">
        <v>25</v>
      </c>
      <c r="R6" s="13" t="s">
        <v>24</v>
      </c>
      <c r="AC6" s="55"/>
      <c r="AD6" s="55"/>
      <c r="AG6" s="54"/>
    </row>
    <row r="7" spans="2:50" s="13" customFormat="1" ht="16.899999999999999" customHeight="1" thickBot="1">
      <c r="B7" s="53"/>
      <c r="C7" s="93" t="s">
        <v>3</v>
      </c>
      <c r="D7" s="112" t="s">
        <v>43</v>
      </c>
      <c r="E7" s="97">
        <f>E4-E6</f>
        <v>0.19999999999999996</v>
      </c>
      <c r="F7" s="113" t="s">
        <v>23</v>
      </c>
      <c r="G7" s="114">
        <f>G4-G6</f>
        <v>0.15999999999999998</v>
      </c>
      <c r="H7" s="115"/>
      <c r="I7" s="47" t="s">
        <v>22</v>
      </c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8"/>
      <c r="AD7" s="48"/>
      <c r="AE7" s="47"/>
      <c r="AF7" s="47"/>
      <c r="AG7" s="46"/>
    </row>
    <row r="8" spans="2:50" s="13" customFormat="1" ht="4.5" customHeight="1" thickBot="1"/>
    <row r="9" spans="2:50" s="6" customFormat="1">
      <c r="B9" s="45" t="s">
        <v>21</v>
      </c>
      <c r="C9" s="44">
        <v>1</v>
      </c>
      <c r="D9" s="44">
        <v>2</v>
      </c>
      <c r="E9" s="44">
        <v>3</v>
      </c>
      <c r="F9" s="44">
        <v>4</v>
      </c>
      <c r="G9" s="44">
        <v>5</v>
      </c>
      <c r="H9" s="44">
        <v>6</v>
      </c>
      <c r="I9" s="44">
        <v>7</v>
      </c>
      <c r="J9" s="44">
        <v>8</v>
      </c>
      <c r="K9" s="44">
        <v>9</v>
      </c>
      <c r="L9" s="44">
        <v>10</v>
      </c>
      <c r="M9" s="44">
        <v>11</v>
      </c>
      <c r="N9" s="44">
        <v>12</v>
      </c>
      <c r="O9" s="44">
        <v>13</v>
      </c>
      <c r="P9" s="44">
        <v>14</v>
      </c>
      <c r="Q9" s="44">
        <v>15</v>
      </c>
      <c r="R9" s="44">
        <v>16</v>
      </c>
      <c r="S9" s="44">
        <v>17</v>
      </c>
      <c r="T9" s="44">
        <v>18</v>
      </c>
      <c r="U9" s="44">
        <v>19</v>
      </c>
      <c r="V9" s="44">
        <v>20</v>
      </c>
      <c r="W9" s="44">
        <v>21</v>
      </c>
      <c r="X9" s="44">
        <v>22</v>
      </c>
      <c r="Y9" s="44">
        <v>23</v>
      </c>
      <c r="Z9" s="44">
        <v>24</v>
      </c>
      <c r="AA9" s="44">
        <v>25</v>
      </c>
      <c r="AB9" s="44">
        <v>26</v>
      </c>
      <c r="AC9" s="44">
        <v>27</v>
      </c>
      <c r="AD9" s="44">
        <v>28</v>
      </c>
      <c r="AE9" s="44">
        <v>29</v>
      </c>
      <c r="AF9" s="44">
        <v>30</v>
      </c>
      <c r="AG9" s="43">
        <v>31</v>
      </c>
    </row>
    <row r="10" spans="2:50" s="6" customFormat="1" ht="14.1" customHeight="1">
      <c r="B10" s="42" t="s">
        <v>20</v>
      </c>
      <c r="C10" s="116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39"/>
    </row>
    <row r="11" spans="2:50" s="6" customFormat="1" ht="14.1" customHeight="1">
      <c r="B11" s="41" t="s">
        <v>19</v>
      </c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39"/>
    </row>
    <row r="12" spans="2:50" s="6" customFormat="1" ht="12" customHeight="1">
      <c r="B12" s="38"/>
      <c r="AG12" s="12"/>
    </row>
    <row r="13" spans="2:50" s="6" customFormat="1" ht="12" customHeight="1">
      <c r="B13" s="153"/>
      <c r="AG13" s="12"/>
    </row>
    <row r="14" spans="2:50" s="6" customFormat="1" ht="12" customHeight="1">
      <c r="B14" s="153"/>
      <c r="AG14" s="12"/>
    </row>
    <row r="15" spans="2:50" s="6" customFormat="1" ht="12" customHeight="1">
      <c r="B15" s="154"/>
      <c r="AG15" s="12"/>
    </row>
    <row r="16" spans="2:50" s="6" customFormat="1" ht="12" customHeight="1">
      <c r="B16" s="154"/>
      <c r="AG16" s="12"/>
    </row>
    <row r="17" spans="2:33" s="6" customFormat="1" ht="12" customHeight="1">
      <c r="B17" s="154"/>
      <c r="AG17" s="12"/>
    </row>
    <row r="18" spans="2:33" s="6" customFormat="1" ht="12" customHeight="1">
      <c r="B18" s="154"/>
      <c r="AG18" s="12"/>
    </row>
    <row r="19" spans="2:33" s="6" customFormat="1" ht="12" customHeight="1">
      <c r="B19" s="154"/>
      <c r="AG19" s="12"/>
    </row>
    <row r="20" spans="2:33" s="6" customFormat="1" ht="12" customHeight="1">
      <c r="B20" s="154"/>
      <c r="AG20" s="12"/>
    </row>
    <row r="21" spans="2:33" s="6" customFormat="1" ht="12" customHeight="1">
      <c r="B21" s="154"/>
      <c r="AG21" s="12"/>
    </row>
    <row r="22" spans="2:33" s="6" customFormat="1" ht="12" customHeight="1">
      <c r="B22" s="154"/>
      <c r="AG22" s="12"/>
    </row>
    <row r="23" spans="2:33" s="6" customFormat="1" ht="12" customHeight="1">
      <c r="B23" s="153"/>
      <c r="AG23" s="12"/>
    </row>
    <row r="24" spans="2:33" s="6" customFormat="1" ht="12" customHeight="1">
      <c r="B24" s="153"/>
      <c r="AG24" s="12"/>
    </row>
    <row r="25" spans="2:33" s="6" customFormat="1" ht="12" customHeight="1">
      <c r="B25" s="154"/>
      <c r="AG25" s="12"/>
    </row>
    <row r="26" spans="2:33" s="6" customFormat="1" ht="12" customHeight="1">
      <c r="B26" s="154"/>
      <c r="AG26" s="12"/>
    </row>
    <row r="27" spans="2:33" s="6" customFormat="1" ht="12" customHeight="1">
      <c r="B27" s="154"/>
      <c r="AG27" s="12"/>
    </row>
    <row r="28" spans="2:33" s="6" customFormat="1" ht="12" customHeight="1">
      <c r="B28" s="154"/>
      <c r="AG28" s="12"/>
    </row>
    <row r="29" spans="2:33" s="6" customFormat="1" ht="12" customHeight="1">
      <c r="B29" s="154"/>
      <c r="AG29" s="12"/>
    </row>
    <row r="30" spans="2:33" s="6" customFormat="1" ht="12" customHeight="1">
      <c r="B30" s="154"/>
      <c r="AG30" s="12"/>
    </row>
    <row r="31" spans="2:33" s="6" customFormat="1" ht="12" customHeight="1">
      <c r="B31" s="154"/>
      <c r="AG31" s="12"/>
    </row>
    <row r="32" spans="2:33" s="6" customFormat="1" ht="12" customHeight="1">
      <c r="B32" s="154"/>
      <c r="AG32" s="12"/>
    </row>
    <row r="33" spans="2:33" s="6" customFormat="1" ht="12" customHeight="1">
      <c r="B33" s="153"/>
      <c r="AG33" s="12"/>
    </row>
    <row r="34" spans="2:33" s="6" customFormat="1" ht="12" customHeight="1">
      <c r="B34" s="153"/>
      <c r="AG34" s="12"/>
    </row>
    <row r="35" spans="2:33" s="6" customFormat="1" ht="12" customHeight="1" thickBot="1">
      <c r="B35" s="37"/>
      <c r="AG35" s="12"/>
    </row>
    <row r="36" spans="2:33" s="6" customFormat="1" ht="12" customHeight="1">
      <c r="B36" s="155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5"/>
    </row>
    <row r="37" spans="2:33" s="6" customFormat="1" ht="12" customHeight="1">
      <c r="B37" s="153"/>
      <c r="AG37" s="12"/>
    </row>
    <row r="38" spans="2:33" s="6" customFormat="1" ht="12" customHeight="1">
      <c r="B38" s="36"/>
      <c r="AG38" s="12"/>
    </row>
    <row r="39" spans="2:33" s="6" customFormat="1" ht="12" customHeight="1">
      <c r="B39" s="36"/>
      <c r="AG39" s="12"/>
    </row>
    <row r="40" spans="2:33" s="6" customFormat="1" ht="12" customHeight="1">
      <c r="B40" s="36"/>
      <c r="AG40" s="12"/>
    </row>
    <row r="41" spans="2:33" s="6" customFormat="1" ht="12" customHeight="1">
      <c r="B41" s="153"/>
      <c r="AG41" s="12"/>
    </row>
    <row r="42" spans="2:33" s="6" customFormat="1" ht="12" customHeight="1">
      <c r="B42" s="153"/>
      <c r="AG42" s="12"/>
    </row>
    <row r="43" spans="2:33" s="6" customFormat="1" ht="12" customHeight="1">
      <c r="B43" s="36"/>
      <c r="AG43" s="12"/>
    </row>
    <row r="44" spans="2:33" s="6" customFormat="1" ht="12" customHeight="1">
      <c r="B44" s="36"/>
      <c r="AG44" s="12"/>
    </row>
    <row r="45" spans="2:33" s="6" customFormat="1" ht="12" customHeight="1">
      <c r="B45" s="36"/>
      <c r="AG45" s="12"/>
    </row>
    <row r="46" spans="2:33" s="6" customFormat="1" ht="12" customHeight="1" thickBot="1">
      <c r="B46" s="35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8"/>
    </row>
    <row r="47" spans="2:33" s="6" customFormat="1" ht="6" customHeight="1">
      <c r="B47" s="34"/>
      <c r="AG47" s="12"/>
    </row>
    <row r="48" spans="2:33" s="18" customFormat="1" ht="15" customHeight="1">
      <c r="B48" s="33">
        <v>1</v>
      </c>
      <c r="C48" s="32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0"/>
    </row>
    <row r="49" spans="2:55" s="18" customFormat="1" ht="15" customHeight="1">
      <c r="B49" s="29">
        <v>2</v>
      </c>
      <c r="C49" s="28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6"/>
    </row>
    <row r="50" spans="2:55" s="18" customFormat="1" ht="15" customHeight="1">
      <c r="B50" s="29">
        <v>3</v>
      </c>
      <c r="C50" s="28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6"/>
    </row>
    <row r="51" spans="2:55" s="18" customFormat="1" ht="15" customHeight="1">
      <c r="B51" s="29">
        <v>4</v>
      </c>
      <c r="C51" s="28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6"/>
    </row>
    <row r="52" spans="2:55" s="18" customFormat="1" ht="15" customHeight="1">
      <c r="B52" s="22">
        <v>5</v>
      </c>
      <c r="C52" s="28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6"/>
    </row>
    <row r="53" spans="2:55" s="18" customFormat="1" ht="15" customHeight="1">
      <c r="B53" s="22" t="s">
        <v>13</v>
      </c>
      <c r="C53" s="25" t="str">
        <f t="shared" ref="C53:AG53" si="0">IF(ISERR(AVERAGE(C48:C52))," ",AVERAGE(C48:C52))</f>
        <v xml:space="preserve"> </v>
      </c>
      <c r="D53" s="24" t="str">
        <f t="shared" si="0"/>
        <v xml:space="preserve"> </v>
      </c>
      <c r="E53" s="24" t="str">
        <f t="shared" si="0"/>
        <v xml:space="preserve"> </v>
      </c>
      <c r="F53" s="24" t="str">
        <f t="shared" si="0"/>
        <v xml:space="preserve"> </v>
      </c>
      <c r="G53" s="24" t="str">
        <f t="shared" si="0"/>
        <v xml:space="preserve"> </v>
      </c>
      <c r="H53" s="24" t="str">
        <f t="shared" si="0"/>
        <v xml:space="preserve"> </v>
      </c>
      <c r="I53" s="24" t="str">
        <f t="shared" si="0"/>
        <v xml:space="preserve"> </v>
      </c>
      <c r="J53" s="24" t="str">
        <f t="shared" si="0"/>
        <v xml:space="preserve"> </v>
      </c>
      <c r="K53" s="24" t="str">
        <f t="shared" si="0"/>
        <v xml:space="preserve"> </v>
      </c>
      <c r="L53" s="24" t="str">
        <f t="shared" si="0"/>
        <v xml:space="preserve"> </v>
      </c>
      <c r="M53" s="24" t="str">
        <f t="shared" si="0"/>
        <v xml:space="preserve"> </v>
      </c>
      <c r="N53" s="24" t="str">
        <f t="shared" si="0"/>
        <v xml:space="preserve"> </v>
      </c>
      <c r="O53" s="24" t="str">
        <f t="shared" si="0"/>
        <v xml:space="preserve"> </v>
      </c>
      <c r="P53" s="24" t="str">
        <f t="shared" si="0"/>
        <v xml:space="preserve"> </v>
      </c>
      <c r="Q53" s="24" t="str">
        <f t="shared" si="0"/>
        <v xml:space="preserve"> </v>
      </c>
      <c r="R53" s="24" t="str">
        <f t="shared" si="0"/>
        <v xml:space="preserve"> </v>
      </c>
      <c r="S53" s="24" t="str">
        <f t="shared" si="0"/>
        <v xml:space="preserve"> </v>
      </c>
      <c r="T53" s="24" t="str">
        <f t="shared" si="0"/>
        <v xml:space="preserve"> </v>
      </c>
      <c r="U53" s="24" t="str">
        <f t="shared" si="0"/>
        <v xml:space="preserve"> </v>
      </c>
      <c r="V53" s="24" t="str">
        <f t="shared" si="0"/>
        <v xml:space="preserve"> </v>
      </c>
      <c r="W53" s="24" t="str">
        <f t="shared" si="0"/>
        <v xml:space="preserve"> </v>
      </c>
      <c r="X53" s="24" t="str">
        <f t="shared" si="0"/>
        <v xml:space="preserve"> </v>
      </c>
      <c r="Y53" s="24" t="str">
        <f t="shared" si="0"/>
        <v xml:space="preserve"> </v>
      </c>
      <c r="Z53" s="24" t="str">
        <f t="shared" si="0"/>
        <v xml:space="preserve"> </v>
      </c>
      <c r="AA53" s="24" t="str">
        <f t="shared" si="0"/>
        <v xml:space="preserve"> </v>
      </c>
      <c r="AB53" s="24" t="str">
        <f t="shared" si="0"/>
        <v xml:space="preserve"> </v>
      </c>
      <c r="AC53" s="24" t="str">
        <f t="shared" si="0"/>
        <v xml:space="preserve"> </v>
      </c>
      <c r="AD53" s="24" t="str">
        <f t="shared" si="0"/>
        <v xml:space="preserve"> </v>
      </c>
      <c r="AE53" s="24" t="str">
        <f t="shared" si="0"/>
        <v xml:space="preserve"> </v>
      </c>
      <c r="AF53" s="24" t="str">
        <f t="shared" si="0"/>
        <v xml:space="preserve"> </v>
      </c>
      <c r="AG53" s="23" t="str">
        <f t="shared" si="0"/>
        <v xml:space="preserve"> </v>
      </c>
    </row>
    <row r="54" spans="2:55" s="18" customFormat="1" ht="15" customHeight="1">
      <c r="B54" s="22" t="s">
        <v>3</v>
      </c>
      <c r="C54" s="117">
        <f t="shared" ref="C54:AG54" si="1">MAX(C48:C52)-MIN(C48:C52)</f>
        <v>0</v>
      </c>
      <c r="D54" s="118">
        <f t="shared" si="1"/>
        <v>0</v>
      </c>
      <c r="E54" s="118">
        <f t="shared" si="1"/>
        <v>0</v>
      </c>
      <c r="F54" s="118">
        <f t="shared" si="1"/>
        <v>0</v>
      </c>
      <c r="G54" s="118">
        <f t="shared" si="1"/>
        <v>0</v>
      </c>
      <c r="H54" s="118">
        <f t="shared" si="1"/>
        <v>0</v>
      </c>
      <c r="I54" s="118">
        <f t="shared" si="1"/>
        <v>0</v>
      </c>
      <c r="J54" s="118">
        <f t="shared" si="1"/>
        <v>0</v>
      </c>
      <c r="K54" s="118">
        <f t="shared" si="1"/>
        <v>0</v>
      </c>
      <c r="L54" s="118">
        <f t="shared" si="1"/>
        <v>0</v>
      </c>
      <c r="M54" s="118">
        <f t="shared" si="1"/>
        <v>0</v>
      </c>
      <c r="N54" s="118">
        <f t="shared" si="1"/>
        <v>0</v>
      </c>
      <c r="O54" s="118">
        <f t="shared" si="1"/>
        <v>0</v>
      </c>
      <c r="P54" s="118">
        <f t="shared" si="1"/>
        <v>0</v>
      </c>
      <c r="Q54" s="118">
        <f t="shared" si="1"/>
        <v>0</v>
      </c>
      <c r="R54" s="21">
        <f t="shared" si="1"/>
        <v>0</v>
      </c>
      <c r="S54" s="21">
        <f t="shared" si="1"/>
        <v>0</v>
      </c>
      <c r="T54" s="21">
        <f t="shared" si="1"/>
        <v>0</v>
      </c>
      <c r="U54" s="21">
        <f t="shared" si="1"/>
        <v>0</v>
      </c>
      <c r="V54" s="21">
        <f t="shared" si="1"/>
        <v>0</v>
      </c>
      <c r="W54" s="21">
        <f t="shared" si="1"/>
        <v>0</v>
      </c>
      <c r="X54" s="21">
        <f t="shared" si="1"/>
        <v>0</v>
      </c>
      <c r="Y54" s="21">
        <f t="shared" si="1"/>
        <v>0</v>
      </c>
      <c r="Z54" s="21">
        <f t="shared" si="1"/>
        <v>0</v>
      </c>
      <c r="AA54" s="21">
        <f t="shared" si="1"/>
        <v>0</v>
      </c>
      <c r="AB54" s="21">
        <f t="shared" si="1"/>
        <v>0</v>
      </c>
      <c r="AC54" s="21">
        <f t="shared" si="1"/>
        <v>0</v>
      </c>
      <c r="AD54" s="21">
        <f t="shared" si="1"/>
        <v>0</v>
      </c>
      <c r="AE54" s="21">
        <f t="shared" si="1"/>
        <v>0</v>
      </c>
      <c r="AF54" s="21">
        <f t="shared" si="1"/>
        <v>0</v>
      </c>
      <c r="AG54" s="20">
        <f t="shared" si="1"/>
        <v>0</v>
      </c>
    </row>
    <row r="55" spans="2:55" s="18" customFormat="1" ht="20.100000000000001" customHeight="1">
      <c r="B55" s="19" t="s">
        <v>18</v>
      </c>
      <c r="C55" s="119"/>
      <c r="D55" s="120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120"/>
      <c r="R55" s="120"/>
      <c r="S55" s="120"/>
      <c r="T55" s="120"/>
      <c r="U55" s="120"/>
      <c r="V55" s="120"/>
      <c r="W55" s="120"/>
      <c r="X55" s="120"/>
      <c r="Y55" s="120"/>
      <c r="Z55" s="120"/>
      <c r="AA55" s="120"/>
      <c r="AB55" s="120"/>
      <c r="AC55" s="120"/>
      <c r="AD55" s="120"/>
      <c r="AE55" s="120"/>
      <c r="AF55" s="120"/>
      <c r="AG55" s="121"/>
    </row>
    <row r="56" spans="2:55" s="18" customFormat="1" ht="26.25" thickBot="1">
      <c r="B56" s="139" t="str">
        <f>'P6 - Esp. Lado'!B56</f>
        <v xml:space="preserve">Visto do Lider / Sublíder </v>
      </c>
      <c r="C56" s="122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4"/>
    </row>
    <row r="57" spans="2:55" s="6" customFormat="1" ht="20.100000000000001" customHeight="1">
      <c r="B57" s="156" t="s">
        <v>17</v>
      </c>
      <c r="C57" s="157"/>
      <c r="D57" s="157"/>
      <c r="E57" s="158"/>
      <c r="F57" s="17" t="s">
        <v>16</v>
      </c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5"/>
    </row>
    <row r="58" spans="2:55" s="6" customFormat="1" ht="20.100000000000001" customHeight="1">
      <c r="B58" s="14"/>
      <c r="C58" s="13" t="s">
        <v>15</v>
      </c>
      <c r="D58" s="13"/>
      <c r="E58" s="12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6"/>
    </row>
    <row r="59" spans="2:55" s="6" customFormat="1" ht="20.100000000000001" customHeight="1">
      <c r="B59" s="159" t="s">
        <v>14</v>
      </c>
      <c r="C59" s="160"/>
      <c r="D59" s="160"/>
      <c r="E59" s="12"/>
      <c r="F59" s="125"/>
      <c r="G59" s="125"/>
      <c r="H59" s="125"/>
      <c r="I59" s="125"/>
      <c r="J59" s="125"/>
      <c r="K59" s="125"/>
      <c r="L59" s="125"/>
      <c r="M59" s="125"/>
      <c r="N59" s="125"/>
      <c r="O59" s="127"/>
      <c r="P59" s="125"/>
      <c r="Q59" s="125"/>
      <c r="R59" s="125"/>
      <c r="S59" s="125"/>
      <c r="T59" s="125"/>
      <c r="U59" s="125"/>
      <c r="V59" s="125"/>
      <c r="W59" s="125"/>
      <c r="X59" s="125"/>
      <c r="Y59" s="125"/>
      <c r="Z59" s="125"/>
      <c r="AA59" s="125"/>
      <c r="AB59" s="125"/>
      <c r="AC59" s="125"/>
      <c r="AD59" s="125"/>
      <c r="AE59" s="125"/>
      <c r="AF59" s="125"/>
      <c r="AG59" s="126"/>
    </row>
    <row r="60" spans="2:55" s="6" customFormat="1" ht="20.100000000000001" customHeight="1" thickBot="1">
      <c r="B60" s="11"/>
      <c r="C60" s="10" t="s">
        <v>13</v>
      </c>
      <c r="D60" s="9"/>
      <c r="E60" s="8"/>
      <c r="F60" s="128"/>
      <c r="G60" s="128"/>
      <c r="H60" s="128"/>
      <c r="I60" s="128"/>
      <c r="J60" s="128"/>
      <c r="K60" s="128"/>
      <c r="L60" s="128"/>
      <c r="M60" s="128"/>
      <c r="N60" s="128"/>
      <c r="O60" s="128"/>
      <c r="P60" s="128"/>
      <c r="Q60" s="128"/>
      <c r="R60" s="128"/>
      <c r="S60" s="128"/>
      <c r="T60" s="128"/>
      <c r="U60" s="128"/>
      <c r="V60" s="128"/>
      <c r="W60" s="128"/>
      <c r="X60" s="128"/>
      <c r="Y60" s="128"/>
      <c r="Z60" s="128"/>
      <c r="AA60" s="128"/>
      <c r="AB60" s="128"/>
      <c r="AC60" s="128"/>
      <c r="AD60" s="128"/>
      <c r="AE60" s="128"/>
      <c r="AF60" s="128"/>
      <c r="AG60" s="129"/>
    </row>
    <row r="61" spans="2:55" s="6" customFormat="1" ht="7.5" customHeight="1"/>
    <row r="62" spans="2:55" s="6" customFormat="1" ht="15.75">
      <c r="B62" s="161" t="s">
        <v>12</v>
      </c>
      <c r="C62" s="144"/>
      <c r="D62" s="144"/>
      <c r="E62" s="144"/>
      <c r="F62" s="144"/>
      <c r="G62" s="142" t="s">
        <v>11</v>
      </c>
      <c r="H62" s="142"/>
      <c r="I62" s="142"/>
      <c r="J62" s="142"/>
      <c r="K62" s="151"/>
      <c r="L62" s="142" t="s">
        <v>10</v>
      </c>
      <c r="M62" s="142"/>
      <c r="N62" s="142"/>
      <c r="O62" s="142"/>
      <c r="P62" s="142"/>
      <c r="Q62" s="142"/>
      <c r="R62" s="142"/>
      <c r="S62" s="144" t="s">
        <v>9</v>
      </c>
      <c r="T62" s="144"/>
      <c r="U62" s="144"/>
      <c r="V62" s="144"/>
      <c r="W62" s="146" t="s">
        <v>51</v>
      </c>
      <c r="X62" s="144"/>
      <c r="Y62" s="144"/>
      <c r="Z62" s="144"/>
      <c r="AA62" s="144"/>
      <c r="AB62" s="144"/>
      <c r="AC62" s="144" t="s">
        <v>11</v>
      </c>
      <c r="AD62" s="144"/>
      <c r="AE62" s="144"/>
      <c r="AF62" s="144"/>
      <c r="AG62" s="148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</row>
    <row r="63" spans="2:55" s="6" customFormat="1" ht="15.75">
      <c r="B63" s="162"/>
      <c r="C63" s="145"/>
      <c r="D63" s="145"/>
      <c r="E63" s="145"/>
      <c r="F63" s="145"/>
      <c r="G63" s="143"/>
      <c r="H63" s="143"/>
      <c r="I63" s="143"/>
      <c r="J63" s="143"/>
      <c r="K63" s="152"/>
      <c r="L63" s="143"/>
      <c r="M63" s="143"/>
      <c r="N63" s="143"/>
      <c r="O63" s="143"/>
      <c r="P63" s="143"/>
      <c r="Q63" s="143"/>
      <c r="R63" s="143"/>
      <c r="S63" s="145"/>
      <c r="T63" s="145"/>
      <c r="U63" s="145"/>
      <c r="V63" s="145"/>
      <c r="W63" s="147"/>
      <c r="X63" s="145"/>
      <c r="Y63" s="145"/>
      <c r="Z63" s="145"/>
      <c r="AA63" s="145"/>
      <c r="AB63" s="145"/>
      <c r="AC63" s="145"/>
      <c r="AD63" s="145"/>
      <c r="AE63" s="145"/>
      <c r="AF63" s="145"/>
      <c r="AG63" s="149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</row>
    <row r="64" spans="2:55" ht="14.25">
      <c r="B64" s="4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4"/>
      <c r="AS64" s="150"/>
      <c r="AT64" s="150"/>
      <c r="AU64" s="150"/>
      <c r="AV64" s="150"/>
      <c r="AW64" s="150"/>
      <c r="AX64" s="150"/>
      <c r="AY64" s="150"/>
      <c r="AZ64" s="150"/>
      <c r="BA64" s="150"/>
      <c r="BB64" s="150"/>
      <c r="BC64" s="150"/>
    </row>
    <row r="65" spans="2:5">
      <c r="B65" s="1" t="s">
        <v>8</v>
      </c>
    </row>
    <row r="66" spans="2:5">
      <c r="B66" s="1" t="s">
        <v>7</v>
      </c>
      <c r="C66" s="2" t="e">
        <f>AVERAGE(C53:AG53)+0.577*C69</f>
        <v>#DIV/0!</v>
      </c>
    </row>
    <row r="67" spans="2:5">
      <c r="B67" s="1" t="s">
        <v>6</v>
      </c>
      <c r="C67" s="2" t="e">
        <f>AVERAGE(C53:AG53)</f>
        <v>#DIV/0!</v>
      </c>
      <c r="D67" s="3" t="s">
        <v>5</v>
      </c>
      <c r="E67" s="1" t="e">
        <f>STDEV(C48:AF52)</f>
        <v>#DIV/0!</v>
      </c>
    </row>
    <row r="68" spans="2:5">
      <c r="B68" s="1" t="s">
        <v>4</v>
      </c>
      <c r="C68" s="2" t="e">
        <f>C67-0.577*C69</f>
        <v>#DIV/0!</v>
      </c>
    </row>
    <row r="69" spans="2:5">
      <c r="B69" s="1" t="s">
        <v>3</v>
      </c>
      <c r="C69" s="2" t="e">
        <f>2.115*(SUM(C54:AG54)/COUNTIF(C54:AG54,"&lt;&gt;0"))</f>
        <v>#DIV/0!</v>
      </c>
    </row>
    <row r="71" spans="2:5">
      <c r="B71" s="1" t="s">
        <v>2</v>
      </c>
    </row>
    <row r="73" spans="2:5">
      <c r="B73" s="1" t="s">
        <v>1</v>
      </c>
      <c r="C73" s="2" t="e">
        <f>E7/(6*E67)</f>
        <v>#DIV/0!</v>
      </c>
    </row>
    <row r="74" spans="2:5">
      <c r="B74" s="1" t="s">
        <v>0</v>
      </c>
      <c r="C74" s="2" t="e">
        <f>MIN((E4-C67)/(3*E67),(C67-E6)/(3*E67))</f>
        <v>#DIV/0!</v>
      </c>
    </row>
    <row r="75" spans="2:5">
      <c r="C75" s="1">
        <f>COUNTIF(C10:AG10,"&gt;0")</f>
        <v>0</v>
      </c>
    </row>
  </sheetData>
  <sheetProtection algorithmName="SHA-512" hashValue="UxmHxLZ1J895ZXIxyHOPgLzzcmjkG72jvUwPU+wqcYdM+7WblWAp6/emKs6Hqx1U61b7mCyj2VA+KFWmo3R+EQ==" saltValue="FzjAIdOzyYZuD9aPYyUv5A==" spinCount="100000" sheet="1" objects="1" scenarios="1" selectLockedCells="1"/>
  <mergeCells count="29">
    <mergeCell ref="B21:B22"/>
    <mergeCell ref="I2:J3"/>
    <mergeCell ref="K2:L3"/>
    <mergeCell ref="M2:Q3"/>
    <mergeCell ref="R2:T2"/>
    <mergeCell ref="R3:T3"/>
    <mergeCell ref="AD4:AG5"/>
    <mergeCell ref="B13:B14"/>
    <mergeCell ref="B15:B16"/>
    <mergeCell ref="B17:B18"/>
    <mergeCell ref="B19:B20"/>
    <mergeCell ref="Z4:AC5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L62:R63"/>
    <mergeCell ref="S62:V63"/>
    <mergeCell ref="W62:AB63"/>
    <mergeCell ref="AC62:AG63"/>
    <mergeCell ref="AS64:BC64"/>
  </mergeCells>
  <conditionalFormatting sqref="C48:AG52">
    <cfRule type="expression" dxfId="7" priority="1">
      <formula>((C48&gt;=$G$4)+(C48&lt;=$G$6))*(C48&gt;0)</formula>
    </cfRule>
  </conditionalFormatting>
  <dataValidations count="3">
    <dataValidation type="whole" showErrorMessage="1" errorTitle="Data" error="Digite apenas o dia entre 1 e 31" sqref="C10:D10" xr:uid="{00000000-0002-0000-0200-000000000000}">
      <formula1>1</formula1>
      <formula2>31</formula2>
    </dataValidation>
    <dataValidation type="list" showErrorMessage="1" promptTitle="Turno" prompt="Escolha" sqref="C11:AG11" xr:uid="{00000000-0002-0000-0200-000001000000}">
      <formula1>Turnos</formula1>
    </dataValidation>
    <dataValidation type="whole" showInputMessage="1" showErrorMessage="1" errorTitle="Data" error="Digite apenas o dia entre 1 e 31" sqref="E10:AG10" xr:uid="{00000000-0002-0000-0200-000002000000}">
      <formula1>1</formula1>
      <formula2>31</formula2>
    </dataValidation>
  </dataValidations>
  <printOptions horizontalCentered="1"/>
  <pageMargins left="0" right="0" top="0.59055118110236227" bottom="0.39370078740157483" header="0.39370078740157483" footer="0.23622047244094491"/>
  <pageSetup paperSize="9" scale="60" orientation="landscape" r:id="rId1"/>
  <headerFooter alignWithMargins="0">
    <oddFooter xml:space="preserve">&amp;RSJCPIL-R 15-074-02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indexed="47"/>
    <pageSetUpPr fitToPage="1"/>
  </sheetPr>
  <dimension ref="B1:BC75"/>
  <sheetViews>
    <sheetView showZeros="0" topLeftCell="A12" zoomScaleNormal="100" workbookViewId="0">
      <selection activeCell="H55" sqref="H55"/>
    </sheetView>
  </sheetViews>
  <sheetFormatPr defaultColWidth="10.28515625" defaultRowHeight="12.75"/>
  <cols>
    <col min="1" max="1" width="1.5703125" style="1" customWidth="1"/>
    <col min="2" max="2" width="16.140625" style="1" customWidth="1"/>
    <col min="3" max="33" width="6.7109375" style="1" customWidth="1"/>
    <col min="34" max="34" width="3.140625" style="1" customWidth="1"/>
    <col min="35" max="55" width="6.7109375" style="1" customWidth="1"/>
    <col min="56" max="16384" width="10.28515625" style="1"/>
  </cols>
  <sheetData>
    <row r="1" spans="2:50" ht="21.75" thickBot="1">
      <c r="B1" s="86" t="s">
        <v>40</v>
      </c>
      <c r="C1" s="100"/>
      <c r="D1" s="100"/>
      <c r="E1" s="100"/>
      <c r="F1" s="101"/>
      <c r="G1" s="101"/>
      <c r="H1" s="99"/>
      <c r="I1" s="102" t="s">
        <v>39</v>
      </c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4"/>
      <c r="AX1" s="83"/>
    </row>
    <row r="2" spans="2:50" s="77" customFormat="1" ht="19.5" customHeight="1">
      <c r="B2" s="87" t="s">
        <v>41</v>
      </c>
      <c r="C2" s="88"/>
      <c r="D2" s="103"/>
      <c r="E2" s="103"/>
      <c r="F2" s="104"/>
      <c r="G2" s="104"/>
      <c r="H2" s="98"/>
      <c r="I2" s="169" t="s">
        <v>38</v>
      </c>
      <c r="J2" s="170"/>
      <c r="K2" s="173" t="s">
        <v>37</v>
      </c>
      <c r="L2" s="174"/>
      <c r="M2" s="177" t="s">
        <v>50</v>
      </c>
      <c r="N2" s="178"/>
      <c r="O2" s="178"/>
      <c r="P2" s="178"/>
      <c r="Q2" s="179"/>
      <c r="R2" s="183" t="s">
        <v>36</v>
      </c>
      <c r="S2" s="184"/>
      <c r="T2" s="185"/>
      <c r="U2" s="82" t="s">
        <v>46</v>
      </c>
      <c r="V2" s="81"/>
      <c r="W2" s="81"/>
      <c r="X2" s="81"/>
      <c r="Y2" s="81"/>
      <c r="Z2" s="80"/>
      <c r="AA2" s="80"/>
      <c r="AB2" s="80"/>
      <c r="AC2" s="80"/>
      <c r="AD2" s="80"/>
      <c r="AE2" s="79"/>
      <c r="AF2" s="79"/>
      <c r="AG2" s="78"/>
    </row>
    <row r="3" spans="2:50" ht="16.899999999999999" customHeight="1" thickBot="1">
      <c r="B3" s="76"/>
      <c r="I3" s="171"/>
      <c r="J3" s="172"/>
      <c r="K3" s="175"/>
      <c r="L3" s="176"/>
      <c r="M3" s="180"/>
      <c r="N3" s="181"/>
      <c r="O3" s="181"/>
      <c r="P3" s="181"/>
      <c r="Q3" s="182"/>
      <c r="R3" s="186" t="s">
        <v>34</v>
      </c>
      <c r="S3" s="187"/>
      <c r="T3" s="188"/>
      <c r="U3" s="75" t="s">
        <v>42</v>
      </c>
      <c r="V3" s="74"/>
      <c r="W3" s="74"/>
      <c r="X3" s="74"/>
      <c r="Y3" s="74"/>
      <c r="Z3" s="74"/>
      <c r="AA3" s="74"/>
      <c r="AB3" s="74"/>
      <c r="AC3" s="74"/>
      <c r="AD3" s="74"/>
      <c r="AE3" s="73"/>
      <c r="AF3" s="73"/>
      <c r="AG3" s="72"/>
    </row>
    <row r="4" spans="2:50" s="13" customFormat="1" ht="16.899999999999999" customHeight="1">
      <c r="B4" s="71" t="s">
        <v>32</v>
      </c>
      <c r="C4" s="70"/>
      <c r="D4" s="105" t="s">
        <v>43</v>
      </c>
      <c r="E4" s="89">
        <f>E5+0.03</f>
        <v>0.32999999999999996</v>
      </c>
      <c r="F4" s="106" t="s">
        <v>23</v>
      </c>
      <c r="G4" s="130">
        <f>G5+0.02</f>
        <v>0.32</v>
      </c>
      <c r="H4" s="108"/>
      <c r="I4" s="109"/>
      <c r="Z4" s="167" t="str">
        <f ca="1">'P6 - Esp. Lado'!Z4:AC5</f>
        <v>MÊS: 03</v>
      </c>
      <c r="AA4" s="163"/>
      <c r="AB4" s="163"/>
      <c r="AC4" s="163"/>
      <c r="AD4" s="163" t="str">
        <f ca="1">'P6 - Esp. Lado'!AD4:AG5</f>
        <v>ANO: 2022</v>
      </c>
      <c r="AE4" s="163"/>
      <c r="AF4" s="163"/>
      <c r="AG4" s="164"/>
    </row>
    <row r="5" spans="2:50" s="13" customFormat="1" ht="16.899999999999999" customHeight="1" thickBot="1">
      <c r="B5" s="65" t="s">
        <v>49</v>
      </c>
      <c r="C5" s="90" t="s">
        <v>6</v>
      </c>
      <c r="D5" s="110" t="s">
        <v>31</v>
      </c>
      <c r="E5" s="91">
        <v>0.3</v>
      </c>
      <c r="F5" s="111" t="s">
        <v>31</v>
      </c>
      <c r="G5" s="131">
        <v>0.3</v>
      </c>
      <c r="H5" s="108"/>
      <c r="I5" s="13" t="s">
        <v>29</v>
      </c>
      <c r="R5" s="13" t="s">
        <v>28</v>
      </c>
      <c r="Z5" s="168"/>
      <c r="AA5" s="165"/>
      <c r="AB5" s="165"/>
      <c r="AC5" s="165"/>
      <c r="AD5" s="165"/>
      <c r="AE5" s="165"/>
      <c r="AF5" s="165"/>
      <c r="AG5" s="166"/>
    </row>
    <row r="6" spans="2:50" s="13" customFormat="1" ht="16.899999999999999" customHeight="1">
      <c r="B6" s="60" t="s">
        <v>27</v>
      </c>
      <c r="C6" s="92"/>
      <c r="D6" s="110" t="s">
        <v>44</v>
      </c>
      <c r="E6" s="91">
        <f>E5-0.03</f>
        <v>0.27</v>
      </c>
      <c r="F6" s="111" t="s">
        <v>26</v>
      </c>
      <c r="G6" s="131">
        <f>G5-0.02</f>
        <v>0.27999999999999997</v>
      </c>
      <c r="H6" s="108"/>
      <c r="I6" s="13" t="s">
        <v>25</v>
      </c>
      <c r="R6" s="13" t="s">
        <v>24</v>
      </c>
      <c r="AC6" s="55"/>
      <c r="AD6" s="55"/>
      <c r="AG6" s="54"/>
    </row>
    <row r="7" spans="2:50" s="13" customFormat="1" ht="16.899999999999999" customHeight="1" thickBot="1">
      <c r="B7" s="53"/>
      <c r="C7" s="93" t="s">
        <v>3</v>
      </c>
      <c r="D7" s="112" t="s">
        <v>43</v>
      </c>
      <c r="E7" s="94">
        <f>E4-E6</f>
        <v>5.9999999999999942E-2</v>
      </c>
      <c r="F7" s="113" t="s">
        <v>23</v>
      </c>
      <c r="G7" s="132">
        <f>G4-G6</f>
        <v>4.0000000000000036E-2</v>
      </c>
      <c r="H7" s="115"/>
      <c r="I7" s="47" t="s">
        <v>22</v>
      </c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8"/>
      <c r="AD7" s="48"/>
      <c r="AE7" s="47"/>
      <c r="AF7" s="47"/>
      <c r="AG7" s="46"/>
    </row>
    <row r="8" spans="2:50" s="13" customFormat="1" ht="4.5" customHeight="1" thickBot="1"/>
    <row r="9" spans="2:50" s="6" customFormat="1">
      <c r="B9" s="45" t="s">
        <v>21</v>
      </c>
      <c r="C9" s="44">
        <v>1</v>
      </c>
      <c r="D9" s="44">
        <v>2</v>
      </c>
      <c r="E9" s="44">
        <v>3</v>
      </c>
      <c r="F9" s="44">
        <v>4</v>
      </c>
      <c r="G9" s="44">
        <v>5</v>
      </c>
      <c r="H9" s="44">
        <v>6</v>
      </c>
      <c r="I9" s="44">
        <v>7</v>
      </c>
      <c r="J9" s="44">
        <v>8</v>
      </c>
      <c r="K9" s="44">
        <v>9</v>
      </c>
      <c r="L9" s="44">
        <v>10</v>
      </c>
      <c r="M9" s="44">
        <v>11</v>
      </c>
      <c r="N9" s="44">
        <v>12</v>
      </c>
      <c r="O9" s="44">
        <v>13</v>
      </c>
      <c r="P9" s="44">
        <v>14</v>
      </c>
      <c r="Q9" s="44">
        <v>15</v>
      </c>
      <c r="R9" s="44">
        <v>16</v>
      </c>
      <c r="S9" s="44">
        <v>17</v>
      </c>
      <c r="T9" s="44">
        <v>18</v>
      </c>
      <c r="U9" s="44">
        <v>19</v>
      </c>
      <c r="V9" s="44">
        <v>20</v>
      </c>
      <c r="W9" s="44">
        <v>21</v>
      </c>
      <c r="X9" s="44">
        <v>22</v>
      </c>
      <c r="Y9" s="44">
        <v>23</v>
      </c>
      <c r="Z9" s="44">
        <v>24</v>
      </c>
      <c r="AA9" s="44">
        <v>25</v>
      </c>
      <c r="AB9" s="44">
        <v>26</v>
      </c>
      <c r="AC9" s="44">
        <v>27</v>
      </c>
      <c r="AD9" s="44">
        <v>28</v>
      </c>
      <c r="AE9" s="44">
        <v>29</v>
      </c>
      <c r="AF9" s="44">
        <v>30</v>
      </c>
      <c r="AG9" s="43">
        <v>31</v>
      </c>
    </row>
    <row r="10" spans="2:50" s="6" customFormat="1" ht="14.1" customHeight="1">
      <c r="B10" s="42" t="s">
        <v>20</v>
      </c>
      <c r="C10" s="116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39"/>
    </row>
    <row r="11" spans="2:50" s="6" customFormat="1" ht="14.1" customHeight="1">
      <c r="B11" s="41" t="s">
        <v>19</v>
      </c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39"/>
    </row>
    <row r="12" spans="2:50" s="6" customFormat="1" ht="12" customHeight="1">
      <c r="B12" s="38"/>
      <c r="AG12" s="12"/>
    </row>
    <row r="13" spans="2:50" s="6" customFormat="1" ht="12" customHeight="1">
      <c r="B13" s="153"/>
      <c r="AG13" s="12"/>
    </row>
    <row r="14" spans="2:50" s="6" customFormat="1" ht="12" customHeight="1">
      <c r="B14" s="153"/>
      <c r="AG14" s="12"/>
    </row>
    <row r="15" spans="2:50" s="6" customFormat="1" ht="12" customHeight="1">
      <c r="B15" s="154"/>
      <c r="AG15" s="12"/>
    </row>
    <row r="16" spans="2:50" s="6" customFormat="1" ht="12" customHeight="1">
      <c r="B16" s="154"/>
      <c r="AG16" s="12"/>
    </row>
    <row r="17" spans="2:33" s="6" customFormat="1" ht="12" customHeight="1">
      <c r="B17" s="154"/>
      <c r="AG17" s="12"/>
    </row>
    <row r="18" spans="2:33" s="6" customFormat="1" ht="12" customHeight="1">
      <c r="B18" s="154"/>
      <c r="AG18" s="12"/>
    </row>
    <row r="19" spans="2:33" s="6" customFormat="1" ht="12" customHeight="1">
      <c r="B19" s="154"/>
      <c r="AG19" s="12"/>
    </row>
    <row r="20" spans="2:33" s="6" customFormat="1" ht="12" customHeight="1">
      <c r="B20" s="154"/>
      <c r="AG20" s="12"/>
    </row>
    <row r="21" spans="2:33" s="6" customFormat="1" ht="12" customHeight="1">
      <c r="B21" s="154"/>
      <c r="AG21" s="12"/>
    </row>
    <row r="22" spans="2:33" s="6" customFormat="1" ht="12" customHeight="1">
      <c r="B22" s="154"/>
      <c r="AG22" s="12"/>
    </row>
    <row r="23" spans="2:33" s="6" customFormat="1" ht="12" customHeight="1">
      <c r="B23" s="153"/>
      <c r="AG23" s="12"/>
    </row>
    <row r="24" spans="2:33" s="6" customFormat="1" ht="12" customHeight="1">
      <c r="B24" s="153"/>
      <c r="AG24" s="12"/>
    </row>
    <row r="25" spans="2:33" s="6" customFormat="1" ht="12" customHeight="1">
      <c r="B25" s="154"/>
      <c r="AG25" s="12"/>
    </row>
    <row r="26" spans="2:33" s="6" customFormat="1" ht="12" customHeight="1">
      <c r="B26" s="154"/>
      <c r="AG26" s="12"/>
    </row>
    <row r="27" spans="2:33" s="6" customFormat="1" ht="12" customHeight="1">
      <c r="B27" s="154"/>
      <c r="AG27" s="12"/>
    </row>
    <row r="28" spans="2:33" s="6" customFormat="1" ht="12" customHeight="1">
      <c r="B28" s="154"/>
      <c r="AG28" s="12"/>
    </row>
    <row r="29" spans="2:33" s="6" customFormat="1" ht="12" customHeight="1">
      <c r="B29" s="154"/>
      <c r="AG29" s="12"/>
    </row>
    <row r="30" spans="2:33" s="6" customFormat="1" ht="12" customHeight="1">
      <c r="B30" s="154"/>
      <c r="AG30" s="12"/>
    </row>
    <row r="31" spans="2:33" s="6" customFormat="1" ht="12" customHeight="1">
      <c r="B31" s="154"/>
      <c r="AG31" s="12"/>
    </row>
    <row r="32" spans="2:33" s="6" customFormat="1" ht="12" customHeight="1">
      <c r="B32" s="154"/>
      <c r="AG32" s="12"/>
    </row>
    <row r="33" spans="2:33" s="6" customFormat="1" ht="12" customHeight="1">
      <c r="B33" s="153"/>
      <c r="AG33" s="12"/>
    </row>
    <row r="34" spans="2:33" s="6" customFormat="1" ht="12" customHeight="1">
      <c r="B34" s="153"/>
      <c r="AG34" s="12"/>
    </row>
    <row r="35" spans="2:33" s="6" customFormat="1" ht="12" customHeight="1" thickBot="1">
      <c r="B35" s="37"/>
      <c r="AG35" s="12"/>
    </row>
    <row r="36" spans="2:33" s="6" customFormat="1" ht="12" customHeight="1">
      <c r="B36" s="155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5"/>
    </row>
    <row r="37" spans="2:33" s="6" customFormat="1" ht="12" customHeight="1">
      <c r="B37" s="153"/>
      <c r="AG37" s="12"/>
    </row>
    <row r="38" spans="2:33" s="6" customFormat="1" ht="12" customHeight="1">
      <c r="B38" s="36"/>
      <c r="AG38" s="12"/>
    </row>
    <row r="39" spans="2:33" s="6" customFormat="1" ht="12" customHeight="1">
      <c r="B39" s="36"/>
      <c r="AG39" s="12"/>
    </row>
    <row r="40" spans="2:33" s="6" customFormat="1" ht="12" customHeight="1">
      <c r="B40" s="36"/>
      <c r="AG40" s="12"/>
    </row>
    <row r="41" spans="2:33" s="6" customFormat="1" ht="12" customHeight="1">
      <c r="B41" s="153"/>
      <c r="AG41" s="12"/>
    </row>
    <row r="42" spans="2:33" s="6" customFormat="1" ht="12" customHeight="1">
      <c r="B42" s="153"/>
      <c r="AG42" s="12"/>
    </row>
    <row r="43" spans="2:33" s="6" customFormat="1" ht="12" customHeight="1">
      <c r="B43" s="36"/>
      <c r="AG43" s="12"/>
    </row>
    <row r="44" spans="2:33" s="6" customFormat="1" ht="12" customHeight="1">
      <c r="B44" s="36"/>
      <c r="AG44" s="12"/>
    </row>
    <row r="45" spans="2:33" s="6" customFormat="1" ht="12" customHeight="1">
      <c r="B45" s="36"/>
      <c r="AG45" s="12"/>
    </row>
    <row r="46" spans="2:33" s="6" customFormat="1" ht="12" customHeight="1" thickBot="1">
      <c r="B46" s="35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8"/>
    </row>
    <row r="47" spans="2:33" s="6" customFormat="1" ht="6" customHeight="1">
      <c r="B47" s="34"/>
      <c r="AG47" s="12"/>
    </row>
    <row r="48" spans="2:33" s="18" customFormat="1" ht="15" customHeight="1">
      <c r="B48" s="33">
        <v>1</v>
      </c>
      <c r="C48" s="32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0"/>
    </row>
    <row r="49" spans="2:55" s="18" customFormat="1" ht="15" customHeight="1">
      <c r="B49" s="29">
        <v>2</v>
      </c>
      <c r="C49" s="28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6"/>
    </row>
    <row r="50" spans="2:55" s="18" customFormat="1" ht="15" customHeight="1">
      <c r="B50" s="29">
        <v>3</v>
      </c>
      <c r="C50" s="28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6"/>
    </row>
    <row r="51" spans="2:55" s="18" customFormat="1" ht="15" customHeight="1">
      <c r="B51" s="29">
        <v>4</v>
      </c>
      <c r="C51" s="28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6"/>
    </row>
    <row r="52" spans="2:55" s="18" customFormat="1" ht="15" customHeight="1">
      <c r="B52" s="22">
        <v>5</v>
      </c>
      <c r="C52" s="28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6"/>
    </row>
    <row r="53" spans="2:55" s="18" customFormat="1" ht="15" customHeight="1">
      <c r="B53" s="22" t="s">
        <v>13</v>
      </c>
      <c r="C53" s="25" t="str">
        <f t="shared" ref="C53:AG53" si="0">IF(ISERR(AVERAGE(C48:C52))," ",AVERAGE(C48:C52))</f>
        <v xml:space="preserve"> </v>
      </c>
      <c r="D53" s="24" t="str">
        <f t="shared" si="0"/>
        <v xml:space="preserve"> </v>
      </c>
      <c r="E53" s="24" t="str">
        <f t="shared" si="0"/>
        <v xml:space="preserve"> </v>
      </c>
      <c r="F53" s="24" t="str">
        <f t="shared" si="0"/>
        <v xml:space="preserve"> </v>
      </c>
      <c r="G53" s="24" t="str">
        <f t="shared" si="0"/>
        <v xml:space="preserve"> </v>
      </c>
      <c r="H53" s="24" t="str">
        <f t="shared" si="0"/>
        <v xml:space="preserve"> </v>
      </c>
      <c r="I53" s="24" t="str">
        <f t="shared" si="0"/>
        <v xml:space="preserve"> </v>
      </c>
      <c r="J53" s="24" t="str">
        <f t="shared" si="0"/>
        <v xml:space="preserve"> </v>
      </c>
      <c r="K53" s="24" t="str">
        <f t="shared" si="0"/>
        <v xml:space="preserve"> </v>
      </c>
      <c r="L53" s="24" t="str">
        <f t="shared" si="0"/>
        <v xml:space="preserve"> </v>
      </c>
      <c r="M53" s="24" t="str">
        <f t="shared" si="0"/>
        <v xml:space="preserve"> </v>
      </c>
      <c r="N53" s="24" t="str">
        <f t="shared" si="0"/>
        <v xml:space="preserve"> </v>
      </c>
      <c r="O53" s="24" t="str">
        <f t="shared" si="0"/>
        <v xml:space="preserve"> </v>
      </c>
      <c r="P53" s="24" t="str">
        <f t="shared" si="0"/>
        <v xml:space="preserve"> </v>
      </c>
      <c r="Q53" s="24" t="str">
        <f t="shared" si="0"/>
        <v xml:space="preserve"> </v>
      </c>
      <c r="R53" s="24" t="str">
        <f t="shared" si="0"/>
        <v xml:space="preserve"> </v>
      </c>
      <c r="S53" s="24" t="str">
        <f t="shared" si="0"/>
        <v xml:space="preserve"> </v>
      </c>
      <c r="T53" s="24" t="str">
        <f t="shared" si="0"/>
        <v xml:space="preserve"> </v>
      </c>
      <c r="U53" s="24" t="str">
        <f t="shared" si="0"/>
        <v xml:space="preserve"> </v>
      </c>
      <c r="V53" s="24" t="str">
        <f t="shared" si="0"/>
        <v xml:space="preserve"> </v>
      </c>
      <c r="W53" s="24" t="str">
        <f t="shared" si="0"/>
        <v xml:space="preserve"> </v>
      </c>
      <c r="X53" s="24" t="str">
        <f t="shared" si="0"/>
        <v xml:space="preserve"> </v>
      </c>
      <c r="Y53" s="24" t="str">
        <f t="shared" si="0"/>
        <v xml:space="preserve"> </v>
      </c>
      <c r="Z53" s="24" t="str">
        <f t="shared" si="0"/>
        <v xml:space="preserve"> </v>
      </c>
      <c r="AA53" s="24" t="str">
        <f t="shared" si="0"/>
        <v xml:space="preserve"> </v>
      </c>
      <c r="AB53" s="24" t="str">
        <f t="shared" si="0"/>
        <v xml:space="preserve"> </v>
      </c>
      <c r="AC53" s="24" t="str">
        <f t="shared" si="0"/>
        <v xml:space="preserve"> </v>
      </c>
      <c r="AD53" s="24" t="str">
        <f t="shared" si="0"/>
        <v xml:space="preserve"> </v>
      </c>
      <c r="AE53" s="24" t="str">
        <f t="shared" si="0"/>
        <v xml:space="preserve"> </v>
      </c>
      <c r="AF53" s="24" t="str">
        <f t="shared" si="0"/>
        <v xml:space="preserve"> </v>
      </c>
      <c r="AG53" s="23" t="str">
        <f t="shared" si="0"/>
        <v xml:space="preserve"> </v>
      </c>
    </row>
    <row r="54" spans="2:55" s="18" customFormat="1" ht="15" customHeight="1">
      <c r="B54" s="22" t="s">
        <v>3</v>
      </c>
      <c r="C54" s="117">
        <f t="shared" ref="C54:AG54" si="1">MAX(C48:C52)-MIN(C48:C52)</f>
        <v>0</v>
      </c>
      <c r="D54" s="118">
        <f t="shared" si="1"/>
        <v>0</v>
      </c>
      <c r="E54" s="118">
        <f t="shared" si="1"/>
        <v>0</v>
      </c>
      <c r="F54" s="118">
        <f t="shared" si="1"/>
        <v>0</v>
      </c>
      <c r="G54" s="118">
        <f t="shared" si="1"/>
        <v>0</v>
      </c>
      <c r="H54" s="118">
        <f t="shared" si="1"/>
        <v>0</v>
      </c>
      <c r="I54" s="118">
        <f t="shared" si="1"/>
        <v>0</v>
      </c>
      <c r="J54" s="118">
        <f t="shared" si="1"/>
        <v>0</v>
      </c>
      <c r="K54" s="118">
        <f t="shared" si="1"/>
        <v>0</v>
      </c>
      <c r="L54" s="118">
        <f t="shared" si="1"/>
        <v>0</v>
      </c>
      <c r="M54" s="118">
        <f t="shared" si="1"/>
        <v>0</v>
      </c>
      <c r="N54" s="118">
        <f t="shared" si="1"/>
        <v>0</v>
      </c>
      <c r="O54" s="118">
        <f t="shared" si="1"/>
        <v>0</v>
      </c>
      <c r="P54" s="118">
        <f t="shared" si="1"/>
        <v>0</v>
      </c>
      <c r="Q54" s="118">
        <f t="shared" si="1"/>
        <v>0</v>
      </c>
      <c r="R54" s="21">
        <f t="shared" si="1"/>
        <v>0</v>
      </c>
      <c r="S54" s="21">
        <f t="shared" si="1"/>
        <v>0</v>
      </c>
      <c r="T54" s="21">
        <f t="shared" si="1"/>
        <v>0</v>
      </c>
      <c r="U54" s="21">
        <f t="shared" si="1"/>
        <v>0</v>
      </c>
      <c r="V54" s="21">
        <f t="shared" si="1"/>
        <v>0</v>
      </c>
      <c r="W54" s="21">
        <f t="shared" si="1"/>
        <v>0</v>
      </c>
      <c r="X54" s="21">
        <f t="shared" si="1"/>
        <v>0</v>
      </c>
      <c r="Y54" s="21">
        <f t="shared" si="1"/>
        <v>0</v>
      </c>
      <c r="Z54" s="21">
        <f t="shared" si="1"/>
        <v>0</v>
      </c>
      <c r="AA54" s="21">
        <f t="shared" si="1"/>
        <v>0</v>
      </c>
      <c r="AB54" s="21">
        <f t="shared" si="1"/>
        <v>0</v>
      </c>
      <c r="AC54" s="21">
        <f t="shared" si="1"/>
        <v>0</v>
      </c>
      <c r="AD54" s="21">
        <f t="shared" si="1"/>
        <v>0</v>
      </c>
      <c r="AE54" s="21">
        <f t="shared" si="1"/>
        <v>0</v>
      </c>
      <c r="AF54" s="21">
        <f t="shared" si="1"/>
        <v>0</v>
      </c>
      <c r="AG54" s="20">
        <f t="shared" si="1"/>
        <v>0</v>
      </c>
    </row>
    <row r="55" spans="2:55" s="18" customFormat="1" ht="20.100000000000001" customHeight="1">
      <c r="B55" s="19" t="s">
        <v>18</v>
      </c>
      <c r="C55" s="119"/>
      <c r="D55" s="120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120"/>
      <c r="R55" s="120"/>
      <c r="S55" s="120"/>
      <c r="T55" s="120"/>
      <c r="U55" s="120"/>
      <c r="V55" s="120"/>
      <c r="W55" s="120"/>
      <c r="X55" s="120"/>
      <c r="Y55" s="120"/>
      <c r="Z55" s="120"/>
      <c r="AA55" s="120"/>
      <c r="AB55" s="120"/>
      <c r="AC55" s="120"/>
      <c r="AD55" s="120"/>
      <c r="AE55" s="120"/>
      <c r="AF55" s="120"/>
      <c r="AG55" s="121"/>
    </row>
    <row r="56" spans="2:55" s="18" customFormat="1" ht="26.25" thickBot="1">
      <c r="B56" s="139" t="str">
        <f>'P6 - Esp. Lado'!B56</f>
        <v xml:space="preserve">Visto do Lider / Sublíder </v>
      </c>
      <c r="C56" s="122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4"/>
    </row>
    <row r="57" spans="2:55" s="6" customFormat="1" ht="20.100000000000001" customHeight="1">
      <c r="B57" s="156" t="s">
        <v>17</v>
      </c>
      <c r="C57" s="157"/>
      <c r="D57" s="157"/>
      <c r="E57" s="158"/>
      <c r="F57" s="17" t="s">
        <v>16</v>
      </c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5"/>
    </row>
    <row r="58" spans="2:55" s="6" customFormat="1" ht="20.100000000000001" customHeight="1">
      <c r="B58" s="14"/>
      <c r="C58" s="13" t="s">
        <v>15</v>
      </c>
      <c r="D58" s="13"/>
      <c r="E58" s="12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6"/>
    </row>
    <row r="59" spans="2:55" s="6" customFormat="1" ht="20.100000000000001" customHeight="1">
      <c r="B59" s="159" t="s">
        <v>14</v>
      </c>
      <c r="C59" s="160"/>
      <c r="D59" s="160"/>
      <c r="E59" s="12"/>
      <c r="F59" s="125"/>
      <c r="G59" s="125"/>
      <c r="H59" s="125"/>
      <c r="I59" s="125"/>
      <c r="J59" s="125"/>
      <c r="K59" s="125"/>
      <c r="L59" s="125"/>
      <c r="M59" s="125"/>
      <c r="N59" s="125"/>
      <c r="O59" s="127"/>
      <c r="P59" s="125"/>
      <c r="Q59" s="125"/>
      <c r="R59" s="125"/>
      <c r="S59" s="125"/>
      <c r="T59" s="125"/>
      <c r="U59" s="125"/>
      <c r="V59" s="125"/>
      <c r="W59" s="125"/>
      <c r="X59" s="125"/>
      <c r="Y59" s="125"/>
      <c r="Z59" s="125"/>
      <c r="AA59" s="125"/>
      <c r="AB59" s="125"/>
      <c r="AC59" s="125"/>
      <c r="AD59" s="125"/>
      <c r="AE59" s="125"/>
      <c r="AF59" s="125"/>
      <c r="AG59" s="126"/>
    </row>
    <row r="60" spans="2:55" s="6" customFormat="1" ht="20.100000000000001" customHeight="1" thickBot="1">
      <c r="B60" s="11"/>
      <c r="C60" s="10" t="s">
        <v>13</v>
      </c>
      <c r="D60" s="9"/>
      <c r="E60" s="8"/>
      <c r="F60" s="128"/>
      <c r="G60" s="128"/>
      <c r="H60" s="128"/>
      <c r="I60" s="128"/>
      <c r="J60" s="128"/>
      <c r="K60" s="128"/>
      <c r="L60" s="128"/>
      <c r="M60" s="128"/>
      <c r="N60" s="128"/>
      <c r="O60" s="128"/>
      <c r="P60" s="128"/>
      <c r="Q60" s="128"/>
      <c r="R60" s="128"/>
      <c r="S60" s="128"/>
      <c r="T60" s="128"/>
      <c r="U60" s="128"/>
      <c r="V60" s="128"/>
      <c r="W60" s="128"/>
      <c r="X60" s="128"/>
      <c r="Y60" s="128"/>
      <c r="Z60" s="128"/>
      <c r="AA60" s="128"/>
      <c r="AB60" s="128"/>
      <c r="AC60" s="128"/>
      <c r="AD60" s="128"/>
      <c r="AE60" s="128"/>
      <c r="AF60" s="128"/>
      <c r="AG60" s="129"/>
    </row>
    <row r="61" spans="2:55" s="6" customFormat="1" ht="7.5" customHeight="1"/>
    <row r="62" spans="2:55" s="6" customFormat="1" ht="15.75">
      <c r="B62" s="161" t="s">
        <v>12</v>
      </c>
      <c r="C62" s="144"/>
      <c r="D62" s="144"/>
      <c r="E62" s="144"/>
      <c r="F62" s="144"/>
      <c r="G62" s="142" t="s">
        <v>11</v>
      </c>
      <c r="H62" s="142"/>
      <c r="I62" s="142"/>
      <c r="J62" s="142"/>
      <c r="K62" s="151"/>
      <c r="L62" s="142" t="s">
        <v>10</v>
      </c>
      <c r="M62" s="142"/>
      <c r="N62" s="142"/>
      <c r="O62" s="142"/>
      <c r="P62" s="142"/>
      <c r="Q62" s="142"/>
      <c r="R62" s="142"/>
      <c r="S62" s="144" t="s">
        <v>9</v>
      </c>
      <c r="T62" s="144"/>
      <c r="U62" s="144"/>
      <c r="V62" s="144"/>
      <c r="W62" s="146" t="s">
        <v>51</v>
      </c>
      <c r="X62" s="144"/>
      <c r="Y62" s="144"/>
      <c r="Z62" s="144"/>
      <c r="AA62" s="144"/>
      <c r="AB62" s="144"/>
      <c r="AC62" s="144" t="s">
        <v>11</v>
      </c>
      <c r="AD62" s="144"/>
      <c r="AE62" s="144"/>
      <c r="AF62" s="144"/>
      <c r="AG62" s="148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</row>
    <row r="63" spans="2:55" s="6" customFormat="1" ht="15.75">
      <c r="B63" s="162"/>
      <c r="C63" s="145"/>
      <c r="D63" s="145"/>
      <c r="E63" s="145"/>
      <c r="F63" s="145"/>
      <c r="G63" s="143"/>
      <c r="H63" s="143"/>
      <c r="I63" s="143"/>
      <c r="J63" s="143"/>
      <c r="K63" s="152"/>
      <c r="L63" s="143"/>
      <c r="M63" s="143"/>
      <c r="N63" s="143"/>
      <c r="O63" s="143"/>
      <c r="P63" s="143"/>
      <c r="Q63" s="143"/>
      <c r="R63" s="143"/>
      <c r="S63" s="145"/>
      <c r="T63" s="145"/>
      <c r="U63" s="145"/>
      <c r="V63" s="145"/>
      <c r="W63" s="147"/>
      <c r="X63" s="145"/>
      <c r="Y63" s="145"/>
      <c r="Z63" s="145"/>
      <c r="AA63" s="145"/>
      <c r="AB63" s="145"/>
      <c r="AC63" s="145"/>
      <c r="AD63" s="145"/>
      <c r="AE63" s="145"/>
      <c r="AF63" s="145"/>
      <c r="AG63" s="149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</row>
    <row r="64" spans="2:55" ht="14.25">
      <c r="B64" s="4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4"/>
      <c r="AS64" s="150"/>
      <c r="AT64" s="150"/>
      <c r="AU64" s="150"/>
      <c r="AV64" s="150"/>
      <c r="AW64" s="150"/>
      <c r="AX64" s="150"/>
      <c r="AY64" s="150"/>
      <c r="AZ64" s="150"/>
      <c r="BA64" s="150"/>
      <c r="BB64" s="150"/>
      <c r="BC64" s="150"/>
    </row>
    <row r="65" spans="2:5">
      <c r="B65" s="1" t="s">
        <v>8</v>
      </c>
    </row>
    <row r="66" spans="2:5">
      <c r="B66" s="1" t="s">
        <v>7</v>
      </c>
      <c r="C66" s="2" t="e">
        <f>AVERAGE(C53:AG53)+0.577*C69</f>
        <v>#DIV/0!</v>
      </c>
    </row>
    <row r="67" spans="2:5">
      <c r="B67" s="1" t="s">
        <v>6</v>
      </c>
      <c r="C67" s="2" t="e">
        <f>AVERAGE(C53:AG53)</f>
        <v>#DIV/0!</v>
      </c>
      <c r="D67" s="3" t="s">
        <v>5</v>
      </c>
      <c r="E67" s="1" t="e">
        <f>STDEV(C48:AF52)</f>
        <v>#DIV/0!</v>
      </c>
    </row>
    <row r="68" spans="2:5">
      <c r="B68" s="1" t="s">
        <v>4</v>
      </c>
      <c r="C68" s="2" t="e">
        <f>C67-0.577*C69</f>
        <v>#DIV/0!</v>
      </c>
    </row>
    <row r="69" spans="2:5">
      <c r="B69" s="1" t="s">
        <v>3</v>
      </c>
      <c r="C69" s="2" t="e">
        <f>2.115*(SUM(C54:AG54)/COUNTIF(C54:AG54,"&lt;&gt;0"))</f>
        <v>#DIV/0!</v>
      </c>
    </row>
    <row r="71" spans="2:5">
      <c r="B71" s="1" t="s">
        <v>2</v>
      </c>
    </row>
    <row r="73" spans="2:5">
      <c r="B73" s="1" t="s">
        <v>1</v>
      </c>
      <c r="C73" s="2" t="e">
        <f>E7/(6*E67)</f>
        <v>#DIV/0!</v>
      </c>
    </row>
    <row r="74" spans="2:5">
      <c r="B74" s="1" t="s">
        <v>0</v>
      </c>
      <c r="C74" s="2" t="e">
        <f>MIN((E4-C67)/(3*E67),(C67-E6)/(3*E67))</f>
        <v>#DIV/0!</v>
      </c>
    </row>
    <row r="75" spans="2:5">
      <c r="C75" s="1">
        <f>COUNTIF(C10:AG10,"&gt;0")</f>
        <v>0</v>
      </c>
    </row>
  </sheetData>
  <sheetProtection algorithmName="SHA-512" hashValue="nkuZjTchd+hv/TAqqW+qThfGwz+aOTOFuhHF/dyKkO7wgKnaatSGAzgQLGF3Mk6OyzKPaoJ9MFm9JBdyOUhWbg==" saltValue="JJ7vHyY7Ch5UGETh6pBq/w==" spinCount="100000" sheet="1" objects="1" scenarios="1" selectLockedCells="1"/>
  <mergeCells count="29">
    <mergeCell ref="B21:B22"/>
    <mergeCell ref="I2:J3"/>
    <mergeCell ref="K2:L3"/>
    <mergeCell ref="M2:Q3"/>
    <mergeCell ref="R2:T2"/>
    <mergeCell ref="R3:T3"/>
    <mergeCell ref="AD4:AG5"/>
    <mergeCell ref="B13:B14"/>
    <mergeCell ref="B15:B16"/>
    <mergeCell ref="B17:B18"/>
    <mergeCell ref="B19:B20"/>
    <mergeCell ref="Z4:AC5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L62:R63"/>
    <mergeCell ref="S62:V63"/>
    <mergeCell ref="W62:AB63"/>
    <mergeCell ref="AC62:AG63"/>
    <mergeCell ref="AS64:BC64"/>
  </mergeCells>
  <conditionalFormatting sqref="C48:AG52">
    <cfRule type="expression" dxfId="6" priority="1">
      <formula>((C48&gt;=$G$4)+(C48&lt;=$G$6))*(C48&gt;0)</formula>
    </cfRule>
  </conditionalFormatting>
  <dataValidations count="3">
    <dataValidation type="whole" showErrorMessage="1" errorTitle="Data" error="Digite apenas o dia entre 1 e 31" sqref="C10:D10" xr:uid="{00000000-0002-0000-0300-000000000000}">
      <formula1>1</formula1>
      <formula2>31</formula2>
    </dataValidation>
    <dataValidation type="list" showErrorMessage="1" promptTitle="Turno" prompt="Escolha" sqref="C11:AG11" xr:uid="{00000000-0002-0000-0300-000001000000}">
      <formula1>Turnos</formula1>
    </dataValidation>
    <dataValidation type="whole" showInputMessage="1" showErrorMessage="1" errorTitle="Data" error="Digite apenas o dia entre 1 e 31" sqref="E10:AG10" xr:uid="{00000000-0002-0000-0300-000002000000}">
      <formula1>1</formula1>
      <formula2>31</formula2>
    </dataValidation>
  </dataValidations>
  <printOptions horizontalCentered="1"/>
  <pageMargins left="0" right="0" top="0.59055118110236227" bottom="0.39370078740157483" header="0.39370078740157483" footer="0.23622047244094491"/>
  <pageSetup paperSize="9" scale="60" orientation="landscape" r:id="rId1"/>
  <headerFooter alignWithMargins="0">
    <oddFooter xml:space="preserve">&amp;RSJCPIL-R 15-074-02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indexed="47"/>
    <pageSetUpPr fitToPage="1"/>
  </sheetPr>
  <dimension ref="B1:BC75"/>
  <sheetViews>
    <sheetView showZeros="0" topLeftCell="A12" zoomScaleNormal="100" workbookViewId="0">
      <selection activeCell="H55" sqref="H55"/>
    </sheetView>
  </sheetViews>
  <sheetFormatPr defaultColWidth="10.28515625" defaultRowHeight="12.75"/>
  <cols>
    <col min="1" max="1" width="1.5703125" style="1" customWidth="1"/>
    <col min="2" max="2" width="16.140625" style="1" customWidth="1"/>
    <col min="3" max="33" width="6.7109375" style="1" customWidth="1"/>
    <col min="34" max="34" width="3.140625" style="1" customWidth="1"/>
    <col min="35" max="55" width="6.7109375" style="1" customWidth="1"/>
    <col min="56" max="16384" width="10.28515625" style="1"/>
  </cols>
  <sheetData>
    <row r="1" spans="2:50" ht="21.75" thickBot="1">
      <c r="B1" s="86" t="s">
        <v>40</v>
      </c>
      <c r="C1" s="100"/>
      <c r="D1" s="100"/>
      <c r="E1" s="100"/>
      <c r="F1" s="101"/>
      <c r="G1" s="101"/>
      <c r="H1" s="99"/>
      <c r="I1" s="102" t="s">
        <v>39</v>
      </c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4"/>
      <c r="AX1" s="83"/>
    </row>
    <row r="2" spans="2:50" s="77" customFormat="1" ht="19.5" customHeight="1">
      <c r="B2" s="87" t="s">
        <v>41</v>
      </c>
      <c r="C2" s="88"/>
      <c r="D2" s="103"/>
      <c r="E2" s="103"/>
      <c r="F2" s="104"/>
      <c r="G2" s="104"/>
      <c r="H2" s="98"/>
      <c r="I2" s="169" t="s">
        <v>38</v>
      </c>
      <c r="J2" s="170"/>
      <c r="K2" s="173" t="s">
        <v>37</v>
      </c>
      <c r="L2" s="174"/>
      <c r="M2" s="177" t="s">
        <v>50</v>
      </c>
      <c r="N2" s="178"/>
      <c r="O2" s="178"/>
      <c r="P2" s="178"/>
      <c r="Q2" s="179"/>
      <c r="R2" s="183" t="s">
        <v>36</v>
      </c>
      <c r="S2" s="184"/>
      <c r="T2" s="185"/>
      <c r="U2" s="82" t="s">
        <v>46</v>
      </c>
      <c r="V2" s="81"/>
      <c r="W2" s="81"/>
      <c r="X2" s="81"/>
      <c r="Y2" s="81"/>
      <c r="Z2" s="80"/>
      <c r="AA2" s="80"/>
      <c r="AB2" s="80"/>
      <c r="AC2" s="80"/>
      <c r="AD2" s="80"/>
      <c r="AE2" s="79"/>
      <c r="AF2" s="79"/>
      <c r="AG2" s="78"/>
    </row>
    <row r="3" spans="2:50" ht="16.899999999999999" customHeight="1" thickBot="1">
      <c r="B3" s="76"/>
      <c r="I3" s="171"/>
      <c r="J3" s="172"/>
      <c r="K3" s="175"/>
      <c r="L3" s="176"/>
      <c r="M3" s="180"/>
      <c r="N3" s="181"/>
      <c r="O3" s="181"/>
      <c r="P3" s="181"/>
      <c r="Q3" s="182"/>
      <c r="R3" s="186" t="s">
        <v>34</v>
      </c>
      <c r="S3" s="187"/>
      <c r="T3" s="188"/>
      <c r="U3" s="75" t="s">
        <v>48</v>
      </c>
      <c r="V3" s="74"/>
      <c r="W3" s="74"/>
      <c r="X3" s="74"/>
      <c r="Y3" s="74"/>
      <c r="Z3" s="74"/>
      <c r="AA3" s="74"/>
      <c r="AB3" s="74"/>
      <c r="AC3" s="74"/>
      <c r="AD3" s="74"/>
      <c r="AE3" s="73"/>
      <c r="AF3" s="73"/>
      <c r="AG3" s="72"/>
    </row>
    <row r="4" spans="2:50" s="13" customFormat="1" ht="16.899999999999999" customHeight="1">
      <c r="B4" s="71" t="s">
        <v>32</v>
      </c>
      <c r="C4" s="70"/>
      <c r="D4" s="105" t="s">
        <v>43</v>
      </c>
      <c r="E4" s="95">
        <f>E5+0.1</f>
        <v>0.6</v>
      </c>
      <c r="F4" s="106" t="s">
        <v>23</v>
      </c>
      <c r="G4" s="107">
        <f>G5+0.08</f>
        <v>0.57999999999999996</v>
      </c>
      <c r="H4" s="108"/>
      <c r="I4" s="109"/>
      <c r="Z4" s="167" t="str">
        <f ca="1">'P6 - Esp. Lado'!Z4:AC5</f>
        <v>MÊS: 03</v>
      </c>
      <c r="AA4" s="163"/>
      <c r="AB4" s="163"/>
      <c r="AC4" s="163"/>
      <c r="AD4" s="163" t="str">
        <f ca="1">'P6 - Esp. Lado'!AD4:AG5</f>
        <v>ANO: 2022</v>
      </c>
      <c r="AE4" s="163"/>
      <c r="AF4" s="163"/>
      <c r="AG4" s="164"/>
    </row>
    <row r="5" spans="2:50" s="13" customFormat="1" ht="16.899999999999999" customHeight="1" thickBot="1">
      <c r="B5" s="65" t="e">
        <f>#REF!</f>
        <v>#REF!</v>
      </c>
      <c r="C5" s="90" t="s">
        <v>6</v>
      </c>
      <c r="D5" s="110" t="s">
        <v>31</v>
      </c>
      <c r="E5" s="96">
        <v>0.5</v>
      </c>
      <c r="F5" s="111" t="s">
        <v>31</v>
      </c>
      <c r="G5" s="133">
        <v>0.5</v>
      </c>
      <c r="H5" s="108"/>
      <c r="I5" s="13" t="s">
        <v>29</v>
      </c>
      <c r="R5" s="13" t="s">
        <v>28</v>
      </c>
      <c r="Z5" s="168"/>
      <c r="AA5" s="165"/>
      <c r="AB5" s="165"/>
      <c r="AC5" s="165"/>
      <c r="AD5" s="165"/>
      <c r="AE5" s="165"/>
      <c r="AF5" s="165"/>
      <c r="AG5" s="166"/>
    </row>
    <row r="6" spans="2:50" s="13" customFormat="1" ht="16.899999999999999" customHeight="1">
      <c r="B6" s="60" t="s">
        <v>27</v>
      </c>
      <c r="C6" s="92"/>
      <c r="D6" s="110" t="s">
        <v>44</v>
      </c>
      <c r="E6" s="96">
        <f>E5-0.1</f>
        <v>0.4</v>
      </c>
      <c r="F6" s="111" t="s">
        <v>26</v>
      </c>
      <c r="G6" s="133">
        <f>G5-0.08</f>
        <v>0.42</v>
      </c>
      <c r="H6" s="108"/>
      <c r="I6" s="13" t="s">
        <v>25</v>
      </c>
      <c r="R6" s="13" t="s">
        <v>24</v>
      </c>
      <c r="AC6" s="55"/>
      <c r="AD6" s="55"/>
      <c r="AG6" s="54"/>
    </row>
    <row r="7" spans="2:50" s="13" customFormat="1" ht="16.899999999999999" customHeight="1" thickBot="1">
      <c r="B7" s="53"/>
      <c r="C7" s="93" t="s">
        <v>3</v>
      </c>
      <c r="D7" s="112" t="s">
        <v>43</v>
      </c>
      <c r="E7" s="97">
        <f>E4-E6</f>
        <v>0.19999999999999996</v>
      </c>
      <c r="F7" s="113" t="s">
        <v>23</v>
      </c>
      <c r="G7" s="114">
        <f>G4-G6</f>
        <v>0.15999999999999998</v>
      </c>
      <c r="H7" s="115"/>
      <c r="I7" s="47" t="s">
        <v>22</v>
      </c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8"/>
      <c r="AD7" s="48"/>
      <c r="AE7" s="47"/>
      <c r="AF7" s="47"/>
      <c r="AG7" s="46"/>
    </row>
    <row r="8" spans="2:50" s="13" customFormat="1" ht="4.5" customHeight="1" thickBot="1"/>
    <row r="9" spans="2:50" s="6" customFormat="1">
      <c r="B9" s="45" t="s">
        <v>21</v>
      </c>
      <c r="C9" s="44">
        <v>1</v>
      </c>
      <c r="D9" s="44">
        <v>2</v>
      </c>
      <c r="E9" s="44">
        <v>3</v>
      </c>
      <c r="F9" s="44">
        <v>4</v>
      </c>
      <c r="G9" s="44">
        <v>5</v>
      </c>
      <c r="H9" s="44">
        <v>6</v>
      </c>
      <c r="I9" s="44">
        <v>7</v>
      </c>
      <c r="J9" s="44">
        <v>8</v>
      </c>
      <c r="K9" s="44">
        <v>9</v>
      </c>
      <c r="L9" s="44">
        <v>10</v>
      </c>
      <c r="M9" s="44">
        <v>11</v>
      </c>
      <c r="N9" s="44">
        <v>12</v>
      </c>
      <c r="O9" s="44">
        <v>13</v>
      </c>
      <c r="P9" s="44">
        <v>14</v>
      </c>
      <c r="Q9" s="44">
        <v>15</v>
      </c>
      <c r="R9" s="44">
        <v>16</v>
      </c>
      <c r="S9" s="44">
        <v>17</v>
      </c>
      <c r="T9" s="44">
        <v>18</v>
      </c>
      <c r="U9" s="44">
        <v>19</v>
      </c>
      <c r="V9" s="44">
        <v>20</v>
      </c>
      <c r="W9" s="44">
        <v>21</v>
      </c>
      <c r="X9" s="44">
        <v>22</v>
      </c>
      <c r="Y9" s="44">
        <v>23</v>
      </c>
      <c r="Z9" s="44">
        <v>24</v>
      </c>
      <c r="AA9" s="44">
        <v>25</v>
      </c>
      <c r="AB9" s="44">
        <v>26</v>
      </c>
      <c r="AC9" s="44">
        <v>27</v>
      </c>
      <c r="AD9" s="44">
        <v>28</v>
      </c>
      <c r="AE9" s="44">
        <v>29</v>
      </c>
      <c r="AF9" s="44">
        <v>30</v>
      </c>
      <c r="AG9" s="43">
        <v>31</v>
      </c>
    </row>
    <row r="10" spans="2:50" s="6" customFormat="1" ht="14.1" customHeight="1">
      <c r="B10" s="42" t="s">
        <v>20</v>
      </c>
      <c r="C10" s="116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39"/>
    </row>
    <row r="11" spans="2:50" s="6" customFormat="1" ht="14.1" customHeight="1">
      <c r="B11" s="41" t="s">
        <v>19</v>
      </c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39"/>
    </row>
    <row r="12" spans="2:50" s="6" customFormat="1" ht="12" customHeight="1">
      <c r="B12" s="38"/>
      <c r="AG12" s="12"/>
    </row>
    <row r="13" spans="2:50" s="6" customFormat="1" ht="12" customHeight="1">
      <c r="B13" s="153"/>
      <c r="AG13" s="12"/>
    </row>
    <row r="14" spans="2:50" s="6" customFormat="1" ht="12" customHeight="1">
      <c r="B14" s="153"/>
      <c r="AG14" s="12"/>
    </row>
    <row r="15" spans="2:50" s="6" customFormat="1" ht="12" customHeight="1">
      <c r="B15" s="154"/>
      <c r="AG15" s="12"/>
    </row>
    <row r="16" spans="2:50" s="6" customFormat="1" ht="12" customHeight="1">
      <c r="B16" s="154"/>
      <c r="AG16" s="12"/>
    </row>
    <row r="17" spans="2:33" s="6" customFormat="1" ht="12" customHeight="1">
      <c r="B17" s="154"/>
      <c r="AG17" s="12"/>
    </row>
    <row r="18" spans="2:33" s="6" customFormat="1" ht="12" customHeight="1">
      <c r="B18" s="154"/>
      <c r="AG18" s="12"/>
    </row>
    <row r="19" spans="2:33" s="6" customFormat="1" ht="12" customHeight="1">
      <c r="B19" s="154"/>
      <c r="AG19" s="12"/>
    </row>
    <row r="20" spans="2:33" s="6" customFormat="1" ht="12" customHeight="1">
      <c r="B20" s="154"/>
      <c r="AG20" s="12"/>
    </row>
    <row r="21" spans="2:33" s="6" customFormat="1" ht="12" customHeight="1">
      <c r="B21" s="154"/>
      <c r="AG21" s="12"/>
    </row>
    <row r="22" spans="2:33" s="6" customFormat="1" ht="12" customHeight="1">
      <c r="B22" s="154"/>
      <c r="AG22" s="12"/>
    </row>
    <row r="23" spans="2:33" s="6" customFormat="1" ht="12" customHeight="1">
      <c r="B23" s="153"/>
      <c r="AG23" s="12"/>
    </row>
    <row r="24" spans="2:33" s="6" customFormat="1" ht="12" customHeight="1">
      <c r="B24" s="153"/>
      <c r="AG24" s="12"/>
    </row>
    <row r="25" spans="2:33" s="6" customFormat="1" ht="12" customHeight="1">
      <c r="B25" s="154"/>
      <c r="AG25" s="12"/>
    </row>
    <row r="26" spans="2:33" s="6" customFormat="1" ht="12" customHeight="1">
      <c r="B26" s="154"/>
      <c r="AG26" s="12"/>
    </row>
    <row r="27" spans="2:33" s="6" customFormat="1" ht="12" customHeight="1">
      <c r="B27" s="154"/>
      <c r="AG27" s="12"/>
    </row>
    <row r="28" spans="2:33" s="6" customFormat="1" ht="12" customHeight="1">
      <c r="B28" s="154"/>
      <c r="AG28" s="12"/>
    </row>
    <row r="29" spans="2:33" s="6" customFormat="1" ht="12" customHeight="1">
      <c r="B29" s="154"/>
      <c r="AG29" s="12"/>
    </row>
    <row r="30" spans="2:33" s="6" customFormat="1" ht="12" customHeight="1">
      <c r="B30" s="154"/>
      <c r="AG30" s="12"/>
    </row>
    <row r="31" spans="2:33" s="6" customFormat="1" ht="12" customHeight="1">
      <c r="B31" s="154"/>
      <c r="AG31" s="12"/>
    </row>
    <row r="32" spans="2:33" s="6" customFormat="1" ht="12" customHeight="1">
      <c r="B32" s="154"/>
      <c r="AG32" s="12"/>
    </row>
    <row r="33" spans="2:33" s="6" customFormat="1" ht="12" customHeight="1">
      <c r="B33" s="153"/>
      <c r="AG33" s="12"/>
    </row>
    <row r="34" spans="2:33" s="6" customFormat="1" ht="12" customHeight="1">
      <c r="B34" s="153"/>
      <c r="AG34" s="12"/>
    </row>
    <row r="35" spans="2:33" s="6" customFormat="1" ht="12" customHeight="1" thickBot="1">
      <c r="B35" s="37"/>
      <c r="AG35" s="12"/>
    </row>
    <row r="36" spans="2:33" s="6" customFormat="1" ht="12" customHeight="1">
      <c r="B36" s="155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5"/>
    </row>
    <row r="37" spans="2:33" s="6" customFormat="1" ht="12" customHeight="1">
      <c r="B37" s="153"/>
      <c r="AG37" s="12"/>
    </row>
    <row r="38" spans="2:33" s="6" customFormat="1" ht="12" customHeight="1">
      <c r="B38" s="36"/>
      <c r="AG38" s="12"/>
    </row>
    <row r="39" spans="2:33" s="6" customFormat="1" ht="12" customHeight="1">
      <c r="B39" s="36"/>
      <c r="AG39" s="12"/>
    </row>
    <row r="40" spans="2:33" s="6" customFormat="1" ht="12" customHeight="1">
      <c r="B40" s="36"/>
      <c r="AG40" s="12"/>
    </row>
    <row r="41" spans="2:33" s="6" customFormat="1" ht="12" customHeight="1">
      <c r="B41" s="153"/>
      <c r="AG41" s="12"/>
    </row>
    <row r="42" spans="2:33" s="6" customFormat="1" ht="12" customHeight="1">
      <c r="B42" s="153"/>
      <c r="AG42" s="12"/>
    </row>
    <row r="43" spans="2:33" s="6" customFormat="1" ht="12" customHeight="1">
      <c r="B43" s="36"/>
      <c r="AG43" s="12"/>
    </row>
    <row r="44" spans="2:33" s="6" customFormat="1" ht="12" customHeight="1">
      <c r="B44" s="36"/>
      <c r="AG44" s="12"/>
    </row>
    <row r="45" spans="2:33" s="6" customFormat="1" ht="12" customHeight="1">
      <c r="B45" s="36"/>
      <c r="AG45" s="12"/>
    </row>
    <row r="46" spans="2:33" s="6" customFormat="1" ht="12" customHeight="1" thickBot="1">
      <c r="B46" s="35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8"/>
    </row>
    <row r="47" spans="2:33" s="6" customFormat="1" ht="6" customHeight="1">
      <c r="B47" s="34"/>
      <c r="AG47" s="12"/>
    </row>
    <row r="48" spans="2:33" s="18" customFormat="1" ht="15" customHeight="1">
      <c r="B48" s="33">
        <v>1</v>
      </c>
      <c r="C48" s="32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0"/>
    </row>
    <row r="49" spans="2:55" s="18" customFormat="1" ht="15" customHeight="1">
      <c r="B49" s="29">
        <v>2</v>
      </c>
      <c r="C49" s="28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6"/>
    </row>
    <row r="50" spans="2:55" s="18" customFormat="1" ht="15" customHeight="1">
      <c r="B50" s="29">
        <v>3</v>
      </c>
      <c r="C50" s="28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6"/>
    </row>
    <row r="51" spans="2:55" s="18" customFormat="1" ht="15" customHeight="1">
      <c r="B51" s="29">
        <v>4</v>
      </c>
      <c r="C51" s="28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6"/>
    </row>
    <row r="52" spans="2:55" s="18" customFormat="1" ht="15" customHeight="1">
      <c r="B52" s="22">
        <v>5</v>
      </c>
      <c r="C52" s="28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6"/>
    </row>
    <row r="53" spans="2:55" s="18" customFormat="1" ht="15" customHeight="1">
      <c r="B53" s="22" t="s">
        <v>13</v>
      </c>
      <c r="C53" s="25" t="str">
        <f>IF(ISERR(AVERAGE(C48:C52))," ",AVERAGE(C48:C52))</f>
        <v xml:space="preserve"> </v>
      </c>
      <c r="D53" s="24" t="str">
        <f t="shared" ref="D53:AG53" si="0">IF(ISERR(AVERAGE(D48:D52))," ",AVERAGE(D48:D52))</f>
        <v xml:space="preserve"> </v>
      </c>
      <c r="E53" s="24" t="str">
        <f t="shared" si="0"/>
        <v xml:space="preserve"> </v>
      </c>
      <c r="F53" s="24" t="str">
        <f t="shared" si="0"/>
        <v xml:space="preserve"> </v>
      </c>
      <c r="G53" s="24" t="str">
        <f t="shared" si="0"/>
        <v xml:space="preserve"> </v>
      </c>
      <c r="H53" s="24" t="str">
        <f t="shared" si="0"/>
        <v xml:space="preserve"> </v>
      </c>
      <c r="I53" s="24" t="str">
        <f t="shared" si="0"/>
        <v xml:space="preserve"> </v>
      </c>
      <c r="J53" s="24" t="str">
        <f t="shared" si="0"/>
        <v xml:space="preserve"> </v>
      </c>
      <c r="K53" s="24" t="str">
        <f t="shared" si="0"/>
        <v xml:space="preserve"> </v>
      </c>
      <c r="L53" s="24" t="str">
        <f t="shared" si="0"/>
        <v xml:space="preserve"> </v>
      </c>
      <c r="M53" s="24" t="str">
        <f t="shared" si="0"/>
        <v xml:space="preserve"> </v>
      </c>
      <c r="N53" s="24" t="str">
        <f t="shared" si="0"/>
        <v xml:space="preserve"> </v>
      </c>
      <c r="O53" s="24" t="str">
        <f t="shared" si="0"/>
        <v xml:space="preserve"> </v>
      </c>
      <c r="P53" s="24" t="str">
        <f t="shared" si="0"/>
        <v xml:space="preserve"> </v>
      </c>
      <c r="Q53" s="24" t="str">
        <f t="shared" si="0"/>
        <v xml:space="preserve"> </v>
      </c>
      <c r="R53" s="24" t="str">
        <f t="shared" si="0"/>
        <v xml:space="preserve"> </v>
      </c>
      <c r="S53" s="24" t="str">
        <f t="shared" si="0"/>
        <v xml:space="preserve"> </v>
      </c>
      <c r="T53" s="24" t="str">
        <f t="shared" si="0"/>
        <v xml:space="preserve"> </v>
      </c>
      <c r="U53" s="24" t="str">
        <f t="shared" si="0"/>
        <v xml:space="preserve"> </v>
      </c>
      <c r="V53" s="24" t="str">
        <f t="shared" si="0"/>
        <v xml:space="preserve"> </v>
      </c>
      <c r="W53" s="24" t="str">
        <f t="shared" si="0"/>
        <v xml:space="preserve"> </v>
      </c>
      <c r="X53" s="24" t="str">
        <f t="shared" si="0"/>
        <v xml:space="preserve"> </v>
      </c>
      <c r="Y53" s="24" t="str">
        <f t="shared" si="0"/>
        <v xml:space="preserve"> </v>
      </c>
      <c r="Z53" s="24" t="str">
        <f t="shared" si="0"/>
        <v xml:space="preserve"> </v>
      </c>
      <c r="AA53" s="24" t="str">
        <f t="shared" si="0"/>
        <v xml:space="preserve"> </v>
      </c>
      <c r="AB53" s="24" t="str">
        <f t="shared" si="0"/>
        <v xml:space="preserve"> </v>
      </c>
      <c r="AC53" s="24" t="str">
        <f t="shared" si="0"/>
        <v xml:space="preserve"> </v>
      </c>
      <c r="AD53" s="24" t="str">
        <f t="shared" si="0"/>
        <v xml:space="preserve"> </v>
      </c>
      <c r="AE53" s="24" t="str">
        <f t="shared" si="0"/>
        <v xml:space="preserve"> </v>
      </c>
      <c r="AF53" s="24" t="str">
        <f t="shared" si="0"/>
        <v xml:space="preserve"> </v>
      </c>
      <c r="AG53" s="23" t="str">
        <f t="shared" si="0"/>
        <v xml:space="preserve"> </v>
      </c>
    </row>
    <row r="54" spans="2:55" s="18" customFormat="1" ht="15" customHeight="1">
      <c r="B54" s="22" t="s">
        <v>3</v>
      </c>
      <c r="C54" s="117">
        <f>MAX(C48:C52)-MIN(C48:C52)</f>
        <v>0</v>
      </c>
      <c r="D54" s="118">
        <f t="shared" ref="D54:AG54" si="1">MAX(D48:D52)-MIN(D48:D52)</f>
        <v>0</v>
      </c>
      <c r="E54" s="118">
        <f t="shared" si="1"/>
        <v>0</v>
      </c>
      <c r="F54" s="118">
        <f t="shared" si="1"/>
        <v>0</v>
      </c>
      <c r="G54" s="118">
        <f t="shared" si="1"/>
        <v>0</v>
      </c>
      <c r="H54" s="118">
        <f t="shared" si="1"/>
        <v>0</v>
      </c>
      <c r="I54" s="118">
        <f t="shared" si="1"/>
        <v>0</v>
      </c>
      <c r="J54" s="118">
        <f t="shared" si="1"/>
        <v>0</v>
      </c>
      <c r="K54" s="118">
        <f t="shared" si="1"/>
        <v>0</v>
      </c>
      <c r="L54" s="118">
        <f t="shared" si="1"/>
        <v>0</v>
      </c>
      <c r="M54" s="118">
        <f t="shared" si="1"/>
        <v>0</v>
      </c>
      <c r="N54" s="118">
        <f t="shared" si="1"/>
        <v>0</v>
      </c>
      <c r="O54" s="118">
        <f t="shared" si="1"/>
        <v>0</v>
      </c>
      <c r="P54" s="118">
        <f t="shared" si="1"/>
        <v>0</v>
      </c>
      <c r="Q54" s="118">
        <f t="shared" si="1"/>
        <v>0</v>
      </c>
      <c r="R54" s="21">
        <f t="shared" si="1"/>
        <v>0</v>
      </c>
      <c r="S54" s="21">
        <f t="shared" si="1"/>
        <v>0</v>
      </c>
      <c r="T54" s="21">
        <f t="shared" si="1"/>
        <v>0</v>
      </c>
      <c r="U54" s="21">
        <f t="shared" si="1"/>
        <v>0</v>
      </c>
      <c r="V54" s="21">
        <f t="shared" si="1"/>
        <v>0</v>
      </c>
      <c r="W54" s="21">
        <f t="shared" si="1"/>
        <v>0</v>
      </c>
      <c r="X54" s="21">
        <f t="shared" si="1"/>
        <v>0</v>
      </c>
      <c r="Y54" s="21">
        <f t="shared" si="1"/>
        <v>0</v>
      </c>
      <c r="Z54" s="21">
        <f t="shared" si="1"/>
        <v>0</v>
      </c>
      <c r="AA54" s="21">
        <f t="shared" si="1"/>
        <v>0</v>
      </c>
      <c r="AB54" s="21">
        <f t="shared" si="1"/>
        <v>0</v>
      </c>
      <c r="AC54" s="21">
        <f t="shared" si="1"/>
        <v>0</v>
      </c>
      <c r="AD54" s="21">
        <f t="shared" si="1"/>
        <v>0</v>
      </c>
      <c r="AE54" s="21">
        <f t="shared" si="1"/>
        <v>0</v>
      </c>
      <c r="AF54" s="21">
        <f t="shared" si="1"/>
        <v>0</v>
      </c>
      <c r="AG54" s="20">
        <f t="shared" si="1"/>
        <v>0</v>
      </c>
    </row>
    <row r="55" spans="2:55" s="18" customFormat="1" ht="20.100000000000001" customHeight="1">
      <c r="B55" s="19" t="s">
        <v>18</v>
      </c>
      <c r="C55" s="119"/>
      <c r="D55" s="120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120"/>
      <c r="R55" s="120"/>
      <c r="S55" s="120"/>
      <c r="T55" s="120"/>
      <c r="U55" s="120"/>
      <c r="V55" s="120"/>
      <c r="W55" s="120"/>
      <c r="X55" s="120"/>
      <c r="Y55" s="120"/>
      <c r="Z55" s="120"/>
      <c r="AA55" s="120"/>
      <c r="AB55" s="120"/>
      <c r="AC55" s="120"/>
      <c r="AD55" s="120"/>
      <c r="AE55" s="120"/>
      <c r="AF55" s="120"/>
      <c r="AG55" s="121"/>
    </row>
    <row r="56" spans="2:55" s="18" customFormat="1" ht="26.25" thickBot="1">
      <c r="B56" s="139" t="str">
        <f>'P6 - Esp. Lado'!B56</f>
        <v xml:space="preserve">Visto do Lider / Sublíder </v>
      </c>
      <c r="C56" s="122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4"/>
    </row>
    <row r="57" spans="2:55" s="6" customFormat="1" ht="20.100000000000001" customHeight="1">
      <c r="B57" s="156" t="s">
        <v>17</v>
      </c>
      <c r="C57" s="157"/>
      <c r="D57" s="157"/>
      <c r="E57" s="158"/>
      <c r="F57" s="17" t="s">
        <v>16</v>
      </c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5"/>
    </row>
    <row r="58" spans="2:55" s="6" customFormat="1" ht="20.100000000000001" customHeight="1">
      <c r="B58" s="14"/>
      <c r="C58" s="13" t="s">
        <v>15</v>
      </c>
      <c r="D58" s="13"/>
      <c r="E58" s="12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6"/>
    </row>
    <row r="59" spans="2:55" s="6" customFormat="1" ht="20.100000000000001" customHeight="1">
      <c r="B59" s="159" t="s">
        <v>14</v>
      </c>
      <c r="C59" s="160"/>
      <c r="D59" s="160"/>
      <c r="E59" s="12"/>
      <c r="F59" s="125"/>
      <c r="G59" s="125"/>
      <c r="H59" s="125"/>
      <c r="I59" s="125"/>
      <c r="J59" s="125"/>
      <c r="K59" s="125"/>
      <c r="L59" s="125"/>
      <c r="M59" s="125"/>
      <c r="N59" s="125"/>
      <c r="O59" s="127"/>
      <c r="P59" s="125"/>
      <c r="Q59" s="125"/>
      <c r="R59" s="125"/>
      <c r="S59" s="125"/>
      <c r="T59" s="125"/>
      <c r="U59" s="125"/>
      <c r="V59" s="125"/>
      <c r="W59" s="125"/>
      <c r="X59" s="125"/>
      <c r="Y59" s="125"/>
      <c r="Z59" s="125"/>
      <c r="AA59" s="125"/>
      <c r="AB59" s="125"/>
      <c r="AC59" s="125"/>
      <c r="AD59" s="125"/>
      <c r="AE59" s="125"/>
      <c r="AF59" s="125"/>
      <c r="AG59" s="126"/>
    </row>
    <row r="60" spans="2:55" s="6" customFormat="1" ht="20.100000000000001" customHeight="1" thickBot="1">
      <c r="B60" s="11"/>
      <c r="C60" s="10" t="s">
        <v>13</v>
      </c>
      <c r="D60" s="9"/>
      <c r="E60" s="8"/>
      <c r="F60" s="128"/>
      <c r="G60" s="128"/>
      <c r="H60" s="128"/>
      <c r="I60" s="128"/>
      <c r="J60" s="128"/>
      <c r="K60" s="128"/>
      <c r="L60" s="128"/>
      <c r="M60" s="128"/>
      <c r="N60" s="128"/>
      <c r="O60" s="128"/>
      <c r="P60" s="128"/>
      <c r="Q60" s="128"/>
      <c r="R60" s="128"/>
      <c r="S60" s="128"/>
      <c r="T60" s="128"/>
      <c r="U60" s="128"/>
      <c r="V60" s="128"/>
      <c r="W60" s="128"/>
      <c r="X60" s="128"/>
      <c r="Y60" s="128"/>
      <c r="Z60" s="128"/>
      <c r="AA60" s="128"/>
      <c r="AB60" s="128"/>
      <c r="AC60" s="128"/>
      <c r="AD60" s="128"/>
      <c r="AE60" s="128"/>
      <c r="AF60" s="128"/>
      <c r="AG60" s="129"/>
    </row>
    <row r="61" spans="2:55" s="6" customFormat="1" ht="7.5" customHeight="1"/>
    <row r="62" spans="2:55" s="6" customFormat="1" ht="15.75">
      <c r="B62" s="161" t="s">
        <v>12</v>
      </c>
      <c r="C62" s="144"/>
      <c r="D62" s="144"/>
      <c r="E62" s="144"/>
      <c r="F62" s="144"/>
      <c r="G62" s="142" t="s">
        <v>11</v>
      </c>
      <c r="H62" s="142"/>
      <c r="I62" s="142"/>
      <c r="J62" s="142"/>
      <c r="K62" s="151"/>
      <c r="L62" s="142" t="s">
        <v>10</v>
      </c>
      <c r="M62" s="142"/>
      <c r="N62" s="142"/>
      <c r="O62" s="142"/>
      <c r="P62" s="142"/>
      <c r="Q62" s="142"/>
      <c r="R62" s="142"/>
      <c r="S62" s="144" t="s">
        <v>9</v>
      </c>
      <c r="T62" s="144"/>
      <c r="U62" s="144"/>
      <c r="V62" s="144"/>
      <c r="W62" s="146" t="s">
        <v>51</v>
      </c>
      <c r="X62" s="144"/>
      <c r="Y62" s="144"/>
      <c r="Z62" s="144"/>
      <c r="AA62" s="144"/>
      <c r="AB62" s="144"/>
      <c r="AC62" s="144" t="s">
        <v>11</v>
      </c>
      <c r="AD62" s="144"/>
      <c r="AE62" s="144"/>
      <c r="AF62" s="144"/>
      <c r="AG62" s="148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</row>
    <row r="63" spans="2:55" s="6" customFormat="1" ht="15.75">
      <c r="B63" s="162"/>
      <c r="C63" s="145"/>
      <c r="D63" s="145"/>
      <c r="E63" s="145"/>
      <c r="F63" s="145"/>
      <c r="G63" s="143"/>
      <c r="H63" s="143"/>
      <c r="I63" s="143"/>
      <c r="J63" s="143"/>
      <c r="K63" s="152"/>
      <c r="L63" s="143"/>
      <c r="M63" s="143"/>
      <c r="N63" s="143"/>
      <c r="O63" s="143"/>
      <c r="P63" s="143"/>
      <c r="Q63" s="143"/>
      <c r="R63" s="143"/>
      <c r="S63" s="145"/>
      <c r="T63" s="145"/>
      <c r="U63" s="145"/>
      <c r="V63" s="145"/>
      <c r="W63" s="147"/>
      <c r="X63" s="145"/>
      <c r="Y63" s="145"/>
      <c r="Z63" s="145"/>
      <c r="AA63" s="145"/>
      <c r="AB63" s="145"/>
      <c r="AC63" s="145"/>
      <c r="AD63" s="145"/>
      <c r="AE63" s="145"/>
      <c r="AF63" s="145"/>
      <c r="AG63" s="149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</row>
    <row r="64" spans="2:55" ht="14.25">
      <c r="B64" s="4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4"/>
      <c r="AS64" s="150"/>
      <c r="AT64" s="150"/>
      <c r="AU64" s="150"/>
      <c r="AV64" s="150"/>
      <c r="AW64" s="150"/>
      <c r="AX64" s="150"/>
      <c r="AY64" s="150"/>
      <c r="AZ64" s="150"/>
      <c r="BA64" s="150"/>
      <c r="BB64" s="150"/>
      <c r="BC64" s="150"/>
    </row>
    <row r="65" spans="2:5">
      <c r="B65" s="1" t="s">
        <v>8</v>
      </c>
    </row>
    <row r="66" spans="2:5">
      <c r="B66" s="1" t="s">
        <v>7</v>
      </c>
      <c r="C66" s="2" t="e">
        <f>AVERAGE(C53:AG53)+0.577*C69</f>
        <v>#DIV/0!</v>
      </c>
    </row>
    <row r="67" spans="2:5">
      <c r="B67" s="1" t="s">
        <v>6</v>
      </c>
      <c r="C67" s="2" t="e">
        <f>AVERAGE(C53:AG53)</f>
        <v>#DIV/0!</v>
      </c>
      <c r="D67" s="3" t="s">
        <v>5</v>
      </c>
      <c r="E67" s="1" t="e">
        <f>STDEV(C48:AF52)</f>
        <v>#DIV/0!</v>
      </c>
    </row>
    <row r="68" spans="2:5">
      <c r="B68" s="1" t="s">
        <v>4</v>
      </c>
      <c r="C68" s="2" t="e">
        <f>C67-0.577*C69</f>
        <v>#DIV/0!</v>
      </c>
    </row>
    <row r="69" spans="2:5">
      <c r="B69" s="1" t="s">
        <v>3</v>
      </c>
      <c r="C69" s="2" t="e">
        <f>2.115*(SUM(C54:AG54)/COUNTIF(C54:AG54,"&lt;&gt;0"))</f>
        <v>#DIV/0!</v>
      </c>
    </row>
    <row r="71" spans="2:5">
      <c r="B71" s="1" t="s">
        <v>2</v>
      </c>
    </row>
    <row r="73" spans="2:5">
      <c r="B73" s="1" t="s">
        <v>1</v>
      </c>
      <c r="C73" s="2" t="e">
        <f>E7/(6*E67)</f>
        <v>#DIV/0!</v>
      </c>
    </row>
    <row r="74" spans="2:5">
      <c r="B74" s="1" t="s">
        <v>0</v>
      </c>
      <c r="C74" s="2" t="e">
        <f>MIN((E4-C67)/(3*E67),(C67-E6)/(3*E67))</f>
        <v>#DIV/0!</v>
      </c>
    </row>
    <row r="75" spans="2:5">
      <c r="C75" s="1">
        <f>COUNTIF(C10:AG10,"&gt;0")</f>
        <v>0</v>
      </c>
    </row>
  </sheetData>
  <sheetProtection algorithmName="SHA-512" hashValue="QGO5M2ccd4RsNKR5qQxNf3h4D1g5GTGlH60vxE5qEbpRFYl8UtxzN2B7HgAqI/ckwKOGSjxjZDAXB3qQn/AwKg==" saltValue="1pi4tzc3TclJvQ608Hw2Bg==" spinCount="100000" sheet="1" objects="1" scenarios="1" selectLockedCells="1"/>
  <mergeCells count="29">
    <mergeCell ref="B21:B22"/>
    <mergeCell ref="I2:J3"/>
    <mergeCell ref="K2:L3"/>
    <mergeCell ref="M2:Q3"/>
    <mergeCell ref="R2:T2"/>
    <mergeCell ref="R3:T3"/>
    <mergeCell ref="AD4:AG5"/>
    <mergeCell ref="B13:B14"/>
    <mergeCell ref="B15:B16"/>
    <mergeCell ref="B17:B18"/>
    <mergeCell ref="B19:B20"/>
    <mergeCell ref="Z4:AC5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L62:R63"/>
    <mergeCell ref="S62:V63"/>
    <mergeCell ref="W62:AB63"/>
    <mergeCell ref="AC62:AG63"/>
    <mergeCell ref="AS64:BC64"/>
  </mergeCells>
  <conditionalFormatting sqref="C48:AG52">
    <cfRule type="expression" dxfId="5" priority="1">
      <formula>((C48&gt;=$G$4)+(C48&lt;=$G$6))*(C48&gt;0)</formula>
    </cfRule>
  </conditionalFormatting>
  <dataValidations count="3">
    <dataValidation type="whole" showInputMessage="1" showErrorMessage="1" errorTitle="Data" error="Digite apenas o dia entre 1 e 31" sqref="E10:AG10" xr:uid="{00000000-0002-0000-0400-000000000000}">
      <formula1>1</formula1>
      <formula2>31</formula2>
    </dataValidation>
    <dataValidation type="list" showErrorMessage="1" promptTitle="Turno" prompt="Escolha" sqref="C11:AG11" xr:uid="{00000000-0002-0000-0400-000001000000}">
      <formula1>Turnos</formula1>
    </dataValidation>
    <dataValidation type="whole" showErrorMessage="1" errorTitle="Data" error="Digite apenas o dia entre 1 e 31" sqref="C10:D10" xr:uid="{00000000-0002-0000-0400-000002000000}">
      <formula1>1</formula1>
      <formula2>31</formula2>
    </dataValidation>
  </dataValidations>
  <printOptions horizontalCentered="1"/>
  <pageMargins left="0" right="0" top="0.59055118110236227" bottom="0.39370078740157483" header="0.39370078740157483" footer="0.23622047244094491"/>
  <pageSetup paperSize="9" scale="60" orientation="landscape" r:id="rId1"/>
  <headerFooter alignWithMargins="0">
    <oddFooter xml:space="preserve">&amp;RSJCPIL-R 15-074-02 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indexed="47"/>
    <pageSetUpPr fitToPage="1"/>
  </sheetPr>
  <dimension ref="B1:BC80"/>
  <sheetViews>
    <sheetView showZeros="0" topLeftCell="A25" zoomScaleNormal="100" workbookViewId="0">
      <selection activeCell="C55" sqref="C55"/>
    </sheetView>
  </sheetViews>
  <sheetFormatPr defaultColWidth="10.28515625" defaultRowHeight="12.75"/>
  <cols>
    <col min="1" max="1" width="1.5703125" style="1" customWidth="1"/>
    <col min="2" max="2" width="16.140625" style="1" customWidth="1"/>
    <col min="3" max="33" width="6.7109375" style="1" customWidth="1"/>
    <col min="34" max="34" width="3.140625" style="1" customWidth="1"/>
    <col min="35" max="55" width="6.7109375" style="1" customWidth="1"/>
    <col min="56" max="16384" width="10.28515625" style="1"/>
  </cols>
  <sheetData>
    <row r="1" spans="2:50" ht="21.75" thickBot="1">
      <c r="B1" s="86" t="s">
        <v>40</v>
      </c>
      <c r="C1" s="100"/>
      <c r="D1" s="100"/>
      <c r="E1" s="100"/>
      <c r="F1" s="101"/>
      <c r="G1" s="101"/>
      <c r="H1" s="99"/>
      <c r="I1" s="102" t="s">
        <v>39</v>
      </c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4"/>
      <c r="AX1" s="83"/>
    </row>
    <row r="2" spans="2:50" s="77" customFormat="1" ht="19.5" customHeight="1">
      <c r="B2" s="87" t="s">
        <v>41</v>
      </c>
      <c r="C2" s="88"/>
      <c r="D2" s="103"/>
      <c r="E2" s="103"/>
      <c r="F2" s="104"/>
      <c r="G2" s="104"/>
      <c r="H2" s="98"/>
      <c r="I2" s="169" t="s">
        <v>38</v>
      </c>
      <c r="J2" s="170"/>
      <c r="K2" s="173" t="s">
        <v>37</v>
      </c>
      <c r="L2" s="174"/>
      <c r="M2" s="177" t="s">
        <v>50</v>
      </c>
      <c r="N2" s="178"/>
      <c r="O2" s="178"/>
      <c r="P2" s="178"/>
      <c r="Q2" s="179"/>
      <c r="R2" s="183" t="s">
        <v>36</v>
      </c>
      <c r="S2" s="184"/>
      <c r="T2" s="185"/>
      <c r="U2" s="82" t="s">
        <v>47</v>
      </c>
      <c r="V2" s="81"/>
      <c r="W2" s="81"/>
      <c r="X2" s="81"/>
      <c r="Y2" s="81"/>
      <c r="Z2" s="80"/>
      <c r="AA2" s="80"/>
      <c r="AB2" s="80"/>
      <c r="AC2" s="80"/>
      <c r="AD2" s="80"/>
      <c r="AE2" s="79"/>
      <c r="AF2" s="79"/>
      <c r="AG2" s="78"/>
    </row>
    <row r="3" spans="2:50" ht="16.899999999999999" customHeight="1" thickBot="1">
      <c r="B3" s="76"/>
      <c r="I3" s="171"/>
      <c r="J3" s="172"/>
      <c r="K3" s="175"/>
      <c r="L3" s="176"/>
      <c r="M3" s="180"/>
      <c r="N3" s="181"/>
      <c r="O3" s="181"/>
      <c r="P3" s="181"/>
      <c r="Q3" s="182"/>
      <c r="R3" s="186" t="s">
        <v>34</v>
      </c>
      <c r="S3" s="187"/>
      <c r="T3" s="188"/>
      <c r="U3" s="75" t="s">
        <v>42</v>
      </c>
      <c r="V3" s="74"/>
      <c r="W3" s="74"/>
      <c r="X3" s="74"/>
      <c r="Y3" s="74"/>
      <c r="Z3" s="74"/>
      <c r="AA3" s="74"/>
      <c r="AB3" s="74"/>
      <c r="AC3" s="74"/>
      <c r="AD3" s="74"/>
      <c r="AE3" s="73"/>
      <c r="AF3" s="73"/>
      <c r="AG3" s="72"/>
    </row>
    <row r="4" spans="2:50" s="13" customFormat="1" ht="16.899999999999999" customHeight="1">
      <c r="B4" s="71" t="s">
        <v>32</v>
      </c>
      <c r="C4" s="70"/>
      <c r="D4" s="105" t="s">
        <v>43</v>
      </c>
      <c r="E4" s="89">
        <f>E5+0.03</f>
        <v>0.32999999999999996</v>
      </c>
      <c r="F4" s="106" t="s">
        <v>23</v>
      </c>
      <c r="G4" s="130">
        <f>G5+0.02</f>
        <v>0.32</v>
      </c>
      <c r="H4" s="108"/>
      <c r="I4" s="109"/>
      <c r="Z4" s="167" t="str">
        <f ca="1">'P6 - Esp. Lado'!Z4:AC5</f>
        <v>MÊS: 03</v>
      </c>
      <c r="AA4" s="163"/>
      <c r="AB4" s="163"/>
      <c r="AC4" s="163"/>
      <c r="AD4" s="163" t="str">
        <f ca="1">'P6 - Esp. Lado'!AD4:AG5</f>
        <v>ANO: 2022</v>
      </c>
      <c r="AE4" s="163"/>
      <c r="AF4" s="163"/>
      <c r="AG4" s="164"/>
    </row>
    <row r="5" spans="2:50" s="13" customFormat="1" ht="16.899999999999999" customHeight="1" thickBot="1">
      <c r="B5" s="65" t="s">
        <v>49</v>
      </c>
      <c r="C5" s="90" t="s">
        <v>6</v>
      </c>
      <c r="D5" s="110" t="s">
        <v>31</v>
      </c>
      <c r="E5" s="91">
        <v>0.3</v>
      </c>
      <c r="F5" s="111" t="s">
        <v>31</v>
      </c>
      <c r="G5" s="131">
        <v>0.3</v>
      </c>
      <c r="H5" s="108"/>
      <c r="I5" s="13" t="s">
        <v>29</v>
      </c>
      <c r="R5" s="13" t="s">
        <v>28</v>
      </c>
      <c r="Z5" s="168"/>
      <c r="AA5" s="165"/>
      <c r="AB5" s="165"/>
      <c r="AC5" s="165"/>
      <c r="AD5" s="165"/>
      <c r="AE5" s="165"/>
      <c r="AF5" s="165"/>
      <c r="AG5" s="166"/>
    </row>
    <row r="6" spans="2:50" s="13" customFormat="1" ht="16.899999999999999" customHeight="1">
      <c r="B6" s="60" t="s">
        <v>27</v>
      </c>
      <c r="C6" s="92"/>
      <c r="D6" s="110" t="s">
        <v>44</v>
      </c>
      <c r="E6" s="91">
        <f>E5-0.03</f>
        <v>0.27</v>
      </c>
      <c r="F6" s="111" t="s">
        <v>26</v>
      </c>
      <c r="G6" s="131">
        <f>G5-0.02</f>
        <v>0.27999999999999997</v>
      </c>
      <c r="H6" s="108"/>
      <c r="I6" s="13" t="s">
        <v>25</v>
      </c>
      <c r="R6" s="13" t="s">
        <v>24</v>
      </c>
      <c r="AC6" s="55"/>
      <c r="AD6" s="55"/>
      <c r="AG6" s="54"/>
    </row>
    <row r="7" spans="2:50" s="13" customFormat="1" ht="16.899999999999999" customHeight="1" thickBot="1">
      <c r="B7" s="53"/>
      <c r="C7" s="93" t="s">
        <v>3</v>
      </c>
      <c r="D7" s="112" t="s">
        <v>43</v>
      </c>
      <c r="E7" s="94">
        <f>E4-E6</f>
        <v>5.9999999999999942E-2</v>
      </c>
      <c r="F7" s="113" t="s">
        <v>23</v>
      </c>
      <c r="G7" s="132">
        <f>G4-G6</f>
        <v>4.0000000000000036E-2</v>
      </c>
      <c r="H7" s="115"/>
      <c r="I7" s="47" t="s">
        <v>22</v>
      </c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8"/>
      <c r="AD7" s="48"/>
      <c r="AE7" s="47"/>
      <c r="AF7" s="47"/>
      <c r="AG7" s="46"/>
    </row>
    <row r="8" spans="2:50" s="13" customFormat="1" ht="4.5" customHeight="1" thickBot="1"/>
    <row r="9" spans="2:50" s="6" customFormat="1">
      <c r="B9" s="45" t="s">
        <v>21</v>
      </c>
      <c r="C9" s="44">
        <v>1</v>
      </c>
      <c r="D9" s="44">
        <v>2</v>
      </c>
      <c r="E9" s="44">
        <v>3</v>
      </c>
      <c r="F9" s="44">
        <v>4</v>
      </c>
      <c r="G9" s="44">
        <v>5</v>
      </c>
      <c r="H9" s="44">
        <v>6</v>
      </c>
      <c r="I9" s="44">
        <v>7</v>
      </c>
      <c r="J9" s="44">
        <v>8</v>
      </c>
      <c r="K9" s="44">
        <v>9</v>
      </c>
      <c r="L9" s="44">
        <v>10</v>
      </c>
      <c r="M9" s="44">
        <v>11</v>
      </c>
      <c r="N9" s="44">
        <v>12</v>
      </c>
      <c r="O9" s="44">
        <v>13</v>
      </c>
      <c r="P9" s="44">
        <v>14</v>
      </c>
      <c r="Q9" s="44">
        <v>15</v>
      </c>
      <c r="R9" s="44">
        <v>16</v>
      </c>
      <c r="S9" s="44">
        <v>17</v>
      </c>
      <c r="T9" s="44">
        <v>18</v>
      </c>
      <c r="U9" s="44">
        <v>19</v>
      </c>
      <c r="V9" s="44">
        <v>20</v>
      </c>
      <c r="W9" s="44">
        <v>21</v>
      </c>
      <c r="X9" s="44">
        <v>22</v>
      </c>
      <c r="Y9" s="44">
        <v>23</v>
      </c>
      <c r="Z9" s="44">
        <v>24</v>
      </c>
      <c r="AA9" s="44">
        <v>25</v>
      </c>
      <c r="AB9" s="44">
        <v>26</v>
      </c>
      <c r="AC9" s="44">
        <v>27</v>
      </c>
      <c r="AD9" s="44">
        <v>28</v>
      </c>
      <c r="AE9" s="44">
        <v>29</v>
      </c>
      <c r="AF9" s="44">
        <v>30</v>
      </c>
      <c r="AG9" s="43">
        <v>31</v>
      </c>
    </row>
    <row r="10" spans="2:50" s="6" customFormat="1" ht="14.1" customHeight="1">
      <c r="B10" s="42" t="s">
        <v>20</v>
      </c>
      <c r="C10" s="116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39"/>
    </row>
    <row r="11" spans="2:50" s="6" customFormat="1" ht="14.1" customHeight="1">
      <c r="B11" s="41" t="s">
        <v>19</v>
      </c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39"/>
    </row>
    <row r="12" spans="2:50" s="6" customFormat="1" ht="12" customHeight="1">
      <c r="B12" s="38"/>
      <c r="AG12" s="12"/>
    </row>
    <row r="13" spans="2:50" s="6" customFormat="1" ht="12" customHeight="1">
      <c r="B13" s="153"/>
      <c r="AG13" s="12"/>
    </row>
    <row r="14" spans="2:50" s="6" customFormat="1" ht="12" customHeight="1">
      <c r="B14" s="153"/>
      <c r="AG14" s="12"/>
    </row>
    <row r="15" spans="2:50" s="6" customFormat="1" ht="12" customHeight="1">
      <c r="B15" s="154"/>
      <c r="AG15" s="12"/>
    </row>
    <row r="16" spans="2:50" s="6" customFormat="1" ht="12" customHeight="1">
      <c r="B16" s="154"/>
      <c r="AG16" s="12"/>
    </row>
    <row r="17" spans="2:33" s="6" customFormat="1" ht="12" customHeight="1">
      <c r="B17" s="154"/>
      <c r="AG17" s="12"/>
    </row>
    <row r="18" spans="2:33" s="6" customFormat="1" ht="12" customHeight="1">
      <c r="B18" s="154"/>
      <c r="AG18" s="12"/>
    </row>
    <row r="19" spans="2:33" s="6" customFormat="1" ht="12" customHeight="1">
      <c r="B19" s="154"/>
      <c r="AG19" s="12"/>
    </row>
    <row r="20" spans="2:33" s="6" customFormat="1" ht="12" customHeight="1">
      <c r="B20" s="154"/>
      <c r="AG20" s="12"/>
    </row>
    <row r="21" spans="2:33" s="6" customFormat="1" ht="12" customHeight="1">
      <c r="B21" s="154"/>
      <c r="AG21" s="12"/>
    </row>
    <row r="22" spans="2:33" s="6" customFormat="1" ht="12" customHeight="1">
      <c r="B22" s="154"/>
      <c r="AG22" s="12"/>
    </row>
    <row r="23" spans="2:33" s="6" customFormat="1" ht="12" customHeight="1">
      <c r="B23" s="153"/>
      <c r="AG23" s="12"/>
    </row>
    <row r="24" spans="2:33" s="6" customFormat="1" ht="12" customHeight="1">
      <c r="B24" s="153"/>
      <c r="AG24" s="12"/>
    </row>
    <row r="25" spans="2:33" s="6" customFormat="1" ht="12" customHeight="1">
      <c r="B25" s="154"/>
      <c r="AG25" s="12"/>
    </row>
    <row r="26" spans="2:33" s="6" customFormat="1" ht="12" customHeight="1">
      <c r="B26" s="154"/>
      <c r="AG26" s="12"/>
    </row>
    <row r="27" spans="2:33" s="6" customFormat="1" ht="12" customHeight="1">
      <c r="B27" s="154"/>
      <c r="AG27" s="12"/>
    </row>
    <row r="28" spans="2:33" s="6" customFormat="1" ht="12" customHeight="1">
      <c r="B28" s="154"/>
      <c r="AG28" s="12"/>
    </row>
    <row r="29" spans="2:33" s="6" customFormat="1" ht="12" customHeight="1">
      <c r="B29" s="154"/>
      <c r="AG29" s="12"/>
    </row>
    <row r="30" spans="2:33" s="6" customFormat="1" ht="12" customHeight="1">
      <c r="B30" s="154"/>
      <c r="AG30" s="12"/>
    </row>
    <row r="31" spans="2:33" s="6" customFormat="1" ht="12" customHeight="1">
      <c r="B31" s="154"/>
      <c r="AG31" s="12"/>
    </row>
    <row r="32" spans="2:33" s="6" customFormat="1" ht="12" customHeight="1">
      <c r="B32" s="154"/>
      <c r="AG32" s="12"/>
    </row>
    <row r="33" spans="2:33" s="6" customFormat="1" ht="12" customHeight="1">
      <c r="B33" s="153"/>
      <c r="AG33" s="12"/>
    </row>
    <row r="34" spans="2:33" s="6" customFormat="1" ht="12" customHeight="1">
      <c r="B34" s="153"/>
      <c r="AG34" s="12"/>
    </row>
    <row r="35" spans="2:33" s="6" customFormat="1" ht="12" customHeight="1" thickBot="1">
      <c r="B35" s="37"/>
      <c r="AG35" s="12"/>
    </row>
    <row r="36" spans="2:33" s="6" customFormat="1" ht="12" customHeight="1">
      <c r="B36" s="155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5"/>
    </row>
    <row r="37" spans="2:33" s="6" customFormat="1" ht="12" customHeight="1">
      <c r="B37" s="153"/>
      <c r="AG37" s="12"/>
    </row>
    <row r="38" spans="2:33" s="6" customFormat="1" ht="12" customHeight="1">
      <c r="B38" s="36"/>
      <c r="AG38" s="12"/>
    </row>
    <row r="39" spans="2:33" s="6" customFormat="1" ht="12" customHeight="1">
      <c r="B39" s="36"/>
      <c r="AG39" s="12"/>
    </row>
    <row r="40" spans="2:33" s="6" customFormat="1" ht="12" customHeight="1">
      <c r="B40" s="36"/>
      <c r="AG40" s="12"/>
    </row>
    <row r="41" spans="2:33" s="6" customFormat="1" ht="12" customHeight="1">
      <c r="B41" s="153"/>
      <c r="AG41" s="12"/>
    </row>
    <row r="42" spans="2:33" s="6" customFormat="1" ht="12" customHeight="1">
      <c r="B42" s="153"/>
      <c r="AG42" s="12"/>
    </row>
    <row r="43" spans="2:33" s="6" customFormat="1" ht="12" customHeight="1">
      <c r="B43" s="36"/>
      <c r="AG43" s="12"/>
    </row>
    <row r="44" spans="2:33" s="6" customFormat="1" ht="12" customHeight="1">
      <c r="B44" s="36"/>
      <c r="AG44" s="12"/>
    </row>
    <row r="45" spans="2:33" s="6" customFormat="1" ht="12" customHeight="1">
      <c r="B45" s="36"/>
      <c r="AG45" s="12"/>
    </row>
    <row r="46" spans="2:33" s="6" customFormat="1" ht="12" customHeight="1" thickBot="1">
      <c r="B46" s="35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8"/>
    </row>
    <row r="47" spans="2:33" s="6" customFormat="1" ht="6" customHeight="1">
      <c r="B47" s="34"/>
      <c r="AG47" s="12"/>
    </row>
    <row r="48" spans="2:33" s="18" customFormat="1" ht="15" customHeight="1">
      <c r="B48" s="33">
        <v>1</v>
      </c>
      <c r="C48" s="32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0"/>
    </row>
    <row r="49" spans="2:55" s="18" customFormat="1" ht="15" customHeight="1">
      <c r="B49" s="29">
        <v>2</v>
      </c>
      <c r="C49" s="28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6"/>
    </row>
    <row r="50" spans="2:55" s="18" customFormat="1" ht="15" customHeight="1">
      <c r="B50" s="29">
        <v>3</v>
      </c>
      <c r="C50" s="28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6"/>
    </row>
    <row r="51" spans="2:55" s="18" customFormat="1" ht="15" customHeight="1">
      <c r="B51" s="29">
        <v>4</v>
      </c>
      <c r="C51" s="28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6"/>
    </row>
    <row r="52" spans="2:55" s="18" customFormat="1" ht="15" customHeight="1">
      <c r="B52" s="22">
        <v>5</v>
      </c>
      <c r="C52" s="28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6"/>
    </row>
    <row r="53" spans="2:55" s="18" customFormat="1" ht="15" customHeight="1">
      <c r="B53" s="22" t="s">
        <v>13</v>
      </c>
      <c r="C53" s="25" t="str">
        <f t="shared" ref="C53:AG53" si="0">IF(ISERR(AVERAGE(C48:C52))," ",AVERAGE(C48:C52))</f>
        <v xml:space="preserve"> </v>
      </c>
      <c r="D53" s="24" t="str">
        <f t="shared" si="0"/>
        <v xml:space="preserve"> </v>
      </c>
      <c r="E53" s="24" t="str">
        <f t="shared" si="0"/>
        <v xml:space="preserve"> </v>
      </c>
      <c r="F53" s="24" t="str">
        <f t="shared" si="0"/>
        <v xml:space="preserve"> </v>
      </c>
      <c r="G53" s="24" t="str">
        <f t="shared" si="0"/>
        <v xml:space="preserve"> </v>
      </c>
      <c r="H53" s="24" t="str">
        <f t="shared" si="0"/>
        <v xml:space="preserve"> </v>
      </c>
      <c r="I53" s="24" t="str">
        <f t="shared" si="0"/>
        <v xml:space="preserve"> </v>
      </c>
      <c r="J53" s="24" t="str">
        <f t="shared" si="0"/>
        <v xml:space="preserve"> </v>
      </c>
      <c r="K53" s="24" t="str">
        <f t="shared" si="0"/>
        <v xml:space="preserve"> </v>
      </c>
      <c r="L53" s="24" t="str">
        <f t="shared" si="0"/>
        <v xml:space="preserve"> </v>
      </c>
      <c r="M53" s="24" t="str">
        <f t="shared" si="0"/>
        <v xml:space="preserve"> </v>
      </c>
      <c r="N53" s="24" t="str">
        <f t="shared" si="0"/>
        <v xml:space="preserve"> </v>
      </c>
      <c r="O53" s="24" t="str">
        <f t="shared" si="0"/>
        <v xml:space="preserve"> </v>
      </c>
      <c r="P53" s="24" t="str">
        <f t="shared" si="0"/>
        <v xml:space="preserve"> </v>
      </c>
      <c r="Q53" s="24" t="str">
        <f t="shared" si="0"/>
        <v xml:space="preserve"> </v>
      </c>
      <c r="R53" s="24" t="str">
        <f t="shared" si="0"/>
        <v xml:space="preserve"> </v>
      </c>
      <c r="S53" s="24" t="str">
        <f t="shared" si="0"/>
        <v xml:space="preserve"> </v>
      </c>
      <c r="T53" s="24" t="str">
        <f t="shared" si="0"/>
        <v xml:space="preserve"> </v>
      </c>
      <c r="U53" s="24" t="str">
        <f t="shared" si="0"/>
        <v xml:space="preserve"> </v>
      </c>
      <c r="V53" s="24" t="str">
        <f t="shared" si="0"/>
        <v xml:space="preserve"> </v>
      </c>
      <c r="W53" s="24" t="str">
        <f t="shared" si="0"/>
        <v xml:space="preserve"> </v>
      </c>
      <c r="X53" s="24" t="str">
        <f t="shared" si="0"/>
        <v xml:space="preserve"> </v>
      </c>
      <c r="Y53" s="24" t="str">
        <f t="shared" si="0"/>
        <v xml:space="preserve"> </v>
      </c>
      <c r="Z53" s="24" t="str">
        <f t="shared" si="0"/>
        <v xml:space="preserve"> </v>
      </c>
      <c r="AA53" s="24" t="str">
        <f t="shared" si="0"/>
        <v xml:space="preserve"> </v>
      </c>
      <c r="AB53" s="24" t="str">
        <f t="shared" si="0"/>
        <v xml:space="preserve"> </v>
      </c>
      <c r="AC53" s="24" t="str">
        <f t="shared" si="0"/>
        <v xml:space="preserve"> </v>
      </c>
      <c r="AD53" s="24" t="str">
        <f t="shared" si="0"/>
        <v xml:space="preserve"> </v>
      </c>
      <c r="AE53" s="24" t="str">
        <f t="shared" si="0"/>
        <v xml:space="preserve"> </v>
      </c>
      <c r="AF53" s="24" t="str">
        <f t="shared" si="0"/>
        <v xml:space="preserve"> </v>
      </c>
      <c r="AG53" s="23" t="str">
        <f t="shared" si="0"/>
        <v xml:space="preserve"> </v>
      </c>
    </row>
    <row r="54" spans="2:55" s="18" customFormat="1" ht="15" customHeight="1">
      <c r="B54" s="22" t="s">
        <v>3</v>
      </c>
      <c r="C54" s="117">
        <f t="shared" ref="C54:AG54" si="1">MAX(C48:C52)-MIN(C48:C52)</f>
        <v>0</v>
      </c>
      <c r="D54" s="118">
        <f t="shared" si="1"/>
        <v>0</v>
      </c>
      <c r="E54" s="118">
        <f t="shared" si="1"/>
        <v>0</v>
      </c>
      <c r="F54" s="118">
        <f t="shared" si="1"/>
        <v>0</v>
      </c>
      <c r="G54" s="118">
        <f t="shared" si="1"/>
        <v>0</v>
      </c>
      <c r="H54" s="118">
        <f t="shared" si="1"/>
        <v>0</v>
      </c>
      <c r="I54" s="118">
        <f t="shared" si="1"/>
        <v>0</v>
      </c>
      <c r="J54" s="118">
        <f t="shared" si="1"/>
        <v>0</v>
      </c>
      <c r="K54" s="118">
        <f t="shared" si="1"/>
        <v>0</v>
      </c>
      <c r="L54" s="118">
        <f t="shared" si="1"/>
        <v>0</v>
      </c>
      <c r="M54" s="118">
        <f t="shared" si="1"/>
        <v>0</v>
      </c>
      <c r="N54" s="118">
        <f t="shared" si="1"/>
        <v>0</v>
      </c>
      <c r="O54" s="118">
        <f t="shared" si="1"/>
        <v>0</v>
      </c>
      <c r="P54" s="118">
        <f t="shared" si="1"/>
        <v>0</v>
      </c>
      <c r="Q54" s="118">
        <f t="shared" si="1"/>
        <v>0</v>
      </c>
      <c r="R54" s="21">
        <f t="shared" si="1"/>
        <v>0</v>
      </c>
      <c r="S54" s="21">
        <f t="shared" si="1"/>
        <v>0</v>
      </c>
      <c r="T54" s="21">
        <f t="shared" si="1"/>
        <v>0</v>
      </c>
      <c r="U54" s="21">
        <f t="shared" si="1"/>
        <v>0</v>
      </c>
      <c r="V54" s="21">
        <f t="shared" si="1"/>
        <v>0</v>
      </c>
      <c r="W54" s="21">
        <f t="shared" si="1"/>
        <v>0</v>
      </c>
      <c r="X54" s="21">
        <f t="shared" si="1"/>
        <v>0</v>
      </c>
      <c r="Y54" s="21">
        <f t="shared" si="1"/>
        <v>0</v>
      </c>
      <c r="Z54" s="21">
        <f t="shared" si="1"/>
        <v>0</v>
      </c>
      <c r="AA54" s="21">
        <f t="shared" si="1"/>
        <v>0</v>
      </c>
      <c r="AB54" s="21">
        <f t="shared" si="1"/>
        <v>0</v>
      </c>
      <c r="AC54" s="21">
        <f t="shared" si="1"/>
        <v>0</v>
      </c>
      <c r="AD54" s="21">
        <f t="shared" si="1"/>
        <v>0</v>
      </c>
      <c r="AE54" s="21">
        <f t="shared" si="1"/>
        <v>0</v>
      </c>
      <c r="AF54" s="21">
        <f t="shared" si="1"/>
        <v>0</v>
      </c>
      <c r="AG54" s="20">
        <f t="shared" si="1"/>
        <v>0</v>
      </c>
    </row>
    <row r="55" spans="2:55" s="18" customFormat="1" ht="20.100000000000001" customHeight="1">
      <c r="B55" s="19" t="s">
        <v>18</v>
      </c>
      <c r="C55" s="119"/>
      <c r="D55" s="120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120"/>
      <c r="R55" s="120"/>
      <c r="S55" s="120"/>
      <c r="T55" s="120"/>
      <c r="U55" s="120"/>
      <c r="V55" s="120"/>
      <c r="W55" s="120"/>
      <c r="X55" s="120"/>
      <c r="Y55" s="120"/>
      <c r="Z55" s="120"/>
      <c r="AA55" s="120"/>
      <c r="AB55" s="120"/>
      <c r="AC55" s="120"/>
      <c r="AD55" s="120"/>
      <c r="AE55" s="120"/>
      <c r="AF55" s="120"/>
      <c r="AG55" s="121"/>
    </row>
    <row r="56" spans="2:55" s="18" customFormat="1" ht="26.25" thickBot="1">
      <c r="B56" s="139" t="str">
        <f>'P6 - Esp. Lado'!B56</f>
        <v xml:space="preserve">Visto do Lider / Sublíder </v>
      </c>
      <c r="C56" s="122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4"/>
    </row>
    <row r="57" spans="2:55" s="6" customFormat="1" ht="20.100000000000001" customHeight="1">
      <c r="B57" s="156" t="s">
        <v>17</v>
      </c>
      <c r="C57" s="157"/>
      <c r="D57" s="157"/>
      <c r="E57" s="158"/>
      <c r="F57" s="17" t="s">
        <v>16</v>
      </c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5"/>
    </row>
    <row r="58" spans="2:55" s="6" customFormat="1" ht="20.100000000000001" customHeight="1">
      <c r="B58" s="14"/>
      <c r="C58" s="13" t="s">
        <v>15</v>
      </c>
      <c r="D58" s="13"/>
      <c r="E58" s="12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6"/>
    </row>
    <row r="59" spans="2:55" s="6" customFormat="1" ht="20.100000000000001" customHeight="1">
      <c r="B59" s="159" t="s">
        <v>14</v>
      </c>
      <c r="C59" s="160"/>
      <c r="D59" s="160"/>
      <c r="E59" s="12"/>
      <c r="F59" s="125"/>
      <c r="G59" s="125"/>
      <c r="H59" s="125"/>
      <c r="I59" s="125"/>
      <c r="J59" s="125"/>
      <c r="K59" s="125"/>
      <c r="L59" s="125"/>
      <c r="M59" s="125"/>
      <c r="N59" s="125"/>
      <c r="O59" s="127"/>
      <c r="P59" s="125"/>
      <c r="Q59" s="125"/>
      <c r="R59" s="125"/>
      <c r="S59" s="125"/>
      <c r="T59" s="125"/>
      <c r="U59" s="125"/>
      <c r="V59" s="125"/>
      <c r="W59" s="125"/>
      <c r="X59" s="125"/>
      <c r="Y59" s="125"/>
      <c r="Z59" s="125"/>
      <c r="AA59" s="125"/>
      <c r="AB59" s="125"/>
      <c r="AC59" s="125"/>
      <c r="AD59" s="125"/>
      <c r="AE59" s="125"/>
      <c r="AF59" s="125"/>
      <c r="AG59" s="126"/>
    </row>
    <row r="60" spans="2:55" s="6" customFormat="1" ht="20.100000000000001" customHeight="1" thickBot="1">
      <c r="B60" s="11"/>
      <c r="C60" s="10" t="s">
        <v>13</v>
      </c>
      <c r="D60" s="9"/>
      <c r="E60" s="8"/>
      <c r="F60" s="128"/>
      <c r="G60" s="128"/>
      <c r="H60" s="128"/>
      <c r="I60" s="128"/>
      <c r="J60" s="128"/>
      <c r="K60" s="128"/>
      <c r="L60" s="128"/>
      <c r="M60" s="128"/>
      <c r="N60" s="128"/>
      <c r="O60" s="128"/>
      <c r="P60" s="128"/>
      <c r="Q60" s="128"/>
      <c r="R60" s="128"/>
      <c r="S60" s="128"/>
      <c r="T60" s="128"/>
      <c r="U60" s="128"/>
      <c r="V60" s="128"/>
      <c r="W60" s="128"/>
      <c r="X60" s="128"/>
      <c r="Y60" s="128"/>
      <c r="Z60" s="128"/>
      <c r="AA60" s="128"/>
      <c r="AB60" s="128"/>
      <c r="AC60" s="128"/>
      <c r="AD60" s="128"/>
      <c r="AE60" s="128"/>
      <c r="AF60" s="128"/>
      <c r="AG60" s="129"/>
    </row>
    <row r="61" spans="2:55" s="6" customFormat="1" ht="7.5" customHeight="1"/>
    <row r="62" spans="2:55" s="6" customFormat="1" ht="15.75">
      <c r="B62" s="161" t="s">
        <v>12</v>
      </c>
      <c r="C62" s="144"/>
      <c r="D62" s="144"/>
      <c r="E62" s="144"/>
      <c r="F62" s="144"/>
      <c r="G62" s="142" t="s">
        <v>11</v>
      </c>
      <c r="H62" s="142"/>
      <c r="I62" s="142"/>
      <c r="J62" s="142"/>
      <c r="K62" s="151"/>
      <c r="L62" s="142" t="s">
        <v>10</v>
      </c>
      <c r="M62" s="142"/>
      <c r="N62" s="142"/>
      <c r="O62" s="142"/>
      <c r="P62" s="142"/>
      <c r="Q62" s="142"/>
      <c r="R62" s="142"/>
      <c r="S62" s="144" t="s">
        <v>9</v>
      </c>
      <c r="T62" s="144"/>
      <c r="U62" s="144"/>
      <c r="V62" s="144"/>
      <c r="W62" s="146" t="s">
        <v>51</v>
      </c>
      <c r="X62" s="144"/>
      <c r="Y62" s="144"/>
      <c r="Z62" s="144"/>
      <c r="AA62" s="144"/>
      <c r="AB62" s="144"/>
      <c r="AC62" s="144" t="s">
        <v>11</v>
      </c>
      <c r="AD62" s="144"/>
      <c r="AE62" s="144"/>
      <c r="AF62" s="144"/>
      <c r="AG62" s="148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</row>
    <row r="63" spans="2:55" s="6" customFormat="1" ht="15.75">
      <c r="B63" s="162"/>
      <c r="C63" s="145"/>
      <c r="D63" s="145"/>
      <c r="E63" s="145"/>
      <c r="F63" s="145"/>
      <c r="G63" s="143"/>
      <c r="H63" s="143"/>
      <c r="I63" s="143"/>
      <c r="J63" s="143"/>
      <c r="K63" s="152"/>
      <c r="L63" s="143"/>
      <c r="M63" s="143"/>
      <c r="N63" s="143"/>
      <c r="O63" s="143"/>
      <c r="P63" s="143"/>
      <c r="Q63" s="143"/>
      <c r="R63" s="143"/>
      <c r="S63" s="145"/>
      <c r="T63" s="145"/>
      <c r="U63" s="145"/>
      <c r="V63" s="145"/>
      <c r="W63" s="147"/>
      <c r="X63" s="145"/>
      <c r="Y63" s="145"/>
      <c r="Z63" s="145"/>
      <c r="AA63" s="145"/>
      <c r="AB63" s="145"/>
      <c r="AC63" s="145"/>
      <c r="AD63" s="145"/>
      <c r="AE63" s="145"/>
      <c r="AF63" s="145"/>
      <c r="AG63" s="149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</row>
    <row r="64" spans="2:55" ht="14.25">
      <c r="B64" s="4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4"/>
      <c r="AS64" s="150"/>
      <c r="AT64" s="150"/>
      <c r="AU64" s="150"/>
      <c r="AV64" s="150"/>
      <c r="AW64" s="150"/>
      <c r="AX64" s="150"/>
      <c r="AY64" s="150"/>
      <c r="AZ64" s="150"/>
      <c r="BA64" s="150"/>
      <c r="BB64" s="150"/>
      <c r="BC64" s="150"/>
    </row>
    <row r="65" spans="2:5">
      <c r="B65" s="1" t="s">
        <v>8</v>
      </c>
    </row>
    <row r="66" spans="2:5">
      <c r="B66" s="1" t="s">
        <v>7</v>
      </c>
      <c r="C66" s="2" t="e">
        <f>AVERAGE(C53:AG53)+0.577*C69</f>
        <v>#DIV/0!</v>
      </c>
    </row>
    <row r="67" spans="2:5">
      <c r="B67" s="1" t="s">
        <v>6</v>
      </c>
      <c r="C67" s="2" t="e">
        <f>AVERAGE(C53:AG53)</f>
        <v>#DIV/0!</v>
      </c>
      <c r="D67" s="3" t="s">
        <v>5</v>
      </c>
      <c r="E67" s="1" t="e">
        <f>STDEV(C48:AF52)</f>
        <v>#DIV/0!</v>
      </c>
    </row>
    <row r="68" spans="2:5">
      <c r="B68" s="1" t="s">
        <v>4</v>
      </c>
      <c r="C68" s="2" t="e">
        <f>C67-0.577*C69</f>
        <v>#DIV/0!</v>
      </c>
    </row>
    <row r="69" spans="2:5">
      <c r="B69" s="1" t="s">
        <v>3</v>
      </c>
      <c r="C69" s="2" t="e">
        <f>2.115*(SUM(C54:AG54)/COUNTIF(C54:AG54,"&lt;&gt;0"))</f>
        <v>#DIV/0!</v>
      </c>
    </row>
    <row r="71" spans="2:5">
      <c r="B71" s="1" t="s">
        <v>2</v>
      </c>
    </row>
    <row r="73" spans="2:5">
      <c r="B73" s="1" t="s">
        <v>1</v>
      </c>
      <c r="C73" s="2" t="e">
        <f>E7/(6*E67)</f>
        <v>#DIV/0!</v>
      </c>
    </row>
    <row r="74" spans="2:5">
      <c r="B74" s="1" t="s">
        <v>0</v>
      </c>
      <c r="C74" s="2" t="e">
        <f>MIN((E4-C67)/(3*E67),(C67-E6)/(3*E67))</f>
        <v>#DIV/0!</v>
      </c>
    </row>
    <row r="75" spans="2:5">
      <c r="C75" s="1">
        <f>COUNTIF(C10:AG10,"&gt;0")</f>
        <v>0</v>
      </c>
    </row>
    <row r="78" spans="2:5">
      <c r="B78" s="1" t="s">
        <v>52</v>
      </c>
      <c r="C78" s="2" t="e">
        <f>AVERAGE(C48:AG53,'P7 - Esp. Lado'!C48:AG52,'P6 - Esp. Lado'!C48:AG53)</f>
        <v>#DIV/0!</v>
      </c>
      <c r="E78" s="1" t="e">
        <f>STDEV(C48:AG52,'P6 - Esp. Lado'!C48:AG52,'P7 - Esp. Lado'!C48:AG52)</f>
        <v>#DIV/0!</v>
      </c>
    </row>
    <row r="79" spans="2:5">
      <c r="C79" s="2" t="e">
        <f>E7/(6*E78)</f>
        <v>#DIV/0!</v>
      </c>
    </row>
    <row r="80" spans="2:5">
      <c r="C80" s="2" t="e">
        <f>MIN((E4-C78)/(3*E78),(C78-E6)/(3*E78))</f>
        <v>#DIV/0!</v>
      </c>
    </row>
  </sheetData>
  <sheetProtection algorithmName="SHA-512" hashValue="ZiVcbgz6QzBHfJoWPFH8Jzc8lF06RCmra5JqqP2WeBo+r0wF0V7Tvjv0NCG0V86eoKRb60yGDPyF+fYLbt8XsA==" saltValue="3XVnMmJoHibtIQIhQfZt+g==" spinCount="100000" sheet="1" objects="1" scenarios="1" selectLockedCells="1"/>
  <mergeCells count="29">
    <mergeCell ref="B21:B22"/>
    <mergeCell ref="I2:J3"/>
    <mergeCell ref="K2:L3"/>
    <mergeCell ref="M2:Q3"/>
    <mergeCell ref="R2:T2"/>
    <mergeCell ref="R3:T3"/>
    <mergeCell ref="AD4:AG5"/>
    <mergeCell ref="B13:B14"/>
    <mergeCell ref="B15:B16"/>
    <mergeCell ref="B17:B18"/>
    <mergeCell ref="B19:B20"/>
    <mergeCell ref="Z4:AC5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L62:R63"/>
    <mergeCell ref="S62:V63"/>
    <mergeCell ref="W62:AB63"/>
    <mergeCell ref="AC62:AG63"/>
    <mergeCell ref="AS64:BC64"/>
  </mergeCells>
  <conditionalFormatting sqref="C48:AG52">
    <cfRule type="expression" dxfId="4" priority="1">
      <formula>((C48&gt;=$G$4)+(C48&lt;=$G$6))*(C48&gt;0)</formula>
    </cfRule>
  </conditionalFormatting>
  <dataValidations count="3">
    <dataValidation type="whole" showInputMessage="1" showErrorMessage="1" errorTitle="Data" error="Digite apenas o dia entre 1 e 31" sqref="E10:AG10" xr:uid="{00000000-0002-0000-0500-000000000000}">
      <formula1>1</formula1>
      <formula2>31</formula2>
    </dataValidation>
    <dataValidation type="list" showErrorMessage="1" promptTitle="Turno" prompt="Escolha" sqref="C11:AG11" xr:uid="{00000000-0002-0000-0500-000001000000}">
      <formula1>Turnos</formula1>
    </dataValidation>
    <dataValidation type="whole" showErrorMessage="1" errorTitle="Data" error="Digite apenas o dia entre 1 e 31" sqref="C10:D10" xr:uid="{00000000-0002-0000-0500-000002000000}">
      <formula1>1</formula1>
      <formula2>31</formula2>
    </dataValidation>
  </dataValidations>
  <printOptions horizontalCentered="1"/>
  <pageMargins left="0" right="0" top="0.59055118110236227" bottom="0.39370078740157483" header="0.39370078740157483" footer="0.23622047244094491"/>
  <pageSetup paperSize="9" scale="60" orientation="landscape" r:id="rId1"/>
  <headerFooter alignWithMargins="0">
    <oddFooter xml:space="preserve">&amp;RSJCPIL-R 15-074-02 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tabColor indexed="47"/>
    <pageSetUpPr fitToPage="1"/>
  </sheetPr>
  <dimension ref="B1:BC78"/>
  <sheetViews>
    <sheetView showZeros="0" topLeftCell="A4" zoomScaleNormal="100" workbookViewId="0">
      <selection activeCell="C55" sqref="C55"/>
    </sheetView>
  </sheetViews>
  <sheetFormatPr defaultColWidth="10.28515625" defaultRowHeight="12.75"/>
  <cols>
    <col min="1" max="1" width="1.5703125" style="1" customWidth="1"/>
    <col min="2" max="2" width="16.140625" style="1" customWidth="1"/>
    <col min="3" max="33" width="6.7109375" style="1" customWidth="1"/>
    <col min="34" max="34" width="3.140625" style="1" customWidth="1"/>
    <col min="35" max="55" width="6.7109375" style="1" customWidth="1"/>
    <col min="56" max="16384" width="10.28515625" style="1"/>
  </cols>
  <sheetData>
    <row r="1" spans="2:50" ht="21.75" thickBot="1">
      <c r="B1" s="86" t="s">
        <v>40</v>
      </c>
      <c r="C1" s="100"/>
      <c r="D1" s="100"/>
      <c r="E1" s="100"/>
      <c r="F1" s="101"/>
      <c r="G1" s="101"/>
      <c r="H1" s="99"/>
      <c r="I1" s="102" t="s">
        <v>39</v>
      </c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4"/>
      <c r="AX1" s="83"/>
    </row>
    <row r="2" spans="2:50" s="77" customFormat="1" ht="19.5" customHeight="1">
      <c r="B2" s="87" t="s">
        <v>41</v>
      </c>
      <c r="C2" s="88"/>
      <c r="D2" s="103"/>
      <c r="E2" s="103"/>
      <c r="F2" s="104"/>
      <c r="G2" s="104"/>
      <c r="H2" s="98"/>
      <c r="I2" s="169" t="s">
        <v>38</v>
      </c>
      <c r="J2" s="170"/>
      <c r="K2" s="173" t="s">
        <v>37</v>
      </c>
      <c r="L2" s="174"/>
      <c r="M2" s="177" t="s">
        <v>50</v>
      </c>
      <c r="N2" s="178"/>
      <c r="O2" s="178"/>
      <c r="P2" s="178"/>
      <c r="Q2" s="179"/>
      <c r="R2" s="183" t="s">
        <v>36</v>
      </c>
      <c r="S2" s="184"/>
      <c r="T2" s="185"/>
      <c r="U2" s="82" t="s">
        <v>47</v>
      </c>
      <c r="V2" s="81"/>
      <c r="W2" s="81"/>
      <c r="X2" s="81"/>
      <c r="Y2" s="81"/>
      <c r="Z2" s="80"/>
      <c r="AA2" s="80"/>
      <c r="AB2" s="80"/>
      <c r="AC2" s="80"/>
      <c r="AD2" s="80"/>
      <c r="AE2" s="79"/>
      <c r="AF2" s="79"/>
      <c r="AG2" s="78"/>
    </row>
    <row r="3" spans="2:50" ht="16.899999999999999" customHeight="1" thickBot="1">
      <c r="B3" s="76"/>
      <c r="I3" s="171"/>
      <c r="J3" s="172"/>
      <c r="K3" s="175"/>
      <c r="L3" s="176"/>
      <c r="M3" s="180"/>
      <c r="N3" s="181"/>
      <c r="O3" s="181"/>
      <c r="P3" s="181"/>
      <c r="Q3" s="182"/>
      <c r="R3" s="186" t="s">
        <v>34</v>
      </c>
      <c r="S3" s="187"/>
      <c r="T3" s="188"/>
      <c r="U3" s="75" t="s">
        <v>48</v>
      </c>
      <c r="V3" s="74"/>
      <c r="W3" s="74"/>
      <c r="X3" s="74"/>
      <c r="Y3" s="74"/>
      <c r="Z3" s="74"/>
      <c r="AA3" s="74"/>
      <c r="AB3" s="74"/>
      <c r="AC3" s="74"/>
      <c r="AD3" s="74"/>
      <c r="AE3" s="73"/>
      <c r="AF3" s="73"/>
      <c r="AG3" s="72"/>
    </row>
    <row r="4" spans="2:50" s="13" customFormat="1" ht="16.899999999999999" customHeight="1">
      <c r="B4" s="71" t="s">
        <v>32</v>
      </c>
      <c r="C4" s="70"/>
      <c r="D4" s="105" t="s">
        <v>43</v>
      </c>
      <c r="E4" s="95">
        <f>E5+0.1</f>
        <v>0.6</v>
      </c>
      <c r="F4" s="106" t="s">
        <v>23</v>
      </c>
      <c r="G4" s="107">
        <f>G5+0.08</f>
        <v>0.57999999999999996</v>
      </c>
      <c r="H4" s="108"/>
      <c r="I4" s="109"/>
      <c r="Z4" s="167" t="str">
        <f ca="1">'P6 - Esp. Lado'!Z4:AC5</f>
        <v>MÊS: 03</v>
      </c>
      <c r="AA4" s="163"/>
      <c r="AB4" s="163"/>
      <c r="AC4" s="163"/>
      <c r="AD4" s="163" t="str">
        <f ca="1">'P6 - Esp. Lado'!AD4:AG5</f>
        <v>ANO: 2022</v>
      </c>
      <c r="AE4" s="163"/>
      <c r="AF4" s="163"/>
      <c r="AG4" s="164"/>
    </row>
    <row r="5" spans="2:50" s="13" customFormat="1" ht="16.899999999999999" customHeight="1" thickBot="1">
      <c r="B5" s="65" t="e">
        <f>#REF!</f>
        <v>#REF!</v>
      </c>
      <c r="C5" s="90" t="s">
        <v>6</v>
      </c>
      <c r="D5" s="110" t="s">
        <v>31</v>
      </c>
      <c r="E5" s="96">
        <v>0.5</v>
      </c>
      <c r="F5" s="111" t="s">
        <v>31</v>
      </c>
      <c r="G5" s="133">
        <v>0.5</v>
      </c>
      <c r="H5" s="108"/>
      <c r="I5" s="13" t="s">
        <v>29</v>
      </c>
      <c r="R5" s="13" t="s">
        <v>28</v>
      </c>
      <c r="Z5" s="168"/>
      <c r="AA5" s="165"/>
      <c r="AB5" s="165"/>
      <c r="AC5" s="165"/>
      <c r="AD5" s="165"/>
      <c r="AE5" s="165"/>
      <c r="AF5" s="165"/>
      <c r="AG5" s="166"/>
    </row>
    <row r="6" spans="2:50" s="13" customFormat="1" ht="16.899999999999999" customHeight="1">
      <c r="B6" s="60" t="s">
        <v>27</v>
      </c>
      <c r="C6" s="92"/>
      <c r="D6" s="110" t="s">
        <v>44</v>
      </c>
      <c r="E6" s="96">
        <f>E5-0.1</f>
        <v>0.4</v>
      </c>
      <c r="F6" s="111" t="s">
        <v>26</v>
      </c>
      <c r="G6" s="133">
        <f>G5-0.08</f>
        <v>0.42</v>
      </c>
      <c r="H6" s="108"/>
      <c r="I6" s="13" t="s">
        <v>25</v>
      </c>
      <c r="R6" s="13" t="s">
        <v>24</v>
      </c>
      <c r="AC6" s="55"/>
      <c r="AD6" s="55"/>
      <c r="AG6" s="54"/>
    </row>
    <row r="7" spans="2:50" s="13" customFormat="1" ht="16.899999999999999" customHeight="1" thickBot="1">
      <c r="B7" s="53"/>
      <c r="C7" s="93" t="s">
        <v>3</v>
      </c>
      <c r="D7" s="112" t="s">
        <v>43</v>
      </c>
      <c r="E7" s="97">
        <f>E4-E6</f>
        <v>0.19999999999999996</v>
      </c>
      <c r="F7" s="113" t="s">
        <v>23</v>
      </c>
      <c r="G7" s="114">
        <f>G4-G6</f>
        <v>0.15999999999999998</v>
      </c>
      <c r="H7" s="115"/>
      <c r="I7" s="47" t="s">
        <v>22</v>
      </c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8"/>
      <c r="AD7" s="48"/>
      <c r="AE7" s="47"/>
      <c r="AF7" s="47"/>
      <c r="AG7" s="46"/>
    </row>
    <row r="8" spans="2:50" s="13" customFormat="1" ht="4.5" customHeight="1" thickBot="1"/>
    <row r="9" spans="2:50" s="6" customFormat="1">
      <c r="B9" s="45" t="s">
        <v>21</v>
      </c>
      <c r="C9" s="44">
        <v>1</v>
      </c>
      <c r="D9" s="44">
        <v>2</v>
      </c>
      <c r="E9" s="44">
        <v>3</v>
      </c>
      <c r="F9" s="44">
        <v>4</v>
      </c>
      <c r="G9" s="44">
        <v>5</v>
      </c>
      <c r="H9" s="44">
        <v>6</v>
      </c>
      <c r="I9" s="44">
        <v>7</v>
      </c>
      <c r="J9" s="44">
        <v>8</v>
      </c>
      <c r="K9" s="44">
        <v>9</v>
      </c>
      <c r="L9" s="44">
        <v>10</v>
      </c>
      <c r="M9" s="44">
        <v>11</v>
      </c>
      <c r="N9" s="44">
        <v>12</v>
      </c>
      <c r="O9" s="44">
        <v>13</v>
      </c>
      <c r="P9" s="44">
        <v>14</v>
      </c>
      <c r="Q9" s="44">
        <v>15</v>
      </c>
      <c r="R9" s="44">
        <v>16</v>
      </c>
      <c r="S9" s="44">
        <v>17</v>
      </c>
      <c r="T9" s="44">
        <v>18</v>
      </c>
      <c r="U9" s="44">
        <v>19</v>
      </c>
      <c r="V9" s="44">
        <v>20</v>
      </c>
      <c r="W9" s="44">
        <v>21</v>
      </c>
      <c r="X9" s="44">
        <v>22</v>
      </c>
      <c r="Y9" s="44">
        <v>23</v>
      </c>
      <c r="Z9" s="44">
        <v>24</v>
      </c>
      <c r="AA9" s="44">
        <v>25</v>
      </c>
      <c r="AB9" s="44">
        <v>26</v>
      </c>
      <c r="AC9" s="44">
        <v>27</v>
      </c>
      <c r="AD9" s="44">
        <v>28</v>
      </c>
      <c r="AE9" s="44">
        <v>29</v>
      </c>
      <c r="AF9" s="44">
        <v>30</v>
      </c>
      <c r="AG9" s="43">
        <v>31</v>
      </c>
    </row>
    <row r="10" spans="2:50" s="6" customFormat="1" ht="14.1" customHeight="1">
      <c r="B10" s="42" t="s">
        <v>20</v>
      </c>
      <c r="C10" s="116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39"/>
    </row>
    <row r="11" spans="2:50" s="6" customFormat="1" ht="14.1" customHeight="1">
      <c r="B11" s="41" t="s">
        <v>19</v>
      </c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39"/>
    </row>
    <row r="12" spans="2:50" s="6" customFormat="1" ht="12" customHeight="1">
      <c r="B12" s="38"/>
      <c r="AG12" s="12"/>
    </row>
    <row r="13" spans="2:50" s="6" customFormat="1" ht="12" customHeight="1">
      <c r="B13" s="153"/>
      <c r="AG13" s="12"/>
    </row>
    <row r="14" spans="2:50" s="6" customFormat="1" ht="12" customHeight="1">
      <c r="B14" s="153"/>
      <c r="AG14" s="12"/>
    </row>
    <row r="15" spans="2:50" s="6" customFormat="1" ht="12" customHeight="1">
      <c r="B15" s="154"/>
      <c r="AG15" s="12"/>
    </row>
    <row r="16" spans="2:50" s="6" customFormat="1" ht="12" customHeight="1">
      <c r="B16" s="154"/>
      <c r="AG16" s="12"/>
    </row>
    <row r="17" spans="2:33" s="6" customFormat="1" ht="12" customHeight="1">
      <c r="B17" s="154"/>
      <c r="AG17" s="12"/>
    </row>
    <row r="18" spans="2:33" s="6" customFormat="1" ht="12" customHeight="1">
      <c r="B18" s="154"/>
      <c r="AG18" s="12"/>
    </row>
    <row r="19" spans="2:33" s="6" customFormat="1" ht="12" customHeight="1">
      <c r="B19" s="154"/>
      <c r="AG19" s="12"/>
    </row>
    <row r="20" spans="2:33" s="6" customFormat="1" ht="12" customHeight="1">
      <c r="B20" s="154"/>
      <c r="AG20" s="12"/>
    </row>
    <row r="21" spans="2:33" s="6" customFormat="1" ht="12" customHeight="1">
      <c r="B21" s="154"/>
      <c r="AG21" s="12"/>
    </row>
    <row r="22" spans="2:33" s="6" customFormat="1" ht="12" customHeight="1">
      <c r="B22" s="154"/>
      <c r="AG22" s="12"/>
    </row>
    <row r="23" spans="2:33" s="6" customFormat="1" ht="12" customHeight="1">
      <c r="B23" s="153"/>
      <c r="AG23" s="12"/>
    </row>
    <row r="24" spans="2:33" s="6" customFormat="1" ht="12" customHeight="1">
      <c r="B24" s="153"/>
      <c r="AG24" s="12"/>
    </row>
    <row r="25" spans="2:33" s="6" customFormat="1" ht="12" customHeight="1">
      <c r="B25" s="154"/>
      <c r="AG25" s="12"/>
    </row>
    <row r="26" spans="2:33" s="6" customFormat="1" ht="12" customHeight="1">
      <c r="B26" s="154"/>
      <c r="AG26" s="12"/>
    </row>
    <row r="27" spans="2:33" s="6" customFormat="1" ht="12" customHeight="1">
      <c r="B27" s="154"/>
      <c r="AG27" s="12"/>
    </row>
    <row r="28" spans="2:33" s="6" customFormat="1" ht="12" customHeight="1">
      <c r="B28" s="154"/>
      <c r="AG28" s="12"/>
    </row>
    <row r="29" spans="2:33" s="6" customFormat="1" ht="12" customHeight="1">
      <c r="B29" s="154"/>
      <c r="AG29" s="12"/>
    </row>
    <row r="30" spans="2:33" s="6" customFormat="1" ht="12" customHeight="1">
      <c r="B30" s="154"/>
      <c r="AG30" s="12"/>
    </row>
    <row r="31" spans="2:33" s="6" customFormat="1" ht="12" customHeight="1">
      <c r="B31" s="154"/>
      <c r="AG31" s="12"/>
    </row>
    <row r="32" spans="2:33" s="6" customFormat="1" ht="12" customHeight="1">
      <c r="B32" s="154"/>
      <c r="AG32" s="12"/>
    </row>
    <row r="33" spans="2:33" s="6" customFormat="1" ht="12" customHeight="1">
      <c r="B33" s="153"/>
      <c r="AG33" s="12"/>
    </row>
    <row r="34" spans="2:33" s="6" customFormat="1" ht="12" customHeight="1">
      <c r="B34" s="153"/>
      <c r="AG34" s="12"/>
    </row>
    <row r="35" spans="2:33" s="6" customFormat="1" ht="12" customHeight="1" thickBot="1">
      <c r="B35" s="37"/>
      <c r="AG35" s="12"/>
    </row>
    <row r="36" spans="2:33" s="6" customFormat="1" ht="12" customHeight="1">
      <c r="B36" s="155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5"/>
    </row>
    <row r="37" spans="2:33" s="6" customFormat="1" ht="12" customHeight="1">
      <c r="B37" s="153"/>
      <c r="AG37" s="12"/>
    </row>
    <row r="38" spans="2:33" s="6" customFormat="1" ht="12" customHeight="1">
      <c r="B38" s="36"/>
      <c r="AG38" s="12"/>
    </row>
    <row r="39" spans="2:33" s="6" customFormat="1" ht="12" customHeight="1">
      <c r="B39" s="36"/>
      <c r="AG39" s="12"/>
    </row>
    <row r="40" spans="2:33" s="6" customFormat="1" ht="12" customHeight="1">
      <c r="B40" s="36"/>
      <c r="AG40" s="12"/>
    </row>
    <row r="41" spans="2:33" s="6" customFormat="1" ht="12" customHeight="1">
      <c r="B41" s="153"/>
      <c r="AG41" s="12"/>
    </row>
    <row r="42" spans="2:33" s="6" customFormat="1" ht="12" customHeight="1">
      <c r="B42" s="153"/>
      <c r="AG42" s="12"/>
    </row>
    <row r="43" spans="2:33" s="6" customFormat="1" ht="12" customHeight="1">
      <c r="B43" s="36"/>
      <c r="AG43" s="12"/>
    </row>
    <row r="44" spans="2:33" s="6" customFormat="1" ht="12" customHeight="1">
      <c r="B44" s="36"/>
      <c r="AG44" s="12"/>
    </row>
    <row r="45" spans="2:33" s="6" customFormat="1" ht="12" customHeight="1">
      <c r="B45" s="36"/>
      <c r="AG45" s="12"/>
    </row>
    <row r="46" spans="2:33" s="6" customFormat="1" ht="12" customHeight="1" thickBot="1">
      <c r="B46" s="35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8"/>
    </row>
    <row r="47" spans="2:33" s="6" customFormat="1" ht="6" customHeight="1">
      <c r="B47" s="34"/>
      <c r="AG47" s="12"/>
    </row>
    <row r="48" spans="2:33" s="18" customFormat="1" ht="15" customHeight="1">
      <c r="B48" s="33">
        <v>1</v>
      </c>
      <c r="C48" s="32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0"/>
    </row>
    <row r="49" spans="2:55" s="18" customFormat="1" ht="15" customHeight="1">
      <c r="B49" s="29">
        <v>2</v>
      </c>
      <c r="C49" s="28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6"/>
    </row>
    <row r="50" spans="2:55" s="18" customFormat="1" ht="15" customHeight="1">
      <c r="B50" s="29">
        <v>3</v>
      </c>
      <c r="C50" s="28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6"/>
    </row>
    <row r="51" spans="2:55" s="18" customFormat="1" ht="15" customHeight="1">
      <c r="B51" s="29">
        <v>4</v>
      </c>
      <c r="C51" s="28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6"/>
    </row>
    <row r="52" spans="2:55" s="18" customFormat="1" ht="15" customHeight="1">
      <c r="B52" s="22">
        <v>5</v>
      </c>
      <c r="C52" s="28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6"/>
    </row>
    <row r="53" spans="2:55" s="18" customFormat="1" ht="15" customHeight="1">
      <c r="B53" s="22" t="s">
        <v>13</v>
      </c>
      <c r="C53" s="25" t="str">
        <f t="shared" ref="C53:AG53" si="0">IF(ISERR(AVERAGE(C48:C52))," ",AVERAGE(C48:C52))</f>
        <v xml:space="preserve"> </v>
      </c>
      <c r="D53" s="24" t="str">
        <f t="shared" si="0"/>
        <v xml:space="preserve"> </v>
      </c>
      <c r="E53" s="24" t="str">
        <f t="shared" si="0"/>
        <v xml:space="preserve"> </v>
      </c>
      <c r="F53" s="24" t="str">
        <f t="shared" si="0"/>
        <v xml:space="preserve"> </v>
      </c>
      <c r="G53" s="24" t="str">
        <f t="shared" si="0"/>
        <v xml:space="preserve"> </v>
      </c>
      <c r="H53" s="24" t="str">
        <f t="shared" si="0"/>
        <v xml:space="preserve"> </v>
      </c>
      <c r="I53" s="24" t="str">
        <f t="shared" si="0"/>
        <v xml:space="preserve"> </v>
      </c>
      <c r="J53" s="24" t="str">
        <f t="shared" si="0"/>
        <v xml:space="preserve"> </v>
      </c>
      <c r="K53" s="24" t="str">
        <f t="shared" si="0"/>
        <v xml:space="preserve"> </v>
      </c>
      <c r="L53" s="24" t="str">
        <f t="shared" si="0"/>
        <v xml:space="preserve"> </v>
      </c>
      <c r="M53" s="24" t="str">
        <f t="shared" si="0"/>
        <v xml:space="preserve"> </v>
      </c>
      <c r="N53" s="24" t="str">
        <f t="shared" si="0"/>
        <v xml:space="preserve"> </v>
      </c>
      <c r="O53" s="24" t="str">
        <f t="shared" si="0"/>
        <v xml:space="preserve"> </v>
      </c>
      <c r="P53" s="24" t="str">
        <f t="shared" si="0"/>
        <v xml:space="preserve"> </v>
      </c>
      <c r="Q53" s="24" t="str">
        <f t="shared" si="0"/>
        <v xml:space="preserve"> </v>
      </c>
      <c r="R53" s="24" t="str">
        <f t="shared" si="0"/>
        <v xml:space="preserve"> </v>
      </c>
      <c r="S53" s="24" t="str">
        <f t="shared" si="0"/>
        <v xml:space="preserve"> </v>
      </c>
      <c r="T53" s="24" t="str">
        <f t="shared" si="0"/>
        <v xml:space="preserve"> </v>
      </c>
      <c r="U53" s="24" t="str">
        <f t="shared" si="0"/>
        <v xml:space="preserve"> </v>
      </c>
      <c r="V53" s="24" t="str">
        <f t="shared" si="0"/>
        <v xml:space="preserve"> </v>
      </c>
      <c r="W53" s="24" t="str">
        <f t="shared" si="0"/>
        <v xml:space="preserve"> </v>
      </c>
      <c r="X53" s="24" t="str">
        <f t="shared" si="0"/>
        <v xml:space="preserve"> </v>
      </c>
      <c r="Y53" s="24" t="str">
        <f t="shared" si="0"/>
        <v xml:space="preserve"> </v>
      </c>
      <c r="Z53" s="24" t="str">
        <f t="shared" si="0"/>
        <v xml:space="preserve"> </v>
      </c>
      <c r="AA53" s="24" t="str">
        <f t="shared" si="0"/>
        <v xml:space="preserve"> </v>
      </c>
      <c r="AB53" s="24" t="str">
        <f t="shared" si="0"/>
        <v xml:space="preserve"> </v>
      </c>
      <c r="AC53" s="24" t="str">
        <f t="shared" si="0"/>
        <v xml:space="preserve"> </v>
      </c>
      <c r="AD53" s="24" t="str">
        <f t="shared" si="0"/>
        <v xml:space="preserve"> </v>
      </c>
      <c r="AE53" s="24" t="str">
        <f t="shared" si="0"/>
        <v xml:space="preserve"> </v>
      </c>
      <c r="AF53" s="24" t="str">
        <f t="shared" si="0"/>
        <v xml:space="preserve"> </v>
      </c>
      <c r="AG53" s="23" t="str">
        <f t="shared" si="0"/>
        <v xml:space="preserve"> </v>
      </c>
    </row>
    <row r="54" spans="2:55" s="18" customFormat="1" ht="15" customHeight="1">
      <c r="B54" s="22" t="s">
        <v>3</v>
      </c>
      <c r="C54" s="117">
        <f t="shared" ref="C54:AG54" si="1">MAX(C48:C52)-MIN(C48:C52)</f>
        <v>0</v>
      </c>
      <c r="D54" s="118">
        <f t="shared" si="1"/>
        <v>0</v>
      </c>
      <c r="E54" s="118">
        <f t="shared" si="1"/>
        <v>0</v>
      </c>
      <c r="F54" s="118">
        <f t="shared" si="1"/>
        <v>0</v>
      </c>
      <c r="G54" s="118">
        <f t="shared" si="1"/>
        <v>0</v>
      </c>
      <c r="H54" s="118">
        <f t="shared" si="1"/>
        <v>0</v>
      </c>
      <c r="I54" s="118">
        <f t="shared" si="1"/>
        <v>0</v>
      </c>
      <c r="J54" s="118">
        <f t="shared" si="1"/>
        <v>0</v>
      </c>
      <c r="K54" s="118">
        <f t="shared" si="1"/>
        <v>0</v>
      </c>
      <c r="L54" s="118">
        <f t="shared" si="1"/>
        <v>0</v>
      </c>
      <c r="M54" s="118">
        <f t="shared" si="1"/>
        <v>0</v>
      </c>
      <c r="N54" s="118">
        <f t="shared" si="1"/>
        <v>0</v>
      </c>
      <c r="O54" s="118">
        <f t="shared" si="1"/>
        <v>0</v>
      </c>
      <c r="P54" s="118">
        <f t="shared" si="1"/>
        <v>0</v>
      </c>
      <c r="Q54" s="118">
        <f t="shared" si="1"/>
        <v>0</v>
      </c>
      <c r="R54" s="21">
        <f t="shared" si="1"/>
        <v>0</v>
      </c>
      <c r="S54" s="21">
        <f t="shared" si="1"/>
        <v>0</v>
      </c>
      <c r="T54" s="21">
        <f t="shared" si="1"/>
        <v>0</v>
      </c>
      <c r="U54" s="21">
        <f t="shared" si="1"/>
        <v>0</v>
      </c>
      <c r="V54" s="21">
        <f t="shared" si="1"/>
        <v>0</v>
      </c>
      <c r="W54" s="21">
        <f t="shared" si="1"/>
        <v>0</v>
      </c>
      <c r="X54" s="21">
        <f t="shared" si="1"/>
        <v>0</v>
      </c>
      <c r="Y54" s="21">
        <f t="shared" si="1"/>
        <v>0</v>
      </c>
      <c r="Z54" s="21">
        <f t="shared" si="1"/>
        <v>0</v>
      </c>
      <c r="AA54" s="21">
        <f t="shared" si="1"/>
        <v>0</v>
      </c>
      <c r="AB54" s="21">
        <f t="shared" si="1"/>
        <v>0</v>
      </c>
      <c r="AC54" s="21">
        <f t="shared" si="1"/>
        <v>0</v>
      </c>
      <c r="AD54" s="21">
        <f t="shared" si="1"/>
        <v>0</v>
      </c>
      <c r="AE54" s="21">
        <f t="shared" si="1"/>
        <v>0</v>
      </c>
      <c r="AF54" s="21">
        <f t="shared" si="1"/>
        <v>0</v>
      </c>
      <c r="AG54" s="20">
        <f t="shared" si="1"/>
        <v>0</v>
      </c>
    </row>
    <row r="55" spans="2:55" s="18" customFormat="1" ht="20.100000000000001" customHeight="1">
      <c r="B55" s="19" t="s">
        <v>18</v>
      </c>
      <c r="C55" s="119"/>
      <c r="D55" s="120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120"/>
      <c r="R55" s="120"/>
      <c r="S55" s="120"/>
      <c r="T55" s="120"/>
      <c r="U55" s="120"/>
      <c r="V55" s="120"/>
      <c r="W55" s="120"/>
      <c r="X55" s="120"/>
      <c r="Y55" s="120"/>
      <c r="Z55" s="120"/>
      <c r="AA55" s="120"/>
      <c r="AB55" s="120"/>
      <c r="AC55" s="120"/>
      <c r="AD55" s="120"/>
      <c r="AE55" s="120"/>
      <c r="AF55" s="120"/>
      <c r="AG55" s="121"/>
    </row>
    <row r="56" spans="2:55" s="18" customFormat="1" ht="26.25" thickBot="1">
      <c r="B56" s="139" t="str">
        <f>'P6 - Esp. Lado'!B56</f>
        <v xml:space="preserve">Visto do Lider / Sublíder </v>
      </c>
      <c r="C56" s="122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4"/>
    </row>
    <row r="57" spans="2:55" s="6" customFormat="1" ht="20.100000000000001" customHeight="1">
      <c r="B57" s="156" t="s">
        <v>17</v>
      </c>
      <c r="C57" s="157"/>
      <c r="D57" s="157"/>
      <c r="E57" s="158"/>
      <c r="F57" s="17" t="s">
        <v>16</v>
      </c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5"/>
    </row>
    <row r="58" spans="2:55" s="6" customFormat="1" ht="20.100000000000001" customHeight="1">
      <c r="B58" s="14"/>
      <c r="C58" s="13" t="s">
        <v>15</v>
      </c>
      <c r="D58" s="13"/>
      <c r="E58" s="12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6"/>
    </row>
    <row r="59" spans="2:55" s="6" customFormat="1" ht="20.100000000000001" customHeight="1">
      <c r="B59" s="159" t="s">
        <v>14</v>
      </c>
      <c r="C59" s="160"/>
      <c r="D59" s="160"/>
      <c r="E59" s="12"/>
      <c r="F59" s="125"/>
      <c r="G59" s="125"/>
      <c r="H59" s="125"/>
      <c r="I59" s="125"/>
      <c r="J59" s="125"/>
      <c r="K59" s="125"/>
      <c r="L59" s="125"/>
      <c r="M59" s="125"/>
      <c r="N59" s="125"/>
      <c r="O59" s="127"/>
      <c r="P59" s="125"/>
      <c r="Q59" s="125"/>
      <c r="R59" s="125"/>
      <c r="S59" s="125"/>
      <c r="T59" s="125"/>
      <c r="U59" s="125"/>
      <c r="V59" s="125"/>
      <c r="W59" s="125"/>
      <c r="X59" s="125"/>
      <c r="Y59" s="125"/>
      <c r="Z59" s="125"/>
      <c r="AA59" s="125"/>
      <c r="AB59" s="125"/>
      <c r="AC59" s="125"/>
      <c r="AD59" s="125"/>
      <c r="AE59" s="125"/>
      <c r="AF59" s="125"/>
      <c r="AG59" s="126"/>
    </row>
    <row r="60" spans="2:55" s="6" customFormat="1" ht="20.100000000000001" customHeight="1" thickBot="1">
      <c r="B60" s="11"/>
      <c r="C60" s="10" t="s">
        <v>13</v>
      </c>
      <c r="D60" s="9"/>
      <c r="E60" s="8"/>
      <c r="F60" s="128"/>
      <c r="G60" s="128"/>
      <c r="H60" s="128"/>
      <c r="I60" s="128"/>
      <c r="J60" s="128"/>
      <c r="K60" s="128"/>
      <c r="L60" s="128"/>
      <c r="M60" s="128"/>
      <c r="N60" s="128"/>
      <c r="O60" s="128"/>
      <c r="P60" s="128"/>
      <c r="Q60" s="128"/>
      <c r="R60" s="128"/>
      <c r="S60" s="128"/>
      <c r="T60" s="128"/>
      <c r="U60" s="128"/>
      <c r="V60" s="128"/>
      <c r="W60" s="128"/>
      <c r="X60" s="128"/>
      <c r="Y60" s="128"/>
      <c r="Z60" s="128"/>
      <c r="AA60" s="128"/>
      <c r="AB60" s="128"/>
      <c r="AC60" s="128"/>
      <c r="AD60" s="128"/>
      <c r="AE60" s="128"/>
      <c r="AF60" s="128"/>
      <c r="AG60" s="129"/>
    </row>
    <row r="61" spans="2:55" s="6" customFormat="1" ht="7.5" customHeight="1"/>
    <row r="62" spans="2:55" s="6" customFormat="1" ht="15.75">
      <c r="B62" s="161" t="s">
        <v>12</v>
      </c>
      <c r="C62" s="144"/>
      <c r="D62" s="144"/>
      <c r="E62" s="144"/>
      <c r="F62" s="144"/>
      <c r="G62" s="142" t="s">
        <v>11</v>
      </c>
      <c r="H62" s="142"/>
      <c r="I62" s="142"/>
      <c r="J62" s="142"/>
      <c r="K62" s="151"/>
      <c r="L62" s="142" t="s">
        <v>10</v>
      </c>
      <c r="M62" s="142"/>
      <c r="N62" s="142"/>
      <c r="O62" s="142"/>
      <c r="P62" s="142"/>
      <c r="Q62" s="142"/>
      <c r="R62" s="142"/>
      <c r="S62" s="144" t="s">
        <v>9</v>
      </c>
      <c r="T62" s="144"/>
      <c r="U62" s="144"/>
      <c r="V62" s="144"/>
      <c r="W62" s="146" t="s">
        <v>51</v>
      </c>
      <c r="X62" s="144"/>
      <c r="Y62" s="144"/>
      <c r="Z62" s="144"/>
      <c r="AA62" s="144"/>
      <c r="AB62" s="144"/>
      <c r="AC62" s="144" t="s">
        <v>11</v>
      </c>
      <c r="AD62" s="144"/>
      <c r="AE62" s="144"/>
      <c r="AF62" s="144"/>
      <c r="AG62" s="148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</row>
    <row r="63" spans="2:55" s="6" customFormat="1" ht="15.75">
      <c r="B63" s="162"/>
      <c r="C63" s="145"/>
      <c r="D63" s="145"/>
      <c r="E63" s="145"/>
      <c r="F63" s="145"/>
      <c r="G63" s="143"/>
      <c r="H63" s="143"/>
      <c r="I63" s="143"/>
      <c r="J63" s="143"/>
      <c r="K63" s="152"/>
      <c r="L63" s="143"/>
      <c r="M63" s="143"/>
      <c r="N63" s="143"/>
      <c r="O63" s="143"/>
      <c r="P63" s="143"/>
      <c r="Q63" s="143"/>
      <c r="R63" s="143"/>
      <c r="S63" s="145"/>
      <c r="T63" s="145"/>
      <c r="U63" s="145"/>
      <c r="V63" s="145"/>
      <c r="W63" s="147"/>
      <c r="X63" s="145"/>
      <c r="Y63" s="145"/>
      <c r="Z63" s="145"/>
      <c r="AA63" s="145"/>
      <c r="AB63" s="145"/>
      <c r="AC63" s="145"/>
      <c r="AD63" s="145"/>
      <c r="AE63" s="145"/>
      <c r="AF63" s="145"/>
      <c r="AG63" s="149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</row>
    <row r="64" spans="2:55" ht="14.25">
      <c r="B64" s="4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4"/>
      <c r="AS64" s="150"/>
      <c r="AT64" s="150"/>
      <c r="AU64" s="150"/>
      <c r="AV64" s="150"/>
      <c r="AW64" s="150"/>
      <c r="AX64" s="150"/>
      <c r="AY64" s="150"/>
      <c r="AZ64" s="150"/>
      <c r="BA64" s="150"/>
      <c r="BB64" s="150"/>
      <c r="BC64" s="150"/>
    </row>
    <row r="65" spans="2:5">
      <c r="B65" s="1" t="s">
        <v>8</v>
      </c>
    </row>
    <row r="66" spans="2:5">
      <c r="B66" s="1" t="s">
        <v>7</v>
      </c>
      <c r="C66" s="2" t="e">
        <f>AVERAGE(C53:AG53)+0.577*C69</f>
        <v>#DIV/0!</v>
      </c>
    </row>
    <row r="67" spans="2:5">
      <c r="B67" s="1" t="s">
        <v>6</v>
      </c>
      <c r="C67" s="2" t="e">
        <f>AVERAGE(C53:AG53)</f>
        <v>#DIV/0!</v>
      </c>
      <c r="D67" s="3" t="s">
        <v>5</v>
      </c>
      <c r="E67" s="1" t="e">
        <f>STDEV(C48:AF52)</f>
        <v>#DIV/0!</v>
      </c>
    </row>
    <row r="68" spans="2:5">
      <c r="B68" s="1" t="s">
        <v>4</v>
      </c>
      <c r="C68" s="2" t="e">
        <f>C67-0.577*C69</f>
        <v>#DIV/0!</v>
      </c>
    </row>
    <row r="69" spans="2:5">
      <c r="B69" s="1" t="s">
        <v>3</v>
      </c>
      <c r="C69" s="2" t="e">
        <f>2.115*(SUM(C54:AG54)/COUNTIF(C54:AG54,"&lt;&gt;0"))</f>
        <v>#DIV/0!</v>
      </c>
    </row>
    <row r="71" spans="2:5">
      <c r="B71" s="1" t="s">
        <v>2</v>
      </c>
    </row>
    <row r="73" spans="2:5">
      <c r="B73" s="1" t="s">
        <v>1</v>
      </c>
      <c r="C73" s="2" t="e">
        <f>E7/(6*E67)</f>
        <v>#DIV/0!</v>
      </c>
    </row>
    <row r="74" spans="2:5">
      <c r="B74" s="1" t="s">
        <v>0</v>
      </c>
      <c r="C74" s="2" t="e">
        <f>MIN((E4-C67)/(3*E67),(C67-E6)/(3*E67))</f>
        <v>#DIV/0!</v>
      </c>
    </row>
    <row r="75" spans="2:5">
      <c r="C75" s="1">
        <f>COUNTIF(C10:AG10,"&gt;0")</f>
        <v>0</v>
      </c>
    </row>
    <row r="78" spans="2:5">
      <c r="B78" s="1" t="s">
        <v>52</v>
      </c>
      <c r="C78" s="2" t="e">
        <f>AVERAGE(C48:AG52,'P7 - Esp. Fundo'!C48:AG52,'P6 - Esp. Fundo'!C48:AG52)</f>
        <v>#DIV/0!</v>
      </c>
    </row>
  </sheetData>
  <sheetProtection algorithmName="SHA-512" hashValue="oRbsPRzPVY+6KD7uvT3i2luxebpRZAbQXXCjMLj2RbxQ5v0P/gEvLudbZq9WHyACC0b5j0FKHVOqsfG47SvNwg==" saltValue="GGHecV4G886AnUPreOmLqw==" spinCount="100000" sheet="1" objects="1" scenarios="1" selectLockedCells="1"/>
  <mergeCells count="29">
    <mergeCell ref="B21:B22"/>
    <mergeCell ref="I2:J3"/>
    <mergeCell ref="K2:L3"/>
    <mergeCell ref="M2:Q3"/>
    <mergeCell ref="R2:T2"/>
    <mergeCell ref="R3:T3"/>
    <mergeCell ref="AD4:AG5"/>
    <mergeCell ref="B13:B14"/>
    <mergeCell ref="B15:B16"/>
    <mergeCell ref="B17:B18"/>
    <mergeCell ref="B19:B20"/>
    <mergeCell ref="Z4:AC5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L62:R63"/>
    <mergeCell ref="S62:V63"/>
    <mergeCell ref="W62:AB63"/>
    <mergeCell ref="AC62:AG63"/>
    <mergeCell ref="AS64:BC64"/>
  </mergeCells>
  <conditionalFormatting sqref="N48:AG52">
    <cfRule type="expression" dxfId="3" priority="2">
      <formula>((N48&gt;=$G$4)+(N48&lt;=$G$6))*(N48&gt;0)</formula>
    </cfRule>
  </conditionalFormatting>
  <conditionalFormatting sqref="C48:M52">
    <cfRule type="expression" dxfId="2" priority="1">
      <formula>((C48&gt;=$G$4)+(C48&lt;=$G$6))*(C48&gt;0)</formula>
    </cfRule>
  </conditionalFormatting>
  <dataValidations count="3">
    <dataValidation type="whole" showErrorMessage="1" errorTitle="Data" error="Digite apenas o dia entre 1 e 31" sqref="C10:D10" xr:uid="{00000000-0002-0000-0600-000000000000}">
      <formula1>1</formula1>
      <formula2>31</formula2>
    </dataValidation>
    <dataValidation type="list" showErrorMessage="1" promptTitle="Turno" prompt="Escolha" sqref="C11:AG11" xr:uid="{00000000-0002-0000-0600-000001000000}">
      <formula1>Turnos</formula1>
    </dataValidation>
    <dataValidation type="whole" showInputMessage="1" showErrorMessage="1" errorTitle="Data" error="Digite apenas o dia entre 1 e 31" sqref="E10:AG10" xr:uid="{00000000-0002-0000-0600-000002000000}">
      <formula1>1</formula1>
      <formula2>31</formula2>
    </dataValidation>
  </dataValidations>
  <printOptions horizontalCentered="1"/>
  <pageMargins left="0" right="0" top="0.59055118110236227" bottom="0.39370078740157483" header="0.39370078740157483" footer="0.23622047244094491"/>
  <pageSetup paperSize="9" scale="60" orientation="landscape" r:id="rId1"/>
  <headerFooter alignWithMargins="0">
    <oddFooter xml:space="preserve">&amp;RSJCPIL-R 15-074-02 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9">
    <tabColor indexed="47"/>
    <pageSetUpPr fitToPage="1"/>
  </sheetPr>
  <dimension ref="B1:BC75"/>
  <sheetViews>
    <sheetView showZeros="0" tabSelected="1" topLeftCell="A12" zoomScaleNormal="100" workbookViewId="0">
      <selection activeCell="H55" sqref="H55"/>
    </sheetView>
  </sheetViews>
  <sheetFormatPr defaultColWidth="10.28515625" defaultRowHeight="12.75"/>
  <cols>
    <col min="1" max="1" width="1.5703125" style="1" customWidth="1"/>
    <col min="2" max="2" width="16.140625" style="1" customWidth="1"/>
    <col min="3" max="33" width="6.7109375" style="1" customWidth="1"/>
    <col min="34" max="34" width="3.140625" style="1" customWidth="1"/>
    <col min="35" max="55" width="6.7109375" style="1" customWidth="1"/>
    <col min="56" max="16384" width="10.28515625" style="1"/>
  </cols>
  <sheetData>
    <row r="1" spans="2:50" ht="21.75" thickBot="1">
      <c r="B1" s="86" t="s">
        <v>40</v>
      </c>
      <c r="C1" s="100"/>
      <c r="D1" s="100"/>
      <c r="E1" s="100"/>
      <c r="F1" s="101"/>
      <c r="G1" s="101"/>
      <c r="H1" s="99"/>
      <c r="I1" s="102" t="s">
        <v>39</v>
      </c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4"/>
      <c r="AX1" s="83"/>
    </row>
    <row r="2" spans="2:50" s="77" customFormat="1" ht="19.5" customHeight="1">
      <c r="B2" s="87" t="s">
        <v>41</v>
      </c>
      <c r="C2" s="88"/>
      <c r="D2" s="103"/>
      <c r="E2" s="103"/>
      <c r="F2" s="104"/>
      <c r="G2" s="104"/>
      <c r="H2" s="98"/>
      <c r="I2" s="169" t="s">
        <v>38</v>
      </c>
      <c r="J2" s="170"/>
      <c r="K2" s="173" t="s">
        <v>37</v>
      </c>
      <c r="L2" s="174"/>
      <c r="M2" s="177" t="s">
        <v>50</v>
      </c>
      <c r="N2" s="178"/>
      <c r="O2" s="178"/>
      <c r="P2" s="178"/>
      <c r="Q2" s="179"/>
      <c r="R2" s="183" t="s">
        <v>36</v>
      </c>
      <c r="S2" s="184"/>
      <c r="T2" s="185"/>
      <c r="U2" s="82" t="s">
        <v>35</v>
      </c>
      <c r="V2" s="81"/>
      <c r="W2" s="81"/>
      <c r="X2" s="81"/>
      <c r="Y2" s="81"/>
      <c r="Z2" s="80"/>
      <c r="AA2" s="80"/>
      <c r="AB2" s="80"/>
      <c r="AC2" s="80"/>
      <c r="AD2" s="80"/>
      <c r="AE2" s="79"/>
      <c r="AF2" s="79"/>
      <c r="AG2" s="78"/>
    </row>
    <row r="3" spans="2:50" ht="16.899999999999999" customHeight="1" thickBot="1">
      <c r="B3" s="76"/>
      <c r="I3" s="171"/>
      <c r="J3" s="172"/>
      <c r="K3" s="175"/>
      <c r="L3" s="176"/>
      <c r="M3" s="180"/>
      <c r="N3" s="181"/>
      <c r="O3" s="181"/>
      <c r="P3" s="181"/>
      <c r="Q3" s="182"/>
      <c r="R3" s="186" t="s">
        <v>34</v>
      </c>
      <c r="S3" s="187"/>
      <c r="T3" s="188"/>
      <c r="U3" s="75" t="s">
        <v>33</v>
      </c>
      <c r="V3" s="74"/>
      <c r="W3" s="74"/>
      <c r="X3" s="74"/>
      <c r="Y3" s="74"/>
      <c r="Z3" s="74"/>
      <c r="AA3" s="74"/>
      <c r="AB3" s="74"/>
      <c r="AC3" s="74"/>
      <c r="AD3" s="74"/>
      <c r="AE3" s="73"/>
      <c r="AF3" s="73"/>
      <c r="AG3" s="72"/>
    </row>
    <row r="4" spans="2:50" s="13" customFormat="1" ht="16.899999999999999" customHeight="1" thickTop="1">
      <c r="B4" s="71" t="s">
        <v>32</v>
      </c>
      <c r="C4" s="70"/>
      <c r="D4" s="69" t="s">
        <v>23</v>
      </c>
      <c r="E4" s="68">
        <f>E5+0.2</f>
        <v>53.900000000000006</v>
      </c>
      <c r="F4" s="67" t="s">
        <v>23</v>
      </c>
      <c r="G4" s="66">
        <f>G5+0.15</f>
        <v>53.85</v>
      </c>
      <c r="H4" s="108"/>
      <c r="I4" s="109"/>
      <c r="Z4" s="167" t="str">
        <f ca="1">'P6 - Esp. Lado'!Z4:AC5</f>
        <v>MÊS: 03</v>
      </c>
      <c r="AA4" s="163"/>
      <c r="AB4" s="163"/>
      <c r="AC4" s="163"/>
      <c r="AD4" s="163" t="str">
        <f ca="1">'P6 - Esp. Lado'!AD4:AG5</f>
        <v>ANO: 2022</v>
      </c>
      <c r="AE4" s="163"/>
      <c r="AF4" s="163"/>
      <c r="AG4" s="164"/>
    </row>
    <row r="5" spans="2:50" s="13" customFormat="1" ht="16.899999999999999" customHeight="1" thickBot="1">
      <c r="B5" s="65" t="e">
        <f>#REF!</f>
        <v>#REF!</v>
      </c>
      <c r="C5" s="90" t="s">
        <v>6</v>
      </c>
      <c r="D5" s="64" t="s">
        <v>31</v>
      </c>
      <c r="E5" s="63">
        <v>53.7</v>
      </c>
      <c r="F5" s="62" t="s">
        <v>30</v>
      </c>
      <c r="G5" s="61">
        <v>53.7</v>
      </c>
      <c r="H5" s="108"/>
      <c r="I5" s="13" t="s">
        <v>29</v>
      </c>
      <c r="R5" s="13" t="s">
        <v>28</v>
      </c>
      <c r="Z5" s="168"/>
      <c r="AA5" s="165"/>
      <c r="AB5" s="165"/>
      <c r="AC5" s="165"/>
      <c r="AD5" s="165"/>
      <c r="AE5" s="165"/>
      <c r="AF5" s="165"/>
      <c r="AG5" s="166"/>
    </row>
    <row r="6" spans="2:50" s="13" customFormat="1" ht="16.899999999999999" customHeight="1">
      <c r="B6" s="60" t="s">
        <v>27</v>
      </c>
      <c r="C6" s="92"/>
      <c r="D6" s="59" t="s">
        <v>26</v>
      </c>
      <c r="E6" s="58">
        <f>E5-0.2</f>
        <v>53.5</v>
      </c>
      <c r="F6" s="57" t="s">
        <v>26</v>
      </c>
      <c r="G6" s="56">
        <f>G5-0.15</f>
        <v>53.550000000000004</v>
      </c>
      <c r="H6" s="108"/>
      <c r="I6" s="13" t="s">
        <v>25</v>
      </c>
      <c r="R6" s="13" t="s">
        <v>24</v>
      </c>
      <c r="AC6" s="55"/>
      <c r="AD6" s="55"/>
      <c r="AG6" s="54"/>
    </row>
    <row r="7" spans="2:50" s="13" customFormat="1" ht="16.899999999999999" customHeight="1" thickBot="1">
      <c r="B7" s="53"/>
      <c r="C7" s="93" t="s">
        <v>3</v>
      </c>
      <c r="D7" s="52" t="s">
        <v>23</v>
      </c>
      <c r="E7" s="51">
        <f>E4-E6</f>
        <v>0.40000000000000568</v>
      </c>
      <c r="F7" s="50" t="s">
        <v>23</v>
      </c>
      <c r="G7" s="49">
        <f>G4-G6</f>
        <v>0.29999999999999716</v>
      </c>
      <c r="H7" s="115"/>
      <c r="I7" s="47" t="s">
        <v>22</v>
      </c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8"/>
      <c r="AD7" s="48"/>
      <c r="AE7" s="47"/>
      <c r="AF7" s="47"/>
      <c r="AG7" s="46"/>
    </row>
    <row r="8" spans="2:50" s="13" customFormat="1" ht="4.5" customHeight="1" thickBot="1"/>
    <row r="9" spans="2:50" s="6" customFormat="1">
      <c r="B9" s="45" t="s">
        <v>21</v>
      </c>
      <c r="C9" s="44">
        <v>1</v>
      </c>
      <c r="D9" s="44">
        <v>2</v>
      </c>
      <c r="E9" s="44">
        <v>3</v>
      </c>
      <c r="F9" s="44">
        <v>4</v>
      </c>
      <c r="G9" s="44">
        <v>5</v>
      </c>
      <c r="H9" s="44">
        <v>6</v>
      </c>
      <c r="I9" s="44">
        <v>7</v>
      </c>
      <c r="J9" s="44">
        <v>8</v>
      </c>
      <c r="K9" s="44">
        <v>9</v>
      </c>
      <c r="L9" s="44">
        <v>10</v>
      </c>
      <c r="M9" s="44">
        <v>11</v>
      </c>
      <c r="N9" s="44">
        <v>12</v>
      </c>
      <c r="O9" s="44">
        <v>13</v>
      </c>
      <c r="P9" s="44">
        <v>14</v>
      </c>
      <c r="Q9" s="44">
        <v>15</v>
      </c>
      <c r="R9" s="44">
        <v>16</v>
      </c>
      <c r="S9" s="44">
        <v>17</v>
      </c>
      <c r="T9" s="44">
        <v>18</v>
      </c>
      <c r="U9" s="44">
        <v>19</v>
      </c>
      <c r="V9" s="44">
        <v>20</v>
      </c>
      <c r="W9" s="44">
        <v>21</v>
      </c>
      <c r="X9" s="44">
        <v>22</v>
      </c>
      <c r="Y9" s="44">
        <v>23</v>
      </c>
      <c r="Z9" s="44">
        <v>24</v>
      </c>
      <c r="AA9" s="44">
        <v>25</v>
      </c>
      <c r="AB9" s="44">
        <v>26</v>
      </c>
      <c r="AC9" s="44">
        <v>27</v>
      </c>
      <c r="AD9" s="44">
        <v>28</v>
      </c>
      <c r="AE9" s="44">
        <v>29</v>
      </c>
      <c r="AF9" s="44">
        <v>30</v>
      </c>
      <c r="AG9" s="43">
        <v>31</v>
      </c>
    </row>
    <row r="10" spans="2:50" s="6" customFormat="1" ht="14.1" customHeight="1">
      <c r="B10" s="42" t="s">
        <v>20</v>
      </c>
      <c r="C10" s="116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39"/>
    </row>
    <row r="11" spans="2:50" s="6" customFormat="1" ht="14.1" customHeight="1">
      <c r="B11" s="41" t="s">
        <v>19</v>
      </c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39"/>
    </row>
    <row r="12" spans="2:50" s="6" customFormat="1" ht="12" customHeight="1">
      <c r="B12" s="38"/>
      <c r="AG12" s="12"/>
    </row>
    <row r="13" spans="2:50" s="6" customFormat="1" ht="12" customHeight="1">
      <c r="B13" s="153"/>
      <c r="AG13" s="12"/>
    </row>
    <row r="14" spans="2:50" s="6" customFormat="1" ht="12" customHeight="1">
      <c r="B14" s="153"/>
      <c r="AG14" s="12"/>
    </row>
    <row r="15" spans="2:50" s="6" customFormat="1" ht="12" customHeight="1">
      <c r="B15" s="154"/>
      <c r="AG15" s="12"/>
    </row>
    <row r="16" spans="2:50" s="6" customFormat="1" ht="12" customHeight="1">
      <c r="B16" s="154"/>
      <c r="AG16" s="12"/>
    </row>
    <row r="17" spans="2:33" s="6" customFormat="1" ht="12" customHeight="1">
      <c r="B17" s="154"/>
      <c r="AG17" s="12"/>
    </row>
    <row r="18" spans="2:33" s="6" customFormat="1" ht="12" customHeight="1">
      <c r="B18" s="154"/>
      <c r="AG18" s="12"/>
    </row>
    <row r="19" spans="2:33" s="6" customFormat="1" ht="12" customHeight="1">
      <c r="B19" s="154"/>
      <c r="AG19" s="12"/>
    </row>
    <row r="20" spans="2:33" s="6" customFormat="1" ht="12" customHeight="1">
      <c r="B20" s="154"/>
      <c r="AG20" s="12"/>
    </row>
    <row r="21" spans="2:33" s="6" customFormat="1" ht="12" customHeight="1">
      <c r="B21" s="154"/>
      <c r="AG21" s="12"/>
    </row>
    <row r="22" spans="2:33" s="6" customFormat="1" ht="12" customHeight="1">
      <c r="B22" s="154"/>
      <c r="AG22" s="12"/>
    </row>
    <row r="23" spans="2:33" s="6" customFormat="1" ht="12" customHeight="1">
      <c r="B23" s="153"/>
      <c r="AG23" s="12"/>
    </row>
    <row r="24" spans="2:33" s="6" customFormat="1" ht="12" customHeight="1">
      <c r="B24" s="153"/>
      <c r="AG24" s="12"/>
    </row>
    <row r="25" spans="2:33" s="6" customFormat="1" ht="12" customHeight="1">
      <c r="B25" s="154"/>
      <c r="AG25" s="12"/>
    </row>
    <row r="26" spans="2:33" s="6" customFormat="1" ht="12" customHeight="1">
      <c r="B26" s="154"/>
      <c r="AG26" s="12"/>
    </row>
    <row r="27" spans="2:33" s="6" customFormat="1" ht="12" customHeight="1">
      <c r="B27" s="154"/>
      <c r="AG27" s="12"/>
    </row>
    <row r="28" spans="2:33" s="6" customFormat="1" ht="12" customHeight="1">
      <c r="B28" s="154"/>
      <c r="AG28" s="12"/>
    </row>
    <row r="29" spans="2:33" s="6" customFormat="1" ht="12" customHeight="1">
      <c r="B29" s="154"/>
      <c r="AG29" s="12"/>
    </row>
    <row r="30" spans="2:33" s="6" customFormat="1" ht="12" customHeight="1">
      <c r="B30" s="154"/>
      <c r="AG30" s="12"/>
    </row>
    <row r="31" spans="2:33" s="6" customFormat="1" ht="12" customHeight="1">
      <c r="B31" s="154"/>
      <c r="AG31" s="12"/>
    </row>
    <row r="32" spans="2:33" s="6" customFormat="1" ht="12" customHeight="1">
      <c r="B32" s="154"/>
      <c r="AG32" s="12"/>
    </row>
    <row r="33" spans="2:33" s="6" customFormat="1" ht="12" customHeight="1">
      <c r="B33" s="153"/>
      <c r="AG33" s="12"/>
    </row>
    <row r="34" spans="2:33" s="6" customFormat="1" ht="12" customHeight="1">
      <c r="B34" s="153"/>
      <c r="AG34" s="12"/>
    </row>
    <row r="35" spans="2:33" s="6" customFormat="1" ht="12" customHeight="1" thickBot="1">
      <c r="B35" s="37"/>
      <c r="AG35" s="12"/>
    </row>
    <row r="36" spans="2:33" s="6" customFormat="1" ht="12" customHeight="1">
      <c r="B36" s="155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5"/>
    </row>
    <row r="37" spans="2:33" s="6" customFormat="1" ht="12" customHeight="1">
      <c r="B37" s="153"/>
      <c r="AG37" s="12"/>
    </row>
    <row r="38" spans="2:33" s="6" customFormat="1" ht="12" customHeight="1">
      <c r="B38" s="36"/>
      <c r="AG38" s="12"/>
    </row>
    <row r="39" spans="2:33" s="6" customFormat="1" ht="12" customHeight="1">
      <c r="B39" s="36"/>
      <c r="AG39" s="12"/>
    </row>
    <row r="40" spans="2:33" s="6" customFormat="1" ht="12" customHeight="1">
      <c r="B40" s="36"/>
      <c r="AG40" s="12"/>
    </row>
    <row r="41" spans="2:33" s="6" customFormat="1" ht="12" customHeight="1">
      <c r="B41" s="153"/>
      <c r="AG41" s="12"/>
    </row>
    <row r="42" spans="2:33" s="6" customFormat="1" ht="12" customHeight="1">
      <c r="B42" s="153"/>
      <c r="AG42" s="12"/>
    </row>
    <row r="43" spans="2:33" s="6" customFormat="1" ht="12" customHeight="1">
      <c r="B43" s="36"/>
      <c r="AG43" s="12"/>
    </row>
    <row r="44" spans="2:33" s="6" customFormat="1" ht="12" customHeight="1">
      <c r="B44" s="36"/>
      <c r="AG44" s="12"/>
    </row>
    <row r="45" spans="2:33" s="6" customFormat="1" ht="12" customHeight="1">
      <c r="B45" s="36"/>
      <c r="AG45" s="12"/>
    </row>
    <row r="46" spans="2:33" s="6" customFormat="1" ht="12" customHeight="1" thickBot="1">
      <c r="B46" s="35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8"/>
    </row>
    <row r="47" spans="2:33" s="6" customFormat="1" ht="6" customHeight="1">
      <c r="B47" s="34"/>
      <c r="AG47" s="12"/>
    </row>
    <row r="48" spans="2:33" s="18" customFormat="1" ht="15" customHeight="1">
      <c r="B48" s="33">
        <v>1</v>
      </c>
      <c r="C48" s="32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0"/>
    </row>
    <row r="49" spans="2:55" s="18" customFormat="1" ht="15" customHeight="1">
      <c r="B49" s="29">
        <v>2</v>
      </c>
      <c r="C49" s="28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6"/>
    </row>
    <row r="50" spans="2:55" s="18" customFormat="1" ht="15" customHeight="1">
      <c r="B50" s="29">
        <v>3</v>
      </c>
      <c r="C50" s="28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6"/>
    </row>
    <row r="51" spans="2:55" s="18" customFormat="1" ht="15" customHeight="1">
      <c r="B51" s="29">
        <v>4</v>
      </c>
      <c r="C51" s="28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6"/>
    </row>
    <row r="52" spans="2:55" s="18" customFormat="1" ht="15" customHeight="1">
      <c r="B52" s="22">
        <v>5</v>
      </c>
      <c r="C52" s="28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6"/>
    </row>
    <row r="53" spans="2:55" s="18" customFormat="1" ht="15" customHeight="1">
      <c r="B53" s="22" t="s">
        <v>13</v>
      </c>
      <c r="C53" s="25" t="str">
        <f t="shared" ref="C53:AG53" si="0">IF(ISERR(AVERAGE(C48:C52))," ",AVERAGE(C48:C52))</f>
        <v xml:space="preserve"> </v>
      </c>
      <c r="D53" s="24" t="str">
        <f t="shared" si="0"/>
        <v xml:space="preserve"> </v>
      </c>
      <c r="E53" s="24" t="str">
        <f t="shared" si="0"/>
        <v xml:space="preserve"> </v>
      </c>
      <c r="F53" s="24" t="str">
        <f t="shared" si="0"/>
        <v xml:space="preserve"> </v>
      </c>
      <c r="G53" s="24" t="str">
        <f t="shared" si="0"/>
        <v xml:space="preserve"> </v>
      </c>
      <c r="H53" s="24" t="str">
        <f t="shared" si="0"/>
        <v xml:space="preserve"> </v>
      </c>
      <c r="I53" s="24" t="str">
        <f t="shared" si="0"/>
        <v xml:space="preserve"> </v>
      </c>
      <c r="J53" s="24" t="str">
        <f t="shared" si="0"/>
        <v xml:space="preserve"> </v>
      </c>
      <c r="K53" s="24" t="str">
        <f t="shared" si="0"/>
        <v xml:space="preserve"> </v>
      </c>
      <c r="L53" s="24" t="str">
        <f t="shared" si="0"/>
        <v xml:space="preserve"> </v>
      </c>
      <c r="M53" s="24" t="str">
        <f t="shared" si="0"/>
        <v xml:space="preserve"> </v>
      </c>
      <c r="N53" s="24" t="str">
        <f t="shared" si="0"/>
        <v xml:space="preserve"> </v>
      </c>
      <c r="O53" s="24" t="str">
        <f t="shared" si="0"/>
        <v xml:space="preserve"> </v>
      </c>
      <c r="P53" s="24" t="str">
        <f t="shared" si="0"/>
        <v xml:space="preserve"> </v>
      </c>
      <c r="Q53" s="24" t="str">
        <f t="shared" si="0"/>
        <v xml:space="preserve"> </v>
      </c>
      <c r="R53" s="24" t="str">
        <f t="shared" si="0"/>
        <v xml:space="preserve"> </v>
      </c>
      <c r="S53" s="24" t="str">
        <f t="shared" si="0"/>
        <v xml:space="preserve"> </v>
      </c>
      <c r="T53" s="24" t="str">
        <f t="shared" si="0"/>
        <v xml:space="preserve"> </v>
      </c>
      <c r="U53" s="24" t="str">
        <f t="shared" si="0"/>
        <v xml:space="preserve"> </v>
      </c>
      <c r="V53" s="24" t="str">
        <f t="shared" si="0"/>
        <v xml:space="preserve"> </v>
      </c>
      <c r="W53" s="24" t="str">
        <f t="shared" si="0"/>
        <v xml:space="preserve"> </v>
      </c>
      <c r="X53" s="24" t="str">
        <f t="shared" si="0"/>
        <v xml:space="preserve"> </v>
      </c>
      <c r="Y53" s="24" t="str">
        <f t="shared" si="0"/>
        <v xml:space="preserve"> </v>
      </c>
      <c r="Z53" s="24" t="str">
        <f t="shared" si="0"/>
        <v xml:space="preserve"> </v>
      </c>
      <c r="AA53" s="24" t="str">
        <f t="shared" si="0"/>
        <v xml:space="preserve"> </v>
      </c>
      <c r="AB53" s="24" t="str">
        <f t="shared" si="0"/>
        <v xml:space="preserve"> </v>
      </c>
      <c r="AC53" s="24" t="str">
        <f t="shared" si="0"/>
        <v xml:space="preserve"> </v>
      </c>
      <c r="AD53" s="24" t="str">
        <f t="shared" si="0"/>
        <v xml:space="preserve"> </v>
      </c>
      <c r="AE53" s="24" t="str">
        <f t="shared" si="0"/>
        <v xml:space="preserve"> </v>
      </c>
      <c r="AF53" s="24" t="str">
        <f t="shared" si="0"/>
        <v xml:space="preserve"> </v>
      </c>
      <c r="AG53" s="23" t="str">
        <f t="shared" si="0"/>
        <v xml:space="preserve"> </v>
      </c>
    </row>
    <row r="54" spans="2:55" s="18" customFormat="1" ht="15" customHeight="1">
      <c r="B54" s="22" t="s">
        <v>3</v>
      </c>
      <c r="C54" s="117">
        <f t="shared" ref="C54:AG54" si="1">MAX(C48:C52)-MIN(C48:C52)</f>
        <v>0</v>
      </c>
      <c r="D54" s="118">
        <f t="shared" si="1"/>
        <v>0</v>
      </c>
      <c r="E54" s="118">
        <f t="shared" si="1"/>
        <v>0</v>
      </c>
      <c r="F54" s="118">
        <f t="shared" si="1"/>
        <v>0</v>
      </c>
      <c r="G54" s="118">
        <f t="shared" si="1"/>
        <v>0</v>
      </c>
      <c r="H54" s="118">
        <f t="shared" si="1"/>
        <v>0</v>
      </c>
      <c r="I54" s="118">
        <f t="shared" si="1"/>
        <v>0</v>
      </c>
      <c r="J54" s="118">
        <f t="shared" si="1"/>
        <v>0</v>
      </c>
      <c r="K54" s="118">
        <f t="shared" si="1"/>
        <v>0</v>
      </c>
      <c r="L54" s="118">
        <f t="shared" si="1"/>
        <v>0</v>
      </c>
      <c r="M54" s="118">
        <f t="shared" si="1"/>
        <v>0</v>
      </c>
      <c r="N54" s="118">
        <f t="shared" si="1"/>
        <v>0</v>
      </c>
      <c r="O54" s="118">
        <f t="shared" si="1"/>
        <v>0</v>
      </c>
      <c r="P54" s="118">
        <f t="shared" si="1"/>
        <v>0</v>
      </c>
      <c r="Q54" s="118">
        <f t="shared" si="1"/>
        <v>0</v>
      </c>
      <c r="R54" s="21">
        <f t="shared" si="1"/>
        <v>0</v>
      </c>
      <c r="S54" s="21">
        <f t="shared" si="1"/>
        <v>0</v>
      </c>
      <c r="T54" s="21">
        <f t="shared" si="1"/>
        <v>0</v>
      </c>
      <c r="U54" s="21">
        <f t="shared" si="1"/>
        <v>0</v>
      </c>
      <c r="V54" s="21">
        <f t="shared" si="1"/>
        <v>0</v>
      </c>
      <c r="W54" s="21">
        <f t="shared" si="1"/>
        <v>0</v>
      </c>
      <c r="X54" s="21">
        <f t="shared" si="1"/>
        <v>0</v>
      </c>
      <c r="Y54" s="21">
        <f t="shared" si="1"/>
        <v>0</v>
      </c>
      <c r="Z54" s="21">
        <f t="shared" si="1"/>
        <v>0</v>
      </c>
      <c r="AA54" s="21">
        <f t="shared" si="1"/>
        <v>0</v>
      </c>
      <c r="AB54" s="21">
        <f t="shared" si="1"/>
        <v>0</v>
      </c>
      <c r="AC54" s="21">
        <f t="shared" si="1"/>
        <v>0</v>
      </c>
      <c r="AD54" s="21">
        <f t="shared" si="1"/>
        <v>0</v>
      </c>
      <c r="AE54" s="21">
        <f t="shared" si="1"/>
        <v>0</v>
      </c>
      <c r="AF54" s="21">
        <f t="shared" si="1"/>
        <v>0</v>
      </c>
      <c r="AG54" s="20">
        <f t="shared" si="1"/>
        <v>0</v>
      </c>
    </row>
    <row r="55" spans="2:55" s="18" customFormat="1" ht="20.100000000000001" customHeight="1">
      <c r="B55" s="19" t="s">
        <v>18</v>
      </c>
      <c r="C55" s="119"/>
      <c r="D55" s="120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120"/>
      <c r="R55" s="120"/>
      <c r="S55" s="120"/>
      <c r="T55" s="120"/>
      <c r="U55" s="120"/>
      <c r="V55" s="120"/>
      <c r="W55" s="120"/>
      <c r="X55" s="120"/>
      <c r="Y55" s="120"/>
      <c r="Z55" s="120"/>
      <c r="AA55" s="120"/>
      <c r="AB55" s="120"/>
      <c r="AC55" s="120"/>
      <c r="AD55" s="120"/>
      <c r="AE55" s="120"/>
      <c r="AF55" s="120"/>
      <c r="AG55" s="121"/>
    </row>
    <row r="56" spans="2:55" s="18" customFormat="1" ht="26.25" thickBot="1">
      <c r="B56" s="139" t="str">
        <f>'P6 - Esp. Lado'!B56</f>
        <v xml:space="preserve">Visto do Lider / Sublíder </v>
      </c>
      <c r="C56" s="122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4"/>
    </row>
    <row r="57" spans="2:55" s="6" customFormat="1" ht="20.100000000000001" customHeight="1">
      <c r="B57" s="156" t="s">
        <v>17</v>
      </c>
      <c r="C57" s="157"/>
      <c r="D57" s="157"/>
      <c r="E57" s="158"/>
      <c r="F57" s="17" t="s">
        <v>16</v>
      </c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5"/>
    </row>
    <row r="58" spans="2:55" s="6" customFormat="1" ht="20.100000000000001" customHeight="1">
      <c r="B58" s="14"/>
      <c r="C58" s="13" t="s">
        <v>15</v>
      </c>
      <c r="D58" s="13"/>
      <c r="E58" s="12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6"/>
    </row>
    <row r="59" spans="2:55" s="6" customFormat="1" ht="20.100000000000001" customHeight="1">
      <c r="B59" s="159" t="s">
        <v>14</v>
      </c>
      <c r="C59" s="160"/>
      <c r="D59" s="160"/>
      <c r="E59" s="12"/>
      <c r="F59" s="125"/>
      <c r="G59" s="125"/>
      <c r="H59" s="125"/>
      <c r="I59" s="125"/>
      <c r="J59" s="125"/>
      <c r="K59" s="125"/>
      <c r="L59" s="125"/>
      <c r="M59" s="125"/>
      <c r="N59" s="125"/>
      <c r="O59" s="127"/>
      <c r="P59" s="125"/>
      <c r="Q59" s="125"/>
      <c r="R59" s="125"/>
      <c r="S59" s="125"/>
      <c r="T59" s="125"/>
      <c r="U59" s="125"/>
      <c r="V59" s="125"/>
      <c r="W59" s="125"/>
      <c r="X59" s="125"/>
      <c r="Y59" s="125"/>
      <c r="Z59" s="125"/>
      <c r="AA59" s="125"/>
      <c r="AB59" s="125"/>
      <c r="AC59" s="125"/>
      <c r="AD59" s="125"/>
      <c r="AE59" s="125"/>
      <c r="AF59" s="125"/>
      <c r="AG59" s="126"/>
    </row>
    <row r="60" spans="2:55" s="6" customFormat="1" ht="20.100000000000001" customHeight="1" thickBot="1">
      <c r="B60" s="11"/>
      <c r="C60" s="10" t="s">
        <v>13</v>
      </c>
      <c r="D60" s="9"/>
      <c r="E60" s="8"/>
      <c r="F60" s="128"/>
      <c r="G60" s="128"/>
      <c r="H60" s="128"/>
      <c r="I60" s="128"/>
      <c r="J60" s="128"/>
      <c r="K60" s="128"/>
      <c r="L60" s="128"/>
      <c r="M60" s="128"/>
      <c r="N60" s="128"/>
      <c r="O60" s="128"/>
      <c r="P60" s="128"/>
      <c r="Q60" s="128"/>
      <c r="R60" s="128"/>
      <c r="S60" s="128"/>
      <c r="T60" s="128"/>
      <c r="U60" s="128"/>
      <c r="V60" s="128"/>
      <c r="W60" s="128"/>
      <c r="X60" s="128"/>
      <c r="Y60" s="128"/>
      <c r="Z60" s="128"/>
      <c r="AA60" s="128"/>
      <c r="AB60" s="128"/>
      <c r="AC60" s="128"/>
      <c r="AD60" s="128"/>
      <c r="AE60" s="128"/>
      <c r="AF60" s="128"/>
      <c r="AG60" s="129"/>
    </row>
    <row r="61" spans="2:55" s="6" customFormat="1" ht="7.5" customHeight="1"/>
    <row r="62" spans="2:55" s="6" customFormat="1" ht="15.75">
      <c r="B62" s="161" t="s">
        <v>12</v>
      </c>
      <c r="C62" s="144"/>
      <c r="D62" s="144"/>
      <c r="E62" s="144"/>
      <c r="F62" s="144"/>
      <c r="G62" s="142" t="s">
        <v>11</v>
      </c>
      <c r="H62" s="142"/>
      <c r="I62" s="142"/>
      <c r="J62" s="142"/>
      <c r="K62" s="151"/>
      <c r="L62" s="142" t="s">
        <v>10</v>
      </c>
      <c r="M62" s="142"/>
      <c r="N62" s="142"/>
      <c r="O62" s="142"/>
      <c r="P62" s="142"/>
      <c r="Q62" s="142"/>
      <c r="R62" s="142"/>
      <c r="S62" s="144" t="s">
        <v>9</v>
      </c>
      <c r="T62" s="144"/>
      <c r="U62" s="144"/>
      <c r="V62" s="144"/>
      <c r="W62" s="146" t="s">
        <v>51</v>
      </c>
      <c r="X62" s="144"/>
      <c r="Y62" s="144"/>
      <c r="Z62" s="144"/>
      <c r="AA62" s="144"/>
      <c r="AB62" s="144"/>
      <c r="AC62" s="144" t="s">
        <v>11</v>
      </c>
      <c r="AD62" s="144"/>
      <c r="AE62" s="144"/>
      <c r="AF62" s="144"/>
      <c r="AG62" s="148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</row>
    <row r="63" spans="2:55" s="6" customFormat="1" ht="15.75">
      <c r="B63" s="162"/>
      <c r="C63" s="145"/>
      <c r="D63" s="145"/>
      <c r="E63" s="145"/>
      <c r="F63" s="145"/>
      <c r="G63" s="143"/>
      <c r="H63" s="143"/>
      <c r="I63" s="143"/>
      <c r="J63" s="143"/>
      <c r="K63" s="152"/>
      <c r="L63" s="143"/>
      <c r="M63" s="143"/>
      <c r="N63" s="143"/>
      <c r="O63" s="143"/>
      <c r="P63" s="143"/>
      <c r="Q63" s="143"/>
      <c r="R63" s="143"/>
      <c r="S63" s="145"/>
      <c r="T63" s="145"/>
      <c r="U63" s="145"/>
      <c r="V63" s="145"/>
      <c r="W63" s="147"/>
      <c r="X63" s="145"/>
      <c r="Y63" s="145"/>
      <c r="Z63" s="145"/>
      <c r="AA63" s="145"/>
      <c r="AB63" s="145"/>
      <c r="AC63" s="145"/>
      <c r="AD63" s="145"/>
      <c r="AE63" s="145"/>
      <c r="AF63" s="145"/>
      <c r="AG63" s="149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</row>
    <row r="64" spans="2:55" ht="14.25">
      <c r="B64" s="4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4"/>
      <c r="AS64" s="150"/>
      <c r="AT64" s="150"/>
      <c r="AU64" s="150"/>
      <c r="AV64" s="150"/>
      <c r="AW64" s="150"/>
      <c r="AX64" s="150"/>
      <c r="AY64" s="150"/>
      <c r="AZ64" s="150"/>
      <c r="BA64" s="150"/>
      <c r="BB64" s="150"/>
      <c r="BC64" s="150"/>
    </row>
    <row r="65" spans="2:5">
      <c r="B65" s="1" t="s">
        <v>8</v>
      </c>
    </row>
    <row r="66" spans="2:5">
      <c r="B66" s="1" t="s">
        <v>7</v>
      </c>
      <c r="C66" s="2" t="e">
        <f>AVERAGE(C53:AG53)+0.577*C69</f>
        <v>#DIV/0!</v>
      </c>
    </row>
    <row r="67" spans="2:5">
      <c r="B67" s="1" t="s">
        <v>6</v>
      </c>
      <c r="C67" s="2" t="e">
        <f>AVERAGE(C53:AG53)</f>
        <v>#DIV/0!</v>
      </c>
      <c r="D67" s="3" t="s">
        <v>5</v>
      </c>
      <c r="E67" s="1" t="e">
        <f>STDEV(C48:AF52)</f>
        <v>#DIV/0!</v>
      </c>
    </row>
    <row r="68" spans="2:5">
      <c r="B68" s="1" t="s">
        <v>4</v>
      </c>
      <c r="C68" s="2" t="e">
        <f>C67-0.577*C69</f>
        <v>#DIV/0!</v>
      </c>
    </row>
    <row r="69" spans="2:5">
      <c r="B69" s="1" t="s">
        <v>3</v>
      </c>
      <c r="C69" s="2" t="e">
        <f>2.115*(SUM(C54:AG54)/COUNTIF(C54:AG54,"&lt;&gt;0"))</f>
        <v>#DIV/0!</v>
      </c>
    </row>
    <row r="71" spans="2:5">
      <c r="B71" s="1" t="s">
        <v>2</v>
      </c>
    </row>
    <row r="73" spans="2:5">
      <c r="B73" s="1" t="s">
        <v>1</v>
      </c>
      <c r="C73" s="2" t="e">
        <f>E7/(6*E67)</f>
        <v>#DIV/0!</v>
      </c>
    </row>
    <row r="74" spans="2:5">
      <c r="B74" s="1" t="s">
        <v>0</v>
      </c>
      <c r="C74" s="2" t="e">
        <f>MIN((E4-C67)/(3*E67),(C67-E6)/(3*E67))</f>
        <v>#DIV/0!</v>
      </c>
    </row>
    <row r="75" spans="2:5">
      <c r="C75" s="1">
        <f>COUNTIF(C10:AG10,"&gt;0")</f>
        <v>0</v>
      </c>
    </row>
  </sheetData>
  <sheetProtection algorithmName="SHA-512" hashValue="Zv+15RQT/MVPlcn9VhJpl8UGYKVMFUy8JgM2x6o7Jxds43NxXyD0aC2UgvfuUR7lx+g0eTsLThDjsJdH7dDnEQ==" saltValue="4oBsfPCVCWXc0k8grTxTag==" spinCount="100000" sheet="1" objects="1" scenarios="1" selectLockedCells="1"/>
  <mergeCells count="29">
    <mergeCell ref="B21:B22"/>
    <mergeCell ref="I2:J3"/>
    <mergeCell ref="K2:L3"/>
    <mergeCell ref="M2:Q3"/>
    <mergeCell ref="R2:T2"/>
    <mergeCell ref="R3:T3"/>
    <mergeCell ref="AD4:AG5"/>
    <mergeCell ref="B13:B14"/>
    <mergeCell ref="B15:B16"/>
    <mergeCell ref="B17:B18"/>
    <mergeCell ref="B19:B20"/>
    <mergeCell ref="Z4:AC5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L62:R63"/>
    <mergeCell ref="S62:V63"/>
    <mergeCell ref="W62:AB63"/>
    <mergeCell ref="AC62:AG63"/>
    <mergeCell ref="AS64:BC64"/>
  </mergeCells>
  <conditionalFormatting sqref="G6">
    <cfRule type="cellIs" dxfId="1" priority="3" operator="lessThan">
      <formula>$G$6</formula>
    </cfRule>
  </conditionalFormatting>
  <conditionalFormatting sqref="C48:AG52">
    <cfRule type="expression" dxfId="0" priority="1">
      <formula>((C48&gt;=$G$4)+(C48&lt;=$G$6))*(C48&gt;0)</formula>
    </cfRule>
  </conditionalFormatting>
  <dataValidations count="3">
    <dataValidation type="whole" showInputMessage="1" showErrorMessage="1" errorTitle="Data" error="Digite apenas o dia entre 1 e 31" sqref="E10:AG10" xr:uid="{00000000-0002-0000-0700-000000000000}">
      <formula1>1</formula1>
      <formula2>31</formula2>
    </dataValidation>
    <dataValidation type="list" showErrorMessage="1" promptTitle="Turno" prompt="Escolha" sqref="C11:AG11" xr:uid="{00000000-0002-0000-0700-000001000000}">
      <formula1>Turnos</formula1>
    </dataValidation>
    <dataValidation type="whole" showErrorMessage="1" errorTitle="Data" error="Digite apenas o dia entre 1 e 31" sqref="C10:D10" xr:uid="{00000000-0002-0000-0700-000002000000}">
      <formula1>1</formula1>
      <formula2>31</formula2>
    </dataValidation>
  </dataValidations>
  <printOptions horizontalCentered="1"/>
  <pageMargins left="0" right="0" top="0.59055118110236227" bottom="0.39370078740157483" header="0.39370078740157483" footer="0.23622047244094491"/>
  <pageSetup paperSize="9" scale="60" orientation="landscape" r:id="rId1"/>
  <headerFooter alignWithMargins="0">
    <oddFooter>&amp;RSJCPIL-R 15-075-02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10</vt:i4>
      </vt:variant>
    </vt:vector>
  </HeadingPairs>
  <TitlesOfParts>
    <vt:vector size="18" baseType="lpstr">
      <vt:lpstr>Configurações</vt:lpstr>
      <vt:lpstr>P6 - Esp. Lado</vt:lpstr>
      <vt:lpstr>P6 - Esp. Fundo</vt:lpstr>
      <vt:lpstr>P7 - Esp. Lado</vt:lpstr>
      <vt:lpstr>P7 - Esp. Fundo</vt:lpstr>
      <vt:lpstr>P8 - Esp. Lado</vt:lpstr>
      <vt:lpstr>P8 - Esp. Fundo</vt:lpstr>
      <vt:lpstr>Cortadeira</vt:lpstr>
      <vt:lpstr>Cortadeira!Area_de_impressao</vt:lpstr>
      <vt:lpstr>'P6 - Esp. Fundo'!Area_de_impressao</vt:lpstr>
      <vt:lpstr>'P6 - Esp. Lado'!Area_de_impressao</vt:lpstr>
      <vt:lpstr>'P7 - Esp. Fundo'!Area_de_impressao</vt:lpstr>
      <vt:lpstr>'P7 - Esp. Lado'!Area_de_impressao</vt:lpstr>
      <vt:lpstr>'P8 - Esp. Fundo'!Area_de_impressao</vt:lpstr>
      <vt:lpstr>'P8 - Esp. Lado'!Area_de_impressao</vt:lpstr>
      <vt:lpstr>XM_bottom_thickness</vt:lpstr>
      <vt:lpstr>XM_heigth</vt:lpstr>
      <vt:lpstr>XM_side_thickness</vt:lpstr>
    </vt:vector>
  </TitlesOfParts>
  <Company>Panasonic do Brasil Limitada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OSVALDO MARTINS TORQUATI</dc:creator>
  <cp:lastModifiedBy>Osvaldo Martins Torquati</cp:lastModifiedBy>
  <cp:lastPrinted>2021-11-19T19:27:35Z</cp:lastPrinted>
  <dcterms:created xsi:type="dcterms:W3CDTF">2016-03-10T19:09:06Z</dcterms:created>
  <dcterms:modified xsi:type="dcterms:W3CDTF">2022-02-18T17:58:57Z</dcterms:modified>
</cp:coreProperties>
</file>