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6 - CEP\Prensa\UM-3\"/>
    </mc:Choice>
  </mc:AlternateContent>
  <xr:revisionPtr revIDLastSave="0" documentId="13_ncr:1_{E66115D3-9B7F-4EA2-88F5-AC357B2070E0}" xr6:coauthVersionLast="47" xr6:coauthVersionMax="47" xr10:uidLastSave="{00000000-0000-0000-0000-000000000000}"/>
  <workbookProtection workbookAlgorithmName="SHA-512" workbookHashValue="StOvqNWZDM3I/YyzMKTq2z3lQlU/SIxCAa006Qu4YRAIy9Ox9dvvHefPZis1B81IzXflLSsOBfVGnXHF0MOi+w==" workbookSaltValue="d1wjPC6MnklU4bPktkO8hA==" workbookSpinCount="100000" lockStructure="1"/>
  <bookViews>
    <workbookView xWindow="-120" yWindow="-120" windowWidth="29040" windowHeight="16440" tabRatio="827" activeTab="13" xr2:uid="{00000000-000D-0000-FFFF-FFFF00000000}"/>
  </bookViews>
  <sheets>
    <sheet name="Configurações" sheetId="53" r:id="rId1"/>
    <sheet name="P1 - Esp. Lado" sheetId="38" r:id="rId2"/>
    <sheet name="P1 - Esp. Fundo" sheetId="39" r:id="rId3"/>
    <sheet name="P2 - Esp. Lado" sheetId="40" r:id="rId4"/>
    <sheet name="P2 - Esp. Fundo" sheetId="46" r:id="rId5"/>
    <sheet name="P3 - Esp. Lado" sheetId="43" r:id="rId6"/>
    <sheet name="P3 - Esp. Fundo" sheetId="47" r:id="rId7"/>
    <sheet name="P4 - Esp. Lado" sheetId="44" r:id="rId8"/>
    <sheet name="P4 - Esp. Fundo" sheetId="48" r:id="rId9"/>
    <sheet name="P9 - Esp. Lado" sheetId="45" r:id="rId10"/>
    <sheet name="P9 - Esp. Fundo" sheetId="49" r:id="rId11"/>
    <sheet name="C1 - Altura Total" sheetId="50" r:id="rId12"/>
    <sheet name="C2 - Altura Total" sheetId="51" r:id="rId13"/>
    <sheet name="C3 - Altura Total" sheetId="52" r:id="rId14"/>
  </sheets>
  <definedNames>
    <definedName name="_xlnm.Print_Area" localSheetId="11">'C1 - Altura Total'!$A$1:$AH$63</definedName>
    <definedName name="_xlnm.Print_Area" localSheetId="12">'C2 - Altura Total'!$A$1:$AX$63</definedName>
    <definedName name="_xlnm.Print_Area" localSheetId="13">'C3 - Altura Total'!$A$1:$AX$63</definedName>
    <definedName name="_xlnm.Print_Area" localSheetId="2">'P1 - Esp. Fundo'!$A$1:$AH$63</definedName>
    <definedName name="_xlnm.Print_Area" localSheetId="1">'P1 - Esp. Lado'!$A$1:$AH$63</definedName>
    <definedName name="_xlnm.Print_Area" localSheetId="4">'P2 - Esp. Fundo'!$A$1:$AH$63</definedName>
    <definedName name="_xlnm.Print_Area" localSheetId="3">'P2 - Esp. Lado'!$A$1:$AH$63</definedName>
    <definedName name="_xlnm.Print_Area" localSheetId="6">'P3 - Esp. Fundo'!$A$1:$AH$63</definedName>
    <definedName name="_xlnm.Print_Area" localSheetId="5">'P3 - Esp. Lado'!$A$1:$AH$63</definedName>
    <definedName name="_xlnm.Print_Area" localSheetId="8">'P4 - Esp. Fundo'!$A$1:$AH$63</definedName>
    <definedName name="_xlnm.Print_Area" localSheetId="7">'P4 - Esp. Lado'!$A$1:$AH$63</definedName>
    <definedName name="_xlnm.Print_Area" localSheetId="10">'P9 - Esp. Fundo'!$A$1:$AH$63</definedName>
    <definedName name="_xlnm.Print_Area" localSheetId="9">'P9 - Esp. Lado'!$A$1:$AH$63</definedName>
    <definedName name="Mediçao_Lado_P1">'P1 - Esp. Lado'!$C$48:$AG$52</definedName>
    <definedName name="Medição_lado_P2">'P2 - Esp. Lado'!$C$48:$AG$52</definedName>
    <definedName name="Medição_lado_P3">'P3 - Esp. Lado'!$C$48:$AG$52</definedName>
    <definedName name="Medição_Lado_P4">'P4 - Esp. Lado'!$C$48:$AG$52</definedName>
    <definedName name="Medição_Lado_P9">'P9 - Esp. Lado'!$C$48:$AG$52</definedName>
    <definedName name="Turnos">OFFSET(Configurações!$D$10,,,COUNTA(Configurações!$D$10:$D$16))</definedName>
    <definedName name="XM_bottom_thickness">'P9 - Esp. Fundo'!$C$78</definedName>
    <definedName name="XM_Heigth">'C3 - Altura Total'!$C$76</definedName>
    <definedName name="XM_side_thickness">'P9 - Esp. Lado'!$C$78</definedName>
    <definedName name="XM_UM3_Side_Thicknes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3" i="45" l="1"/>
  <c r="T53" i="45"/>
  <c r="U53" i="45"/>
  <c r="AD53" i="48"/>
  <c r="AE53" i="48"/>
  <c r="AF53" i="48"/>
  <c r="AG53" i="48"/>
  <c r="D53" i="43"/>
  <c r="E53" i="43"/>
  <c r="Q53" i="40"/>
  <c r="R53" i="40"/>
  <c r="S53" i="40"/>
  <c r="T53" i="40"/>
  <c r="U53" i="40"/>
  <c r="V53" i="40"/>
  <c r="W53" i="40"/>
  <c r="X53" i="40"/>
  <c r="Y53" i="40"/>
  <c r="Z53" i="40"/>
  <c r="AA53" i="40"/>
  <c r="AB53" i="40"/>
  <c r="AC53" i="40"/>
  <c r="AD53" i="40"/>
  <c r="D53" i="40"/>
  <c r="G53" i="39"/>
  <c r="G53" i="38"/>
  <c r="H53" i="38"/>
  <c r="I53" i="38"/>
  <c r="G54" i="39"/>
  <c r="F54" i="38"/>
  <c r="F53" i="38"/>
  <c r="Q53" i="51" l="1"/>
  <c r="F53" i="46" l="1"/>
  <c r="B56" i="40" l="1"/>
  <c r="B56" i="46"/>
  <c r="B56" i="43"/>
  <c r="B56" i="47"/>
  <c r="B56" i="44"/>
  <c r="B56" i="48"/>
  <c r="B56" i="45"/>
  <c r="B56" i="49"/>
  <c r="B56" i="50"/>
  <c r="B56" i="51"/>
  <c r="B56" i="52"/>
  <c r="B56" i="39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I54" i="51"/>
  <c r="AH54" i="51"/>
  <c r="AG54" i="51"/>
  <c r="AF54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I53" i="51"/>
  <c r="AH53" i="51"/>
  <c r="AG53" i="51"/>
  <c r="AF53" i="51"/>
  <c r="AF53" i="52"/>
  <c r="AG53" i="52"/>
  <c r="AH53" i="52"/>
  <c r="AI53" i="52"/>
  <c r="AJ53" i="52"/>
  <c r="AK53" i="52"/>
  <c r="AL53" i="52"/>
  <c r="AM53" i="52"/>
  <c r="AN53" i="52"/>
  <c r="AO53" i="52"/>
  <c r="AP53" i="52"/>
  <c r="AQ53" i="52"/>
  <c r="AR53" i="52"/>
  <c r="AS53" i="52"/>
  <c r="AT53" i="52"/>
  <c r="AU53" i="52"/>
  <c r="AV53" i="52"/>
  <c r="AW53" i="52"/>
  <c r="AF54" i="52"/>
  <c r="AG54" i="52"/>
  <c r="AH54" i="52"/>
  <c r="AI54" i="52"/>
  <c r="AJ54" i="52"/>
  <c r="AK54" i="52"/>
  <c r="AL54" i="52"/>
  <c r="AM54" i="52"/>
  <c r="AN54" i="52"/>
  <c r="AO54" i="52"/>
  <c r="AP54" i="52"/>
  <c r="AQ54" i="52"/>
  <c r="AR54" i="52"/>
  <c r="AS54" i="52"/>
  <c r="AT54" i="52"/>
  <c r="AU54" i="52"/>
  <c r="AV54" i="52"/>
  <c r="AW54" i="52"/>
  <c r="AD4" i="38"/>
  <c r="Z4" i="38"/>
  <c r="L53" i="44" l="1"/>
  <c r="M53" i="44"/>
  <c r="N53" i="44"/>
  <c r="D53" i="49" l="1"/>
  <c r="F53" i="48"/>
  <c r="G53" i="46"/>
  <c r="E5" i="43" l="1"/>
  <c r="E5" i="44"/>
  <c r="E5" i="45"/>
  <c r="E5" i="40"/>
  <c r="C82" i="45" l="1"/>
  <c r="C84" i="45" s="1"/>
  <c r="C81" i="45"/>
  <c r="C82" i="43"/>
  <c r="C84" i="43" s="1"/>
  <c r="C81" i="43"/>
  <c r="C76" i="52" l="1"/>
  <c r="C78" i="49"/>
  <c r="C78" i="45"/>
  <c r="K2" i="40" l="1"/>
  <c r="K2" i="46"/>
  <c r="K2" i="43"/>
  <c r="K2" i="47"/>
  <c r="K2" i="44"/>
  <c r="K2" i="48"/>
  <c r="K2" i="45"/>
  <c r="K2" i="49"/>
  <c r="K2" i="50"/>
  <c r="K2" i="51"/>
  <c r="K2" i="52"/>
  <c r="K2" i="39"/>
  <c r="C75" i="52" l="1"/>
  <c r="E67" i="52"/>
  <c r="C73" i="52" s="1"/>
  <c r="AE54" i="52"/>
  <c r="AD54" i="52"/>
  <c r="AC54" i="52"/>
  <c r="AB54" i="52"/>
  <c r="AA54" i="52"/>
  <c r="Z54" i="52"/>
  <c r="Y54" i="52"/>
  <c r="X54" i="52"/>
  <c r="W54" i="52"/>
  <c r="V54" i="52"/>
  <c r="U54" i="52"/>
  <c r="T54" i="52"/>
  <c r="S54" i="52"/>
  <c r="R54" i="52"/>
  <c r="Q54" i="52"/>
  <c r="P54" i="52"/>
  <c r="O54" i="52"/>
  <c r="N54" i="52"/>
  <c r="M54" i="52"/>
  <c r="L54" i="52"/>
  <c r="K54" i="52"/>
  <c r="J54" i="52"/>
  <c r="I54" i="52"/>
  <c r="H54" i="52"/>
  <c r="G54" i="52"/>
  <c r="F54" i="52"/>
  <c r="E54" i="52"/>
  <c r="D54" i="52"/>
  <c r="C54" i="52"/>
  <c r="AE53" i="52"/>
  <c r="AD53" i="52"/>
  <c r="AC53" i="52"/>
  <c r="AB53" i="52"/>
  <c r="AA53" i="52"/>
  <c r="Z53" i="52"/>
  <c r="Y53" i="52"/>
  <c r="X53" i="52"/>
  <c r="W53" i="52"/>
  <c r="V53" i="52"/>
  <c r="U53" i="52"/>
  <c r="T53" i="52"/>
  <c r="S53" i="52"/>
  <c r="R53" i="52"/>
  <c r="Q53" i="52"/>
  <c r="P53" i="52"/>
  <c r="O53" i="52"/>
  <c r="N53" i="52"/>
  <c r="M53" i="52"/>
  <c r="L53" i="52"/>
  <c r="K53" i="52"/>
  <c r="J53" i="52"/>
  <c r="I53" i="52"/>
  <c r="H53" i="52"/>
  <c r="G53" i="52"/>
  <c r="F53" i="52"/>
  <c r="E53" i="52"/>
  <c r="D53" i="52"/>
  <c r="C53" i="52"/>
  <c r="G6" i="52"/>
  <c r="E5" i="52"/>
  <c r="E4" i="52" s="1"/>
  <c r="B5" i="52"/>
  <c r="AD4" i="52"/>
  <c r="Z4" i="52"/>
  <c r="G4" i="52"/>
  <c r="C75" i="51"/>
  <c r="E67" i="51"/>
  <c r="C73" i="51" s="1"/>
  <c r="AE54" i="51"/>
  <c r="AD54" i="51"/>
  <c r="AC54" i="51"/>
  <c r="AB54" i="51"/>
  <c r="AA54" i="51"/>
  <c r="Z54" i="51"/>
  <c r="Y54" i="51"/>
  <c r="X54" i="51"/>
  <c r="W54" i="51"/>
  <c r="V54" i="51"/>
  <c r="U54" i="51"/>
  <c r="T54" i="51"/>
  <c r="S54" i="51"/>
  <c r="R54" i="51"/>
  <c r="Q54" i="51"/>
  <c r="P54" i="51"/>
  <c r="O54" i="51"/>
  <c r="N54" i="51"/>
  <c r="M54" i="51"/>
  <c r="L54" i="51"/>
  <c r="K54" i="51"/>
  <c r="J54" i="51"/>
  <c r="I54" i="51"/>
  <c r="H54" i="51"/>
  <c r="G54" i="51"/>
  <c r="F54" i="51"/>
  <c r="E54" i="51"/>
  <c r="D54" i="51"/>
  <c r="C54" i="51"/>
  <c r="AE53" i="51"/>
  <c r="AD53" i="51"/>
  <c r="AC53" i="51"/>
  <c r="AB53" i="51"/>
  <c r="AA53" i="51"/>
  <c r="Z53" i="51"/>
  <c r="Y53" i="51"/>
  <c r="X53" i="51"/>
  <c r="W53" i="51"/>
  <c r="V53" i="51"/>
  <c r="U53" i="51"/>
  <c r="T53" i="51"/>
  <c r="S53" i="51"/>
  <c r="R53" i="51"/>
  <c r="P53" i="51"/>
  <c r="O53" i="51"/>
  <c r="N53" i="51"/>
  <c r="M53" i="51"/>
  <c r="L53" i="51"/>
  <c r="K53" i="51"/>
  <c r="J53" i="51"/>
  <c r="I53" i="51"/>
  <c r="H53" i="51"/>
  <c r="G53" i="51"/>
  <c r="F53" i="51"/>
  <c r="E53" i="51"/>
  <c r="D53" i="51"/>
  <c r="C53" i="51"/>
  <c r="G6" i="51"/>
  <c r="E5" i="51"/>
  <c r="E4" i="51" s="1"/>
  <c r="B5" i="51"/>
  <c r="AD4" i="51"/>
  <c r="Z4" i="51"/>
  <c r="G4" i="51"/>
  <c r="G6" i="50"/>
  <c r="E5" i="50"/>
  <c r="E6" i="50" s="1"/>
  <c r="G4" i="50"/>
  <c r="C75" i="50"/>
  <c r="E67" i="50"/>
  <c r="C73" i="50" s="1"/>
  <c r="AG54" i="50"/>
  <c r="AF54" i="50"/>
  <c r="AE54" i="50"/>
  <c r="AD54" i="50"/>
  <c r="AC54" i="50"/>
  <c r="AB54" i="50"/>
  <c r="AA54" i="50"/>
  <c r="Z54" i="50"/>
  <c r="Y54" i="50"/>
  <c r="X54" i="50"/>
  <c r="W54" i="50"/>
  <c r="V54" i="50"/>
  <c r="U54" i="50"/>
  <c r="T54" i="50"/>
  <c r="S54" i="50"/>
  <c r="R54" i="50"/>
  <c r="Q54" i="50"/>
  <c r="P54" i="50"/>
  <c r="O54" i="50"/>
  <c r="N54" i="50"/>
  <c r="M54" i="50"/>
  <c r="L54" i="50"/>
  <c r="K54" i="50"/>
  <c r="J54" i="50"/>
  <c r="I54" i="50"/>
  <c r="H54" i="50"/>
  <c r="G54" i="50"/>
  <c r="F54" i="50"/>
  <c r="E54" i="50"/>
  <c r="D54" i="50"/>
  <c r="C54" i="50"/>
  <c r="AG53" i="50"/>
  <c r="AF53" i="50"/>
  <c r="AE53" i="50"/>
  <c r="AD53" i="50"/>
  <c r="AC53" i="50"/>
  <c r="AB53" i="50"/>
  <c r="AA53" i="50"/>
  <c r="Z53" i="50"/>
  <c r="Y53" i="50"/>
  <c r="X53" i="50"/>
  <c r="W53" i="50"/>
  <c r="V53" i="50"/>
  <c r="U53" i="50"/>
  <c r="T53" i="50"/>
  <c r="S53" i="50"/>
  <c r="R53" i="50"/>
  <c r="Q53" i="50"/>
  <c r="P53" i="50"/>
  <c r="O53" i="50"/>
  <c r="N53" i="50"/>
  <c r="M53" i="50"/>
  <c r="L53" i="50"/>
  <c r="K53" i="50"/>
  <c r="J53" i="50"/>
  <c r="I53" i="50"/>
  <c r="H53" i="50"/>
  <c r="G53" i="50"/>
  <c r="F53" i="50"/>
  <c r="E53" i="50"/>
  <c r="D53" i="50"/>
  <c r="C53" i="50"/>
  <c r="B5" i="50"/>
  <c r="AD4" i="50"/>
  <c r="Z4" i="50"/>
  <c r="B5" i="40"/>
  <c r="B5" i="46"/>
  <c r="B5" i="43"/>
  <c r="B5" i="47"/>
  <c r="B5" i="44"/>
  <c r="B5" i="48"/>
  <c r="B5" i="45"/>
  <c r="B5" i="49"/>
  <c r="B5" i="39"/>
  <c r="E4" i="50" l="1"/>
  <c r="C67" i="52"/>
  <c r="C67" i="51"/>
  <c r="C69" i="51"/>
  <c r="C66" i="51" s="1"/>
  <c r="C69" i="50"/>
  <c r="C66" i="50" s="1"/>
  <c r="C67" i="50"/>
  <c r="C74" i="50" s="1"/>
  <c r="C69" i="52"/>
  <c r="C66" i="52" s="1"/>
  <c r="E6" i="52"/>
  <c r="E6" i="51"/>
  <c r="C74" i="52" l="1"/>
  <c r="C68" i="51"/>
  <c r="C68" i="50"/>
  <c r="C74" i="51"/>
  <c r="C68" i="52"/>
  <c r="C75" i="49"/>
  <c r="E67" i="49"/>
  <c r="C73" i="49" s="1"/>
  <c r="AG54" i="49"/>
  <c r="AF54" i="49"/>
  <c r="AE54" i="49"/>
  <c r="AD54" i="49"/>
  <c r="AC54" i="49"/>
  <c r="AB54" i="49"/>
  <c r="AA54" i="49"/>
  <c r="Z54" i="49"/>
  <c r="Y54" i="49"/>
  <c r="X54" i="49"/>
  <c r="W54" i="49"/>
  <c r="V54" i="49"/>
  <c r="U54" i="49"/>
  <c r="T54" i="49"/>
  <c r="S54" i="49"/>
  <c r="R54" i="49"/>
  <c r="Q54" i="49"/>
  <c r="P54" i="49"/>
  <c r="O54" i="49"/>
  <c r="N54" i="49"/>
  <c r="M54" i="49"/>
  <c r="L54" i="49"/>
  <c r="K54" i="49"/>
  <c r="J54" i="49"/>
  <c r="I54" i="49"/>
  <c r="H54" i="49"/>
  <c r="G54" i="49"/>
  <c r="F54" i="49"/>
  <c r="E54" i="49"/>
  <c r="D54" i="49"/>
  <c r="C54" i="49"/>
  <c r="AG53" i="49"/>
  <c r="AF53" i="49"/>
  <c r="AE53" i="49"/>
  <c r="AD53" i="49"/>
  <c r="AC53" i="49"/>
  <c r="AB53" i="49"/>
  <c r="AA53" i="49"/>
  <c r="Z53" i="49"/>
  <c r="Y53" i="49"/>
  <c r="X53" i="49"/>
  <c r="W53" i="49"/>
  <c r="V53" i="49"/>
  <c r="U53" i="49"/>
  <c r="T53" i="49"/>
  <c r="S53" i="49"/>
  <c r="R53" i="49"/>
  <c r="Q53" i="49"/>
  <c r="P53" i="49"/>
  <c r="O53" i="49"/>
  <c r="N53" i="49"/>
  <c r="M53" i="49"/>
  <c r="L53" i="49"/>
  <c r="K53" i="49"/>
  <c r="J53" i="49"/>
  <c r="I53" i="49"/>
  <c r="H53" i="49"/>
  <c r="G53" i="49"/>
  <c r="F53" i="49"/>
  <c r="E53" i="49"/>
  <c r="C53" i="49"/>
  <c r="E6" i="49"/>
  <c r="G5" i="49"/>
  <c r="G4" i="49" s="1"/>
  <c r="E4" i="49"/>
  <c r="C75" i="48"/>
  <c r="E67" i="48"/>
  <c r="C73" i="48" s="1"/>
  <c r="AG54" i="48"/>
  <c r="AF54" i="48"/>
  <c r="AE54" i="48"/>
  <c r="AD54" i="48"/>
  <c r="AC54" i="48"/>
  <c r="AB54" i="48"/>
  <c r="AA54" i="48"/>
  <c r="Z54" i="48"/>
  <c r="Y54" i="48"/>
  <c r="X54" i="48"/>
  <c r="W54" i="48"/>
  <c r="V54" i="48"/>
  <c r="U54" i="48"/>
  <c r="T54" i="48"/>
  <c r="S54" i="48"/>
  <c r="R54" i="48"/>
  <c r="Q54" i="48"/>
  <c r="P54" i="48"/>
  <c r="O54" i="48"/>
  <c r="N54" i="48"/>
  <c r="M54" i="48"/>
  <c r="L54" i="48"/>
  <c r="K54" i="48"/>
  <c r="J54" i="48"/>
  <c r="I54" i="48"/>
  <c r="H54" i="48"/>
  <c r="G54" i="48"/>
  <c r="F54" i="48"/>
  <c r="E54" i="48"/>
  <c r="D54" i="48"/>
  <c r="C54" i="48"/>
  <c r="AC53" i="48"/>
  <c r="AB53" i="48"/>
  <c r="AA53" i="48"/>
  <c r="Z53" i="48"/>
  <c r="Y53" i="48"/>
  <c r="X53" i="48"/>
  <c r="W53" i="48"/>
  <c r="V53" i="48"/>
  <c r="U53" i="48"/>
  <c r="T53" i="48"/>
  <c r="S53" i="48"/>
  <c r="R53" i="48"/>
  <c r="Q53" i="48"/>
  <c r="P53" i="48"/>
  <c r="O53" i="48"/>
  <c r="N53" i="48"/>
  <c r="M53" i="48"/>
  <c r="L53" i="48"/>
  <c r="K53" i="48"/>
  <c r="J53" i="48"/>
  <c r="I53" i="48"/>
  <c r="H53" i="48"/>
  <c r="G53" i="48"/>
  <c r="E53" i="48"/>
  <c r="D53" i="48"/>
  <c r="C53" i="48"/>
  <c r="E6" i="48"/>
  <c r="G5" i="48"/>
  <c r="G4" i="48" s="1"/>
  <c r="E4" i="48"/>
  <c r="C75" i="47"/>
  <c r="E67" i="47"/>
  <c r="C73" i="47" s="1"/>
  <c r="AG54" i="47"/>
  <c r="AF54" i="47"/>
  <c r="AE54" i="47"/>
  <c r="AD54" i="47"/>
  <c r="AC54" i="47"/>
  <c r="AB54" i="47"/>
  <c r="AA54" i="47"/>
  <c r="Z54" i="47"/>
  <c r="Y54" i="47"/>
  <c r="X54" i="47"/>
  <c r="W54" i="47"/>
  <c r="V54" i="47"/>
  <c r="U54" i="47"/>
  <c r="T54" i="47"/>
  <c r="S54" i="47"/>
  <c r="R54" i="47"/>
  <c r="Q54" i="47"/>
  <c r="P54" i="47"/>
  <c r="O54" i="47"/>
  <c r="N54" i="47"/>
  <c r="M54" i="47"/>
  <c r="L54" i="47"/>
  <c r="K54" i="47"/>
  <c r="J54" i="47"/>
  <c r="I54" i="47"/>
  <c r="H54" i="47"/>
  <c r="G54" i="47"/>
  <c r="F54" i="47"/>
  <c r="E54" i="47"/>
  <c r="D54" i="47"/>
  <c r="C54" i="47"/>
  <c r="AG53" i="47"/>
  <c r="AF53" i="47"/>
  <c r="AE53" i="47"/>
  <c r="AD53" i="47"/>
  <c r="AC53" i="47"/>
  <c r="AB53" i="47"/>
  <c r="AA53" i="47"/>
  <c r="Z53" i="47"/>
  <c r="Y53" i="47"/>
  <c r="X53" i="47"/>
  <c r="W53" i="47"/>
  <c r="V53" i="47"/>
  <c r="U53" i="47"/>
  <c r="T53" i="47"/>
  <c r="S53" i="47"/>
  <c r="R53" i="47"/>
  <c r="Q53" i="47"/>
  <c r="P53" i="47"/>
  <c r="O53" i="47"/>
  <c r="N53" i="47"/>
  <c r="M53" i="47"/>
  <c r="L53" i="47"/>
  <c r="K53" i="47"/>
  <c r="J53" i="47"/>
  <c r="I53" i="47"/>
  <c r="H53" i="47"/>
  <c r="G53" i="47"/>
  <c r="F53" i="47"/>
  <c r="E53" i="47"/>
  <c r="D53" i="47"/>
  <c r="C53" i="47"/>
  <c r="E6" i="47"/>
  <c r="G5" i="47"/>
  <c r="G4" i="47" s="1"/>
  <c r="E4" i="47"/>
  <c r="C75" i="46"/>
  <c r="E67" i="46"/>
  <c r="C73" i="46" s="1"/>
  <c r="AG54" i="46"/>
  <c r="AF54" i="46"/>
  <c r="AE54" i="46"/>
  <c r="AD54" i="46"/>
  <c r="AC54" i="46"/>
  <c r="AB54" i="46"/>
  <c r="AA54" i="46"/>
  <c r="Z54" i="46"/>
  <c r="Y54" i="46"/>
  <c r="X54" i="46"/>
  <c r="W54" i="46"/>
  <c r="V54" i="46"/>
  <c r="U54" i="46"/>
  <c r="T54" i="46"/>
  <c r="S54" i="46"/>
  <c r="R54" i="46"/>
  <c r="Q54" i="46"/>
  <c r="P54" i="46"/>
  <c r="O54" i="46"/>
  <c r="N54" i="46"/>
  <c r="M54" i="46"/>
  <c r="L54" i="46"/>
  <c r="K54" i="46"/>
  <c r="J54" i="46"/>
  <c r="I54" i="46"/>
  <c r="H54" i="46"/>
  <c r="G54" i="46"/>
  <c r="F54" i="46"/>
  <c r="E54" i="46"/>
  <c r="D54" i="46"/>
  <c r="C54" i="46"/>
  <c r="AG53" i="46"/>
  <c r="AF53" i="46"/>
  <c r="AE53" i="46"/>
  <c r="AD53" i="46"/>
  <c r="AC53" i="46"/>
  <c r="AB53" i="46"/>
  <c r="AA53" i="46"/>
  <c r="Z53" i="46"/>
  <c r="Y53" i="46"/>
  <c r="X53" i="46"/>
  <c r="W53" i="46"/>
  <c r="V53" i="46"/>
  <c r="U53" i="46"/>
  <c r="T53" i="46"/>
  <c r="S53" i="46"/>
  <c r="R53" i="46"/>
  <c r="Q53" i="46"/>
  <c r="P53" i="46"/>
  <c r="O53" i="46"/>
  <c r="N53" i="46"/>
  <c r="M53" i="46"/>
  <c r="L53" i="46"/>
  <c r="K53" i="46"/>
  <c r="J53" i="46"/>
  <c r="I53" i="46"/>
  <c r="H53" i="46"/>
  <c r="E53" i="46"/>
  <c r="D53" i="46"/>
  <c r="C53" i="46"/>
  <c r="E6" i="46"/>
  <c r="G5" i="46"/>
  <c r="G4" i="46" s="1"/>
  <c r="E4" i="46"/>
  <c r="C75" i="45"/>
  <c r="E67" i="45"/>
  <c r="C73" i="45" s="1"/>
  <c r="AG54" i="45"/>
  <c r="AF54" i="45"/>
  <c r="AE54" i="45"/>
  <c r="AD54" i="45"/>
  <c r="AC54" i="45"/>
  <c r="AB54" i="45"/>
  <c r="AA54" i="45"/>
  <c r="Z54" i="45"/>
  <c r="Y54" i="45"/>
  <c r="X54" i="45"/>
  <c r="W54" i="45"/>
  <c r="V54" i="45"/>
  <c r="U54" i="45"/>
  <c r="T54" i="45"/>
  <c r="S54" i="45"/>
  <c r="R54" i="45"/>
  <c r="Q54" i="45"/>
  <c r="P54" i="45"/>
  <c r="O54" i="45"/>
  <c r="N54" i="45"/>
  <c r="M54" i="45"/>
  <c r="L54" i="45"/>
  <c r="K54" i="45"/>
  <c r="J54" i="45"/>
  <c r="I54" i="45"/>
  <c r="H54" i="45"/>
  <c r="G54" i="45"/>
  <c r="F54" i="45"/>
  <c r="E54" i="45"/>
  <c r="D54" i="45"/>
  <c r="C54" i="45"/>
  <c r="AG53" i="45"/>
  <c r="AF53" i="45"/>
  <c r="AE53" i="45"/>
  <c r="AD53" i="45"/>
  <c r="AC53" i="45"/>
  <c r="AB53" i="45"/>
  <c r="AA53" i="45"/>
  <c r="Z53" i="45"/>
  <c r="Y53" i="45"/>
  <c r="X53" i="45"/>
  <c r="W53" i="45"/>
  <c r="V53" i="45"/>
  <c r="R53" i="45"/>
  <c r="Q53" i="45"/>
  <c r="P53" i="45"/>
  <c r="O53" i="45"/>
  <c r="N53" i="45"/>
  <c r="M53" i="45"/>
  <c r="L53" i="45"/>
  <c r="K53" i="45"/>
  <c r="J53" i="45"/>
  <c r="I53" i="45"/>
  <c r="H53" i="45"/>
  <c r="G53" i="45"/>
  <c r="F53" i="45"/>
  <c r="E53" i="45"/>
  <c r="D53" i="45"/>
  <c r="C53" i="45"/>
  <c r="E6" i="45"/>
  <c r="G5" i="45"/>
  <c r="G4" i="45" s="1"/>
  <c r="Z4" i="45"/>
  <c r="E4" i="45"/>
  <c r="C85" i="45" l="1"/>
  <c r="C67" i="47"/>
  <c r="C74" i="47" s="1"/>
  <c r="C67" i="45"/>
  <c r="C74" i="45" s="1"/>
  <c r="C69" i="45"/>
  <c r="C66" i="45" s="1"/>
  <c r="C69" i="48"/>
  <c r="C66" i="48" s="1"/>
  <c r="C67" i="48"/>
  <c r="C69" i="49"/>
  <c r="C66" i="49" s="1"/>
  <c r="C69" i="47"/>
  <c r="C66" i="47" s="1"/>
  <c r="C67" i="49"/>
  <c r="C67" i="46"/>
  <c r="C74" i="46" s="1"/>
  <c r="C69" i="46"/>
  <c r="C66" i="46" s="1"/>
  <c r="G6" i="49"/>
  <c r="G6" i="48"/>
  <c r="G6" i="47"/>
  <c r="G6" i="46"/>
  <c r="G6" i="45"/>
  <c r="C75" i="44"/>
  <c r="E67" i="44"/>
  <c r="C73" i="44" s="1"/>
  <c r="AG54" i="44"/>
  <c r="AF54" i="44"/>
  <c r="AE54" i="44"/>
  <c r="AD54" i="44"/>
  <c r="AC54" i="44"/>
  <c r="AB54" i="44"/>
  <c r="AA54" i="44"/>
  <c r="Z54" i="44"/>
  <c r="Y54" i="44"/>
  <c r="X54" i="44"/>
  <c r="W54" i="44"/>
  <c r="V54" i="44"/>
  <c r="U54" i="44"/>
  <c r="T54" i="44"/>
  <c r="S54" i="44"/>
  <c r="R54" i="44"/>
  <c r="Q54" i="44"/>
  <c r="P54" i="44"/>
  <c r="O54" i="44"/>
  <c r="N54" i="44"/>
  <c r="M54" i="44"/>
  <c r="L54" i="44"/>
  <c r="K54" i="44"/>
  <c r="J54" i="44"/>
  <c r="I54" i="44"/>
  <c r="H54" i="44"/>
  <c r="G54" i="44"/>
  <c r="F54" i="44"/>
  <c r="E54" i="44"/>
  <c r="D54" i="44"/>
  <c r="C54" i="44"/>
  <c r="AG53" i="44"/>
  <c r="AF53" i="44"/>
  <c r="AE53" i="44"/>
  <c r="AD53" i="44"/>
  <c r="AC53" i="44"/>
  <c r="AB53" i="44"/>
  <c r="AA53" i="44"/>
  <c r="Z53" i="44"/>
  <c r="Y53" i="44"/>
  <c r="X53" i="44"/>
  <c r="W53" i="44"/>
  <c r="V53" i="44"/>
  <c r="U53" i="44"/>
  <c r="T53" i="44"/>
  <c r="S53" i="44"/>
  <c r="R53" i="44"/>
  <c r="Q53" i="44"/>
  <c r="P53" i="44"/>
  <c r="O53" i="44"/>
  <c r="K53" i="44"/>
  <c r="J53" i="44"/>
  <c r="I53" i="44"/>
  <c r="H53" i="44"/>
  <c r="G53" i="44"/>
  <c r="F53" i="44"/>
  <c r="E53" i="44"/>
  <c r="D53" i="44"/>
  <c r="C53" i="44"/>
  <c r="E6" i="44"/>
  <c r="G5" i="44"/>
  <c r="G4" i="44" s="1"/>
  <c r="Z4" i="44"/>
  <c r="E4" i="44"/>
  <c r="C75" i="43"/>
  <c r="E67" i="43"/>
  <c r="C73" i="43" s="1"/>
  <c r="AG54" i="43"/>
  <c r="AF54" i="43"/>
  <c r="AE54" i="43"/>
  <c r="AD54" i="43"/>
  <c r="AC54" i="43"/>
  <c r="AB54" i="43"/>
  <c r="AA54" i="43"/>
  <c r="Z54" i="43"/>
  <c r="Y54" i="43"/>
  <c r="X54" i="43"/>
  <c r="W54" i="43"/>
  <c r="V54" i="43"/>
  <c r="U54" i="43"/>
  <c r="T54" i="43"/>
  <c r="S54" i="43"/>
  <c r="R54" i="43"/>
  <c r="Q54" i="43"/>
  <c r="P54" i="43"/>
  <c r="O54" i="43"/>
  <c r="N54" i="43"/>
  <c r="M54" i="43"/>
  <c r="L54" i="43"/>
  <c r="K54" i="43"/>
  <c r="J54" i="43"/>
  <c r="I54" i="43"/>
  <c r="H54" i="43"/>
  <c r="G54" i="43"/>
  <c r="F54" i="43"/>
  <c r="E54" i="43"/>
  <c r="D54" i="43"/>
  <c r="C54" i="43"/>
  <c r="AG53" i="43"/>
  <c r="AF53" i="43"/>
  <c r="AE53" i="43"/>
  <c r="AD53" i="43"/>
  <c r="AC53" i="43"/>
  <c r="AB53" i="43"/>
  <c r="AA53" i="43"/>
  <c r="Z53" i="43"/>
  <c r="Y53" i="43"/>
  <c r="X53" i="43"/>
  <c r="W53" i="43"/>
  <c r="V53" i="43"/>
  <c r="U53" i="43"/>
  <c r="T53" i="43"/>
  <c r="S53" i="43"/>
  <c r="R53" i="43"/>
  <c r="Q53" i="43"/>
  <c r="P53" i="43"/>
  <c r="O53" i="43"/>
  <c r="N53" i="43"/>
  <c r="M53" i="43"/>
  <c r="L53" i="43"/>
  <c r="K53" i="43"/>
  <c r="J53" i="43"/>
  <c r="I53" i="43"/>
  <c r="H53" i="43"/>
  <c r="G53" i="43"/>
  <c r="F53" i="43"/>
  <c r="C53" i="43"/>
  <c r="E6" i="43"/>
  <c r="G5" i="43"/>
  <c r="G4" i="43" s="1"/>
  <c r="Z4" i="43"/>
  <c r="E4" i="43"/>
  <c r="Z4" i="40"/>
  <c r="C75" i="40"/>
  <c r="E67" i="40"/>
  <c r="C73" i="40" s="1"/>
  <c r="AG54" i="40"/>
  <c r="AF54" i="40"/>
  <c r="AE54" i="40"/>
  <c r="AD54" i="40"/>
  <c r="AC54" i="40"/>
  <c r="AB54" i="40"/>
  <c r="AA54" i="40"/>
  <c r="Z54" i="40"/>
  <c r="Y54" i="40"/>
  <c r="X54" i="40"/>
  <c r="W54" i="40"/>
  <c r="V54" i="40"/>
  <c r="U54" i="40"/>
  <c r="T54" i="40"/>
  <c r="S54" i="40"/>
  <c r="R54" i="40"/>
  <c r="Q54" i="40"/>
  <c r="P54" i="40"/>
  <c r="O54" i="40"/>
  <c r="N54" i="40"/>
  <c r="M54" i="40"/>
  <c r="L54" i="40"/>
  <c r="K54" i="40"/>
  <c r="J54" i="40"/>
  <c r="I54" i="40"/>
  <c r="H54" i="40"/>
  <c r="G54" i="40"/>
  <c r="F54" i="40"/>
  <c r="E54" i="40"/>
  <c r="D54" i="40"/>
  <c r="C54" i="40"/>
  <c r="AG53" i="40"/>
  <c r="AF53" i="40"/>
  <c r="AE53" i="40"/>
  <c r="P53" i="40"/>
  <c r="O53" i="40"/>
  <c r="N53" i="40"/>
  <c r="M53" i="40"/>
  <c r="L53" i="40"/>
  <c r="K53" i="40"/>
  <c r="J53" i="40"/>
  <c r="I53" i="40"/>
  <c r="H53" i="40"/>
  <c r="G53" i="40"/>
  <c r="F53" i="40"/>
  <c r="E53" i="40"/>
  <c r="C53" i="40"/>
  <c r="E6" i="40"/>
  <c r="G5" i="40"/>
  <c r="G6" i="40" s="1"/>
  <c r="E4" i="40"/>
  <c r="AD4" i="39"/>
  <c r="Z4" i="39"/>
  <c r="C75" i="39"/>
  <c r="E67" i="39"/>
  <c r="C73" i="39" s="1"/>
  <c r="AG54" i="39"/>
  <c r="AF54" i="39"/>
  <c r="AE54" i="39"/>
  <c r="AD54" i="39"/>
  <c r="AC54" i="39"/>
  <c r="AB54" i="39"/>
  <c r="AA54" i="39"/>
  <c r="Z54" i="39"/>
  <c r="Y54" i="39"/>
  <c r="X54" i="39"/>
  <c r="W54" i="39"/>
  <c r="V54" i="39"/>
  <c r="U54" i="39"/>
  <c r="T54" i="39"/>
  <c r="S54" i="39"/>
  <c r="R54" i="39"/>
  <c r="Q54" i="39"/>
  <c r="P54" i="39"/>
  <c r="O54" i="39"/>
  <c r="N54" i="39"/>
  <c r="M54" i="39"/>
  <c r="L54" i="39"/>
  <c r="K54" i="39"/>
  <c r="J54" i="39"/>
  <c r="I54" i="39"/>
  <c r="H54" i="39"/>
  <c r="F54" i="39"/>
  <c r="E54" i="39"/>
  <c r="D54" i="39"/>
  <c r="C54" i="39"/>
  <c r="AG53" i="39"/>
  <c r="AF53" i="39"/>
  <c r="AE53" i="39"/>
  <c r="AD53" i="39"/>
  <c r="AC53" i="39"/>
  <c r="AB53" i="39"/>
  <c r="AA53" i="39"/>
  <c r="Z53" i="39"/>
  <c r="Y53" i="39"/>
  <c r="X53" i="39"/>
  <c r="W53" i="39"/>
  <c r="V53" i="39"/>
  <c r="U53" i="39"/>
  <c r="T53" i="39"/>
  <c r="S53" i="39"/>
  <c r="R53" i="39"/>
  <c r="Q53" i="39"/>
  <c r="P53" i="39"/>
  <c r="O53" i="39"/>
  <c r="N53" i="39"/>
  <c r="M53" i="39"/>
  <c r="L53" i="39"/>
  <c r="K53" i="39"/>
  <c r="J53" i="39"/>
  <c r="I53" i="39"/>
  <c r="H53" i="39"/>
  <c r="F53" i="39"/>
  <c r="E53" i="39"/>
  <c r="D53" i="39"/>
  <c r="C53" i="39"/>
  <c r="E6" i="39"/>
  <c r="G5" i="39"/>
  <c r="G4" i="39" s="1"/>
  <c r="E4" i="39"/>
  <c r="C75" i="38"/>
  <c r="E67" i="38"/>
  <c r="C73" i="38" s="1"/>
  <c r="AG54" i="38"/>
  <c r="AF54" i="38"/>
  <c r="AE54" i="38"/>
  <c r="AD54" i="38"/>
  <c r="AC54" i="38"/>
  <c r="AB54" i="38"/>
  <c r="AA54" i="38"/>
  <c r="Z54" i="38"/>
  <c r="Y54" i="38"/>
  <c r="X54" i="38"/>
  <c r="W54" i="38"/>
  <c r="V54" i="38"/>
  <c r="U54" i="38"/>
  <c r="T54" i="38"/>
  <c r="S54" i="38"/>
  <c r="R54" i="38"/>
  <c r="Q54" i="38"/>
  <c r="P54" i="38"/>
  <c r="O54" i="38"/>
  <c r="N54" i="38"/>
  <c r="M54" i="38"/>
  <c r="L54" i="38"/>
  <c r="K54" i="38"/>
  <c r="J54" i="38"/>
  <c r="I54" i="38"/>
  <c r="H54" i="38"/>
  <c r="G54" i="38"/>
  <c r="E54" i="38"/>
  <c r="D54" i="38"/>
  <c r="C54" i="38"/>
  <c r="AG53" i="38"/>
  <c r="AF53" i="38"/>
  <c r="AE53" i="38"/>
  <c r="AD53" i="38"/>
  <c r="AC53" i="38"/>
  <c r="AB53" i="38"/>
  <c r="AA53" i="38"/>
  <c r="Z53" i="38"/>
  <c r="Y53" i="38"/>
  <c r="X53" i="38"/>
  <c r="W53" i="38"/>
  <c r="V53" i="38"/>
  <c r="U53" i="38"/>
  <c r="T53" i="38"/>
  <c r="S53" i="38"/>
  <c r="R53" i="38"/>
  <c r="Q53" i="38"/>
  <c r="P53" i="38"/>
  <c r="O53" i="38"/>
  <c r="N53" i="38"/>
  <c r="M53" i="38"/>
  <c r="L53" i="38"/>
  <c r="K53" i="38"/>
  <c r="J53" i="38"/>
  <c r="E53" i="38"/>
  <c r="D53" i="38"/>
  <c r="C53" i="38"/>
  <c r="E6" i="38"/>
  <c r="G5" i="38"/>
  <c r="G4" i="38" s="1"/>
  <c r="E4" i="38"/>
  <c r="C85" i="43" l="1"/>
  <c r="C68" i="49"/>
  <c r="G4" i="40"/>
  <c r="C74" i="49"/>
  <c r="C68" i="48"/>
  <c r="C74" i="48"/>
  <c r="C68" i="47"/>
  <c r="C67" i="40"/>
  <c r="C74" i="40" s="1"/>
  <c r="C67" i="39"/>
  <c r="C74" i="39" s="1"/>
  <c r="C69" i="44"/>
  <c r="C66" i="44" s="1"/>
  <c r="C67" i="44"/>
  <c r="C74" i="44" s="1"/>
  <c r="C68" i="45"/>
  <c r="C67" i="43"/>
  <c r="C74" i="43" s="1"/>
  <c r="C69" i="43"/>
  <c r="C66" i="43" s="1"/>
  <c r="C68" i="46"/>
  <c r="C69" i="40"/>
  <c r="C66" i="40" s="1"/>
  <c r="C69" i="39"/>
  <c r="C66" i="39" s="1"/>
  <c r="AD4" i="47"/>
  <c r="AD4" i="49"/>
  <c r="AD4" i="48"/>
  <c r="AD4" i="46"/>
  <c r="Z4" i="47"/>
  <c r="Z4" i="48"/>
  <c r="Z4" i="46"/>
  <c r="Z4" i="49"/>
  <c r="G6" i="44"/>
  <c r="G6" i="43"/>
  <c r="G6" i="39"/>
  <c r="C67" i="38"/>
  <c r="C74" i="38" s="1"/>
  <c r="C69" i="38"/>
  <c r="C66" i="38" s="1"/>
  <c r="G6" i="38"/>
  <c r="C68" i="44" l="1"/>
  <c r="C68" i="43"/>
  <c r="C68" i="40"/>
  <c r="C68" i="39"/>
  <c r="C68" i="38"/>
</calcChain>
</file>

<file path=xl/sharedStrings.xml><?xml version="1.0" encoding="utf-8"?>
<sst xmlns="http://schemas.openxmlformats.org/spreadsheetml/2006/main" count="704" uniqueCount="71">
  <si>
    <t>Modelo:</t>
  </si>
  <si>
    <t>Máquina:</t>
  </si>
  <si>
    <t>Característica:</t>
  </si>
  <si>
    <t>Especificação</t>
  </si>
  <si>
    <t>LSE=</t>
  </si>
  <si>
    <t>X</t>
  </si>
  <si>
    <t xml:space="preserve"> LC=</t>
  </si>
  <si>
    <t>D=diurno</t>
  </si>
  <si>
    <t>Visto:</t>
  </si>
  <si>
    <t>LIE=</t>
  </si>
  <si>
    <t>1 vez / turno</t>
  </si>
  <si>
    <t>N=noturno</t>
  </si>
  <si>
    <t>R</t>
  </si>
  <si>
    <t>Medida: unid.(mm)</t>
  </si>
  <si>
    <t>Grupo</t>
  </si>
  <si>
    <t>Data</t>
  </si>
  <si>
    <t>Média</t>
  </si>
  <si>
    <t>Visto do operador</t>
  </si>
  <si>
    <t>Legenda:</t>
  </si>
  <si>
    <t>Diário de Bordo:</t>
  </si>
  <si>
    <t>Limites de Especificação</t>
  </si>
  <si>
    <t>Limites de Controle</t>
  </si>
  <si>
    <t>Data:</t>
  </si>
  <si>
    <t>LSC</t>
  </si>
  <si>
    <t>LIC</t>
  </si>
  <si>
    <t>Limites Calculados</t>
  </si>
  <si>
    <t>S</t>
  </si>
  <si>
    <t>Cálculo de Cp e Cpk</t>
  </si>
  <si>
    <t>Cp</t>
  </si>
  <si>
    <t>Cpk</t>
  </si>
  <si>
    <t>Controle da Qualidade:</t>
  </si>
  <si>
    <t>Produção:</t>
  </si>
  <si>
    <t xml:space="preserve">Data: </t>
  </si>
  <si>
    <t>Amostra n= 5</t>
  </si>
  <si>
    <t>LSC=</t>
  </si>
  <si>
    <t>LIC=</t>
  </si>
  <si>
    <t>LC=</t>
  </si>
  <si>
    <t>Turno</t>
  </si>
  <si>
    <t>Altura do Tubo Cortado</t>
  </si>
  <si>
    <t>Cortadeira N  3</t>
  </si>
  <si>
    <t>Cortadeira N  2</t>
  </si>
  <si>
    <t>Cortadeira N  1</t>
  </si>
  <si>
    <t>Sistema de Gestão Integrado</t>
  </si>
  <si>
    <t>Panasonic do Brasil Limitada</t>
  </si>
  <si>
    <t>Nº 1</t>
  </si>
  <si>
    <t>Espessura do Lado</t>
  </si>
  <si>
    <t>Gerência</t>
  </si>
  <si>
    <t>Nº 2</t>
  </si>
  <si>
    <t>Nº 3</t>
  </si>
  <si>
    <t>Nº 4</t>
  </si>
  <si>
    <t>Espessura do Fundo</t>
  </si>
  <si>
    <t>ANO: 2019</t>
  </si>
  <si>
    <t>CONTROLE ESTATÍSTICO DO PROCESSO (CEP)</t>
  </si>
  <si>
    <t>SETOR:  MONTAGEM</t>
  </si>
  <si>
    <t>SJCPIL-I 16-013-XX</t>
  </si>
  <si>
    <t>Nº 9</t>
  </si>
  <si>
    <t>UM-3</t>
  </si>
  <si>
    <t>,</t>
  </si>
  <si>
    <t>Média Geral</t>
  </si>
  <si>
    <t>Cálculo p/ Japão R6-1</t>
  </si>
  <si>
    <t>Média (P1/P2/P3)</t>
  </si>
  <si>
    <t>Desvio Padrão</t>
  </si>
  <si>
    <t>Cálculo p/ Japão R6-2</t>
  </si>
  <si>
    <t>Média (P4/P9)</t>
  </si>
  <si>
    <t>Configurações</t>
  </si>
  <si>
    <t>Responsável</t>
  </si>
  <si>
    <t>3° T</t>
  </si>
  <si>
    <t>D</t>
  </si>
  <si>
    <t>2° T</t>
  </si>
  <si>
    <t>Luciano Sander</t>
  </si>
  <si>
    <t>Visto do Líder / Sublíder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</si>
</sst>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_);_(* \(#,##0\);_(* &quot;-&quot;_);_(@_)"/>
    <numFmt numFmtId="165" formatCode="_(* #,##0.00_);_(* \(#,##0.00\);_(* &quot;-&quot;??_);_(@_)"/>
    <numFmt numFmtId="166" formatCode="&quot;W&quot;#,##0;[Red]\-&quot;W&quot;#,##0"/>
    <numFmt numFmtId="167" formatCode="&quot;W&quot;#,##0.00;[Red]\-&quot;W&quot;#,##0.00"/>
    <numFmt numFmtId="168" formatCode="0.00_)"/>
  </numFmts>
  <fonts count="26">
    <font>
      <sz val="10"/>
      <name val="Arial"/>
    </font>
    <font>
      <sz val="8"/>
      <name val="Arial"/>
      <family val="2"/>
    </font>
    <font>
      <b/>
      <i/>
      <sz val="16"/>
      <name val="Helv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2"/>
      <name val="ＭＳ ゴシック"/>
      <family val="3"/>
      <charset val="128"/>
    </font>
    <font>
      <sz val="10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b/>
      <sz val="10"/>
      <name val="Arial"/>
      <family val="2"/>
    </font>
    <font>
      <sz val="16"/>
      <name val="SwitzerlandBlack"/>
      <family val="2"/>
    </font>
    <font>
      <b/>
      <sz val="12"/>
      <name val="Arial"/>
      <family val="2"/>
    </font>
    <font>
      <sz val="12"/>
      <name val="Arial"/>
      <family val="2"/>
    </font>
    <font>
      <b/>
      <u/>
      <sz val="16"/>
      <name val="Arial"/>
      <family val="2"/>
    </font>
    <font>
      <sz val="8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2"/>
      <name val="Arial Narrow"/>
      <family val="2"/>
    </font>
    <font>
      <sz val="11"/>
      <name val="Arial"/>
      <family val="2"/>
    </font>
    <font>
      <sz val="14"/>
      <name val="Arial Narrow"/>
      <family val="2"/>
    </font>
    <font>
      <b/>
      <sz val="16"/>
      <name val="Arial"/>
      <family val="2"/>
    </font>
    <font>
      <sz val="16"/>
      <name val="Arial"/>
      <family val="2"/>
    </font>
    <font>
      <b/>
      <sz val="14"/>
      <name val="Arial"/>
      <family val="2"/>
    </font>
    <font>
      <sz val="16"/>
      <name val="Franklin Gothic Book"/>
      <family val="2"/>
    </font>
    <font>
      <sz val="10"/>
      <color indexed="8"/>
      <name val="Arial Narrow"/>
      <family val="2"/>
    </font>
    <font>
      <sz val="20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8" fontId="2" fillId="0" borderId="0"/>
    <xf numFmtId="0" fontId="3" fillId="0" borderId="0"/>
    <xf numFmtId="10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37" fontId="5" fillId="0" borderId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</cellStyleXfs>
  <cellXfs count="185">
    <xf numFmtId="0" fontId="0" fillId="0" borderId="0" xfId="0"/>
    <xf numFmtId="0" fontId="15" fillId="0" borderId="0" xfId="4" applyFont="1" applyProtection="1">
      <protection locked="0"/>
    </xf>
    <xf numFmtId="0" fontId="15" fillId="0" borderId="2" xfId="4" applyFont="1" applyBorder="1" applyProtection="1">
      <protection locked="0"/>
    </xf>
    <xf numFmtId="0" fontId="15" fillId="0" borderId="3" xfId="4" applyFont="1" applyBorder="1" applyProtection="1">
      <protection locked="0"/>
    </xf>
    <xf numFmtId="0" fontId="15" fillId="0" borderId="4" xfId="4" applyFont="1" applyBorder="1" applyProtection="1">
      <protection locked="0"/>
    </xf>
    <xf numFmtId="0" fontId="15" fillId="0" borderId="1" xfId="4" applyFont="1" applyBorder="1" applyAlignment="1" applyProtection="1">
      <alignment horizontal="center"/>
      <protection locked="0"/>
    </xf>
    <xf numFmtId="0" fontId="15" fillId="0" borderId="5" xfId="4" applyFont="1" applyBorder="1" applyAlignment="1" applyProtection="1">
      <alignment horizontal="center"/>
      <protection locked="0"/>
    </xf>
    <xf numFmtId="2" fontId="16" fillId="0" borderId="6" xfId="4" applyNumberFormat="1" applyFont="1" applyBorder="1" applyProtection="1">
      <protection locked="0"/>
    </xf>
    <xf numFmtId="2" fontId="16" fillId="0" borderId="7" xfId="4" applyNumberFormat="1" applyFont="1" applyBorder="1" applyProtection="1">
      <protection locked="0"/>
    </xf>
    <xf numFmtId="2" fontId="16" fillId="0" borderId="8" xfId="4" applyNumberFormat="1" applyFont="1" applyBorder="1" applyProtection="1">
      <protection locked="0"/>
    </xf>
    <xf numFmtId="0" fontId="6" fillId="0" borderId="0" xfId="4" applyFont="1"/>
    <xf numFmtId="0" fontId="7" fillId="0" borderId="0" xfId="4" applyFont="1"/>
    <xf numFmtId="0" fontId="8" fillId="0" borderId="0" xfId="4" applyFont="1"/>
    <xf numFmtId="2" fontId="12" fillId="0" borderId="9" xfId="0" applyNumberFormat="1" applyFont="1" applyBorder="1" applyAlignment="1">
      <alignment vertical="center"/>
    </xf>
    <xf numFmtId="2" fontId="13" fillId="0" borderId="9" xfId="0" applyNumberFormat="1" applyFont="1" applyBorder="1" applyAlignment="1">
      <alignment vertical="center"/>
    </xf>
    <xf numFmtId="0" fontId="8" fillId="0" borderId="9" xfId="4" applyFont="1" applyBorder="1"/>
    <xf numFmtId="0" fontId="12" fillId="0" borderId="11" xfId="4" applyFont="1" applyBorder="1"/>
    <xf numFmtId="0" fontId="6" fillId="0" borderId="11" xfId="4" applyFont="1" applyBorder="1"/>
    <xf numFmtId="0" fontId="15" fillId="0" borderId="12" xfId="4" applyFont="1" applyBorder="1"/>
    <xf numFmtId="0" fontId="15" fillId="0" borderId="13" xfId="0" applyFont="1" applyBorder="1" applyAlignment="1">
      <alignment vertical="center"/>
    </xf>
    <xf numFmtId="2" fontId="15" fillId="0" borderId="14" xfId="4" applyNumberFormat="1" applyFont="1" applyBorder="1"/>
    <xf numFmtId="0" fontId="15" fillId="4" borderId="15" xfId="4" applyFont="1" applyFill="1" applyBorder="1" applyAlignment="1">
      <alignment vertical="center"/>
    </xf>
    <xf numFmtId="2" fontId="15" fillId="4" borderId="16" xfId="4" applyNumberFormat="1" applyFont="1" applyFill="1" applyBorder="1" applyAlignment="1">
      <alignment vertical="center"/>
    </xf>
    <xf numFmtId="0" fontId="15" fillId="0" borderId="0" xfId="4" applyFont="1" applyAlignment="1">
      <alignment vertical="center"/>
    </xf>
    <xf numFmtId="0" fontId="15" fillId="0" borderId="0" xfId="4" applyFont="1" applyAlignment="1">
      <alignment horizontal="center" vertical="center"/>
    </xf>
    <xf numFmtId="0" fontId="15" fillId="0" borderId="17" xfId="0" applyFont="1" applyBorder="1" applyAlignment="1">
      <alignment vertical="center"/>
    </xf>
    <xf numFmtId="2" fontId="15" fillId="0" borderId="18" xfId="4" applyNumberFormat="1" applyFont="1" applyBorder="1" applyAlignment="1">
      <alignment vertical="center"/>
    </xf>
    <xf numFmtId="0" fontId="15" fillId="4" borderId="19" xfId="4" applyFont="1" applyFill="1" applyBorder="1" applyAlignment="1">
      <alignment vertical="center"/>
    </xf>
    <xf numFmtId="2" fontId="15" fillId="4" borderId="20" xfId="4" applyNumberFormat="1" applyFont="1" applyFill="1" applyBorder="1" applyAlignment="1">
      <alignment vertical="center"/>
    </xf>
    <xf numFmtId="0" fontId="15" fillId="0" borderId="21" xfId="4" applyFont="1" applyBorder="1" applyAlignment="1">
      <alignment vertical="center"/>
    </xf>
    <xf numFmtId="0" fontId="15" fillId="0" borderId="23" xfId="4" applyFont="1" applyBorder="1" applyAlignment="1">
      <alignment horizontal="center"/>
    </xf>
    <xf numFmtId="0" fontId="15" fillId="0" borderId="0" xfId="4" applyFont="1"/>
    <xf numFmtId="0" fontId="15" fillId="0" borderId="24" xfId="4" applyFont="1" applyBorder="1" applyAlignment="1">
      <alignment horizontal="center"/>
    </xf>
    <xf numFmtId="0" fontId="15" fillId="0" borderId="25" xfId="4" applyFont="1" applyBorder="1" applyAlignment="1">
      <alignment horizontal="center"/>
    </xf>
    <xf numFmtId="0" fontId="15" fillId="0" borderId="25" xfId="4" applyFont="1" applyBorder="1"/>
    <xf numFmtId="0" fontId="15" fillId="0" borderId="2" xfId="4" applyFont="1" applyBorder="1"/>
    <xf numFmtId="0" fontId="14" fillId="0" borderId="26" xfId="4" applyFont="1" applyBorder="1" applyAlignment="1">
      <alignment horizontal="right" vertical="center"/>
    </xf>
    <xf numFmtId="0" fontId="15" fillId="0" borderId="27" xfId="4" applyFont="1" applyBorder="1"/>
    <xf numFmtId="0" fontId="15" fillId="0" borderId="28" xfId="4" applyFont="1" applyBorder="1"/>
    <xf numFmtId="0" fontId="14" fillId="0" borderId="29" xfId="4" applyFont="1" applyBorder="1" applyAlignment="1">
      <alignment horizontal="right" vertical="center"/>
    </xf>
    <xf numFmtId="0" fontId="15" fillId="0" borderId="3" xfId="4" applyFont="1" applyBorder="1"/>
    <xf numFmtId="0" fontId="15" fillId="0" borderId="4" xfId="4" applyFont="1" applyBorder="1"/>
    <xf numFmtId="0" fontId="16" fillId="0" borderId="0" xfId="4" applyFont="1"/>
    <xf numFmtId="0" fontId="15" fillId="0" borderId="24" xfId="4" quotePrefix="1" applyFont="1" applyBorder="1" applyAlignment="1">
      <alignment horizontal="center" vertical="center"/>
    </xf>
    <xf numFmtId="2" fontId="16" fillId="0" borderId="6" xfId="4" applyNumberFormat="1" applyFont="1" applyBorder="1"/>
    <xf numFmtId="2" fontId="16" fillId="0" borderId="7" xfId="4" applyNumberFormat="1" applyFont="1" applyBorder="1"/>
    <xf numFmtId="2" fontId="16" fillId="0" borderId="8" xfId="4" applyNumberFormat="1" applyFont="1" applyBorder="1"/>
    <xf numFmtId="0" fontId="15" fillId="0" borderId="24" xfId="4" applyFont="1" applyBorder="1" applyAlignment="1">
      <alignment horizontal="center" vertical="center"/>
    </xf>
    <xf numFmtId="2" fontId="16" fillId="0" borderId="30" xfId="4" applyNumberFormat="1" applyFont="1" applyBorder="1"/>
    <xf numFmtId="2" fontId="16" fillId="0" borderId="31" xfId="4" applyNumberFormat="1" applyFont="1" applyBorder="1"/>
    <xf numFmtId="0" fontId="4" fillId="0" borderId="33" xfId="0" applyFont="1" applyBorder="1" applyAlignment="1">
      <alignment horizontal="center" vertical="center"/>
    </xf>
    <xf numFmtId="0" fontId="15" fillId="0" borderId="27" xfId="4" applyFont="1" applyBorder="1" applyAlignment="1">
      <alignment vertical="top"/>
    </xf>
    <xf numFmtId="0" fontId="15" fillId="0" borderId="26" xfId="4" applyFont="1" applyBorder="1"/>
    <xf numFmtId="0" fontId="15" fillId="0" borderId="29" xfId="4" applyFont="1" applyBorder="1" applyAlignment="1">
      <alignment horizontal="center" vertical="top"/>
    </xf>
    <xf numFmtId="0" fontId="15" fillId="0" borderId="3" xfId="4" applyFont="1" applyBorder="1" applyAlignment="1">
      <alignment horizontal="left" vertical="top"/>
    </xf>
    <xf numFmtId="0" fontId="17" fillId="0" borderId="0" xfId="0" applyFont="1" applyAlignment="1">
      <alignment horizontal="left"/>
    </xf>
    <xf numFmtId="0" fontId="1" fillId="0" borderId="0" xfId="0" applyFont="1"/>
    <xf numFmtId="0" fontId="18" fillId="0" borderId="0" xfId="0" applyFont="1"/>
    <xf numFmtId="2" fontId="6" fillId="0" borderId="0" xfId="4" applyNumberFormat="1" applyFont="1"/>
    <xf numFmtId="0" fontId="6" fillId="0" borderId="0" xfId="4" applyFont="1" applyAlignment="1">
      <alignment horizontal="center"/>
    </xf>
    <xf numFmtId="0" fontId="15" fillId="0" borderId="44" xfId="4" applyFont="1" applyBorder="1" applyProtection="1">
      <protection locked="0"/>
    </xf>
    <xf numFmtId="0" fontId="15" fillId="0" borderId="45" xfId="4" applyFont="1" applyBorder="1" applyProtection="1">
      <protection locked="0"/>
    </xf>
    <xf numFmtId="0" fontId="6" fillId="0" borderId="54" xfId="4" applyFont="1" applyBorder="1"/>
    <xf numFmtId="0" fontId="6" fillId="0" borderId="55" xfId="4" applyFont="1" applyBorder="1"/>
    <xf numFmtId="0" fontId="6" fillId="0" borderId="26" xfId="4" applyFont="1" applyBorder="1"/>
    <xf numFmtId="0" fontId="14" fillId="0" borderId="56" xfId="4" applyFont="1" applyBorder="1" applyAlignment="1">
      <alignment horizontal="center" vertical="center"/>
    </xf>
    <xf numFmtId="0" fontId="14" fillId="0" borderId="57" xfId="4" applyFont="1" applyBorder="1" applyAlignment="1">
      <alignment horizontal="center" vertical="center"/>
    </xf>
    <xf numFmtId="0" fontId="14" fillId="0" borderId="56" xfId="4" applyFont="1" applyBorder="1" applyAlignment="1">
      <alignment horizontal="left" vertical="center"/>
    </xf>
    <xf numFmtId="0" fontId="15" fillId="0" borderId="0" xfId="4" applyFont="1" applyAlignment="1">
      <alignment vertical="center" wrapText="1"/>
    </xf>
    <xf numFmtId="0" fontId="15" fillId="0" borderId="2" xfId="4" applyFont="1" applyBorder="1" applyAlignment="1">
      <alignment vertical="center"/>
    </xf>
    <xf numFmtId="0" fontId="15" fillId="0" borderId="58" xfId="4" applyFont="1" applyBorder="1" applyAlignment="1">
      <alignment vertical="center"/>
    </xf>
    <xf numFmtId="0" fontId="15" fillId="0" borderId="3" xfId="4" applyFont="1" applyBorder="1" applyAlignment="1">
      <alignment horizontal="center" vertical="center"/>
    </xf>
    <xf numFmtId="0" fontId="15" fillId="0" borderId="3" xfId="4" applyFont="1" applyBorder="1" applyAlignment="1">
      <alignment vertical="center"/>
    </xf>
    <xf numFmtId="0" fontId="15" fillId="0" borderId="3" xfId="4" applyFont="1" applyBorder="1" applyAlignment="1">
      <alignment vertical="center" wrapText="1"/>
    </xf>
    <xf numFmtId="0" fontId="15" fillId="0" borderId="4" xfId="4" applyFont="1" applyBorder="1" applyAlignment="1">
      <alignment vertical="center"/>
    </xf>
    <xf numFmtId="0" fontId="15" fillId="0" borderId="59" xfId="0" applyFont="1" applyBorder="1" applyAlignment="1">
      <alignment vertical="center"/>
    </xf>
    <xf numFmtId="2" fontId="15" fillId="0" borderId="11" xfId="4" applyNumberFormat="1" applyFont="1" applyBorder="1" applyAlignment="1">
      <alignment vertical="center"/>
    </xf>
    <xf numFmtId="0" fontId="15" fillId="4" borderId="60" xfId="4" applyFont="1" applyFill="1" applyBorder="1" applyAlignment="1">
      <alignment vertical="center"/>
    </xf>
    <xf numFmtId="2" fontId="15" fillId="4" borderId="61" xfId="4" applyNumberFormat="1" applyFont="1" applyFill="1" applyBorder="1" applyAlignment="1">
      <alignment vertical="center"/>
    </xf>
    <xf numFmtId="2" fontId="15" fillId="0" borderId="26" xfId="4" applyNumberFormat="1" applyFont="1" applyBorder="1" applyAlignment="1">
      <alignment horizontal="right" vertical="center"/>
    </xf>
    <xf numFmtId="0" fontId="18" fillId="0" borderId="49" xfId="0" applyFont="1" applyBorder="1" applyAlignment="1">
      <alignment horizontal="centerContinuous" vertical="center"/>
    </xf>
    <xf numFmtId="0" fontId="18" fillId="0" borderId="27" xfId="0" applyFont="1" applyBorder="1" applyAlignment="1">
      <alignment horizontal="centerContinuous" vertical="center"/>
    </xf>
    <xf numFmtId="0" fontId="18" fillId="0" borderId="27" xfId="0" applyFont="1" applyBorder="1" applyAlignment="1">
      <alignment horizontal="centerContinuous"/>
    </xf>
    <xf numFmtId="0" fontId="18" fillId="0" borderId="27" xfId="4" applyFont="1" applyBorder="1" applyAlignment="1">
      <alignment horizontal="centerContinuous"/>
    </xf>
    <xf numFmtId="0" fontId="20" fillId="0" borderId="26" xfId="0" applyFont="1" applyBorder="1" applyAlignment="1">
      <alignment horizontal="centerContinuous" vertical="center"/>
    </xf>
    <xf numFmtId="0" fontId="20" fillId="0" borderId="0" xfId="0" applyFont="1" applyAlignment="1">
      <alignment horizontal="centerContinuous" vertical="center"/>
    </xf>
    <xf numFmtId="0" fontId="21" fillId="0" borderId="0" xfId="0" applyFont="1" applyAlignment="1">
      <alignment horizontal="centerContinuous" vertical="center"/>
    </xf>
    <xf numFmtId="0" fontId="21" fillId="0" borderId="0" xfId="0" applyFont="1" applyAlignment="1">
      <alignment horizontal="centerContinuous"/>
    </xf>
    <xf numFmtId="0" fontId="21" fillId="0" borderId="0" xfId="4" applyFont="1" applyAlignment="1">
      <alignment horizontal="centerContinuous"/>
    </xf>
    <xf numFmtId="0" fontId="22" fillId="0" borderId="9" xfId="0" applyFont="1" applyBorder="1" applyAlignment="1">
      <alignment vertical="center"/>
    </xf>
    <xf numFmtId="0" fontId="22" fillId="0" borderId="10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2" fillId="0" borderId="4" xfId="0" applyFont="1" applyBorder="1" applyAlignment="1">
      <alignment vertical="center"/>
    </xf>
    <xf numFmtId="0" fontId="15" fillId="0" borderId="26" xfId="4" applyFont="1" applyBorder="1" applyAlignment="1">
      <alignment vertical="center"/>
    </xf>
    <xf numFmtId="0" fontId="15" fillId="0" borderId="63" xfId="4" applyFont="1" applyBorder="1" applyAlignment="1">
      <alignment horizontal="center" vertical="center"/>
    </xf>
    <xf numFmtId="2" fontId="16" fillId="0" borderId="64" xfId="4" applyNumberFormat="1" applyFont="1" applyBorder="1" applyProtection="1">
      <protection locked="0"/>
    </xf>
    <xf numFmtId="2" fontId="16" fillId="0" borderId="65" xfId="4" applyNumberFormat="1" applyFont="1" applyBorder="1" applyProtection="1">
      <protection locked="0"/>
    </xf>
    <xf numFmtId="2" fontId="16" fillId="0" borderId="66" xfId="4" applyNumberFormat="1" applyFont="1" applyBorder="1" applyProtection="1">
      <protection locked="0"/>
    </xf>
    <xf numFmtId="2" fontId="15" fillId="0" borderId="11" xfId="4" applyNumberFormat="1" applyFont="1" applyBorder="1" applyAlignment="1">
      <alignment horizontal="center" vertical="center"/>
    </xf>
    <xf numFmtId="0" fontId="15" fillId="0" borderId="59" xfId="0" applyFont="1" applyBorder="1" applyAlignment="1">
      <alignment horizontal="left" vertical="center"/>
    </xf>
    <xf numFmtId="2" fontId="15" fillId="0" borderId="18" xfId="4" applyNumberFormat="1" applyFont="1" applyBorder="1" applyAlignment="1">
      <alignment horizontal="center" vertical="center"/>
    </xf>
    <xf numFmtId="0" fontId="15" fillId="0" borderId="17" xfId="0" applyFont="1" applyBorder="1" applyAlignment="1">
      <alignment horizontal="left" vertical="center"/>
    </xf>
    <xf numFmtId="2" fontId="15" fillId="0" borderId="14" xfId="4" applyNumberFormat="1" applyFont="1" applyBorder="1" applyAlignment="1">
      <alignment horizontal="center"/>
    </xf>
    <xf numFmtId="0" fontId="15" fillId="0" borderId="13" xfId="0" applyFont="1" applyBorder="1" applyAlignment="1">
      <alignment horizontal="left" vertical="center"/>
    </xf>
    <xf numFmtId="0" fontId="23" fillId="0" borderId="53" xfId="4" quotePrefix="1" applyFont="1" applyBorder="1" applyAlignment="1">
      <alignment horizontal="left"/>
    </xf>
    <xf numFmtId="0" fontId="15" fillId="4" borderId="23" xfId="0" applyFont="1" applyFill="1" applyBorder="1" applyAlignment="1">
      <alignment horizontal="left" vertical="center"/>
    </xf>
    <xf numFmtId="2" fontId="15" fillId="4" borderId="10" xfId="4" applyNumberFormat="1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2" fontId="15" fillId="0" borderId="0" xfId="4" applyNumberFormat="1" applyFont="1"/>
    <xf numFmtId="0" fontId="15" fillId="4" borderId="24" xfId="0" applyFont="1" applyFill="1" applyBorder="1" applyAlignment="1">
      <alignment horizontal="left" vertical="center"/>
    </xf>
    <xf numFmtId="2" fontId="24" fillId="4" borderId="69" xfId="4" applyNumberFormat="1" applyFont="1" applyFill="1" applyBorder="1" applyAlignment="1">
      <alignment horizontal="center" vertical="center"/>
    </xf>
    <xf numFmtId="0" fontId="15" fillId="4" borderId="47" xfId="0" applyFont="1" applyFill="1" applyBorder="1" applyAlignment="1">
      <alignment horizontal="left" vertical="center"/>
    </xf>
    <xf numFmtId="2" fontId="15" fillId="4" borderId="62" xfId="4" applyNumberFormat="1" applyFont="1" applyFill="1" applyBorder="1" applyAlignment="1">
      <alignment horizontal="center" vertical="center"/>
    </xf>
    <xf numFmtId="0" fontId="15" fillId="0" borderId="3" xfId="0" applyFont="1" applyBorder="1" applyAlignment="1">
      <alignment vertical="center"/>
    </xf>
    <xf numFmtId="1" fontId="15" fillId="0" borderId="1" xfId="4" applyNumberFormat="1" applyFont="1" applyBorder="1" applyAlignment="1" applyProtection="1">
      <alignment horizontal="center"/>
      <protection locked="0"/>
    </xf>
    <xf numFmtId="0" fontId="16" fillId="0" borderId="31" xfId="4" applyFont="1" applyBorder="1"/>
    <xf numFmtId="0" fontId="16" fillId="0" borderId="32" xfId="4" applyFont="1" applyBorder="1"/>
    <xf numFmtId="0" fontId="16" fillId="0" borderId="34" xfId="4" applyFont="1" applyBorder="1" applyProtection="1">
      <protection locked="0"/>
    </xf>
    <xf numFmtId="0" fontId="16" fillId="0" borderId="35" xfId="4" applyFont="1" applyBorder="1" applyProtection="1">
      <protection locked="0"/>
    </xf>
    <xf numFmtId="0" fontId="16" fillId="0" borderId="36" xfId="4" applyFont="1" applyBorder="1" applyProtection="1">
      <protection locked="0"/>
    </xf>
    <xf numFmtId="0" fontId="16" fillId="0" borderId="38" xfId="4" applyFont="1" applyBorder="1" applyProtection="1">
      <protection locked="0"/>
    </xf>
    <xf numFmtId="0" fontId="16" fillId="0" borderId="39" xfId="4" applyFont="1" applyBorder="1" applyProtection="1">
      <protection locked="0"/>
    </xf>
    <xf numFmtId="0" fontId="16" fillId="0" borderId="40" xfId="4" applyFont="1" applyBorder="1" applyProtection="1">
      <protection locked="0"/>
    </xf>
    <xf numFmtId="14" fontId="15" fillId="0" borderId="0" xfId="4" applyNumberFormat="1" applyFont="1" applyProtection="1">
      <protection locked="0"/>
    </xf>
    <xf numFmtId="0" fontId="6" fillId="0" borderId="49" xfId="4" applyFont="1" applyBorder="1"/>
    <xf numFmtId="0" fontId="6" fillId="0" borderId="28" xfId="4" applyFont="1" applyBorder="1"/>
    <xf numFmtId="2" fontId="6" fillId="0" borderId="26" xfId="4" applyNumberFormat="1" applyFont="1" applyBorder="1"/>
    <xf numFmtId="0" fontId="6" fillId="0" borderId="2" xfId="4" applyFont="1" applyBorder="1"/>
    <xf numFmtId="2" fontId="6" fillId="0" borderId="2" xfId="4" applyNumberFormat="1" applyFont="1" applyBorder="1"/>
    <xf numFmtId="0" fontId="6" fillId="0" borderId="29" xfId="4" applyFont="1" applyBorder="1"/>
    <xf numFmtId="2" fontId="6" fillId="0" borderId="4" xfId="4" applyNumberFormat="1" applyFont="1" applyBorder="1"/>
    <xf numFmtId="0" fontId="25" fillId="0" borderId="0" xfId="0" applyFont="1"/>
    <xf numFmtId="0" fontId="0" fillId="5" borderId="0" xfId="0" applyFill="1" applyProtection="1">
      <protection locked="0"/>
    </xf>
    <xf numFmtId="0" fontId="4" fillId="0" borderId="0" xfId="0" applyFont="1"/>
    <xf numFmtId="0" fontId="9" fillId="0" borderId="0" xfId="0" applyFont="1"/>
    <xf numFmtId="0" fontId="4" fillId="5" borderId="0" xfId="0" applyFont="1" applyFill="1" applyProtection="1">
      <protection locked="0"/>
    </xf>
    <xf numFmtId="0" fontId="4" fillId="0" borderId="37" xfId="0" applyFont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49" fontId="15" fillId="0" borderId="26" xfId="4" applyNumberFormat="1" applyFont="1" applyBorder="1" applyAlignment="1">
      <alignment horizontal="right" vertical="center"/>
    </xf>
    <xf numFmtId="0" fontId="9" fillId="0" borderId="49" xfId="4" applyFont="1" applyBorder="1" applyAlignment="1">
      <alignment horizontal="center" vertical="center"/>
    </xf>
    <xf numFmtId="0" fontId="9" fillId="0" borderId="27" xfId="4" applyFont="1" applyBorder="1" applyAlignment="1">
      <alignment horizontal="center" vertical="center"/>
    </xf>
    <xf numFmtId="0" fontId="9" fillId="0" borderId="29" xfId="4" applyFont="1" applyBorder="1" applyAlignment="1">
      <alignment horizontal="center" vertical="center"/>
    </xf>
    <xf numFmtId="0" fontId="9" fillId="0" borderId="3" xfId="4" applyFont="1" applyBorder="1" applyAlignment="1">
      <alignment horizontal="center" vertical="center"/>
    </xf>
    <xf numFmtId="0" fontId="10" fillId="0" borderId="27" xfId="4" applyFont="1" applyBorder="1" applyAlignment="1">
      <alignment horizontal="center" vertical="center"/>
    </xf>
    <xf numFmtId="0" fontId="10" fillId="0" borderId="28" xfId="4" applyFont="1" applyBorder="1" applyAlignment="1">
      <alignment horizontal="center" vertical="center"/>
    </xf>
    <xf numFmtId="0" fontId="10" fillId="0" borderId="3" xfId="4" applyFont="1" applyBorder="1" applyAlignment="1">
      <alignment horizontal="center" vertical="center"/>
    </xf>
    <xf numFmtId="0" fontId="10" fillId="0" borderId="4" xfId="4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2" fontId="12" fillId="0" borderId="23" xfId="0" applyNumberFormat="1" applyFont="1" applyBorder="1" applyAlignment="1">
      <alignment horizontal="center" vertical="center"/>
    </xf>
    <xf numFmtId="2" fontId="12" fillId="0" borderId="9" xfId="0" applyNumberFormat="1" applyFont="1" applyBorder="1" applyAlignment="1">
      <alignment horizontal="center" vertical="center"/>
    </xf>
    <xf numFmtId="2" fontId="12" fillId="0" borderId="46" xfId="0" applyNumberFormat="1" applyFont="1" applyBorder="1" applyAlignment="1">
      <alignment horizontal="center" vertical="center"/>
    </xf>
    <xf numFmtId="0" fontId="12" fillId="0" borderId="47" xfId="4" applyFont="1" applyBorder="1" applyAlignment="1">
      <alignment horizontal="center"/>
    </xf>
    <xf numFmtId="0" fontId="12" fillId="0" borderId="11" xfId="4" applyFont="1" applyBorder="1" applyAlignment="1">
      <alignment horizontal="center"/>
    </xf>
    <xf numFmtId="0" fontId="12" fillId="0" borderId="48" xfId="4" applyFont="1" applyBorder="1" applyAlignment="1">
      <alignment horizontal="center"/>
    </xf>
    <xf numFmtId="0" fontId="19" fillId="0" borderId="0" xfId="0" applyFont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19" fillId="0" borderId="4" xfId="0" applyFont="1" applyBorder="1" applyAlignment="1">
      <alignment horizontal="left" vertical="center"/>
    </xf>
    <xf numFmtId="2" fontId="15" fillId="0" borderId="26" xfId="4" applyNumberFormat="1" applyFont="1" applyBorder="1" applyAlignment="1">
      <alignment horizontal="right" vertical="center"/>
    </xf>
    <xf numFmtId="0" fontId="19" fillId="0" borderId="26" xfId="0" applyFont="1" applyBorder="1" applyAlignment="1">
      <alignment horizontal="left" vertical="center"/>
    </xf>
    <xf numFmtId="0" fontId="19" fillId="0" borderId="29" xfId="0" applyFont="1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52" xfId="0" applyBorder="1" applyAlignment="1">
      <alignment horizontal="left" vertical="center"/>
    </xf>
    <xf numFmtId="2" fontId="15" fillId="0" borderId="49" xfId="4" applyNumberFormat="1" applyFont="1" applyBorder="1" applyAlignment="1">
      <alignment horizontal="right" vertical="center"/>
    </xf>
    <xf numFmtId="0" fontId="15" fillId="0" borderId="49" xfId="4" applyFont="1" applyBorder="1" applyAlignment="1">
      <alignment horizontal="center" vertical="top"/>
    </xf>
    <xf numFmtId="0" fontId="15" fillId="0" borderId="27" xfId="4" applyFont="1" applyBorder="1" applyAlignment="1">
      <alignment horizontal="center" vertical="top"/>
    </xf>
    <xf numFmtId="0" fontId="15" fillId="0" borderId="28" xfId="4" applyFont="1" applyBorder="1" applyAlignment="1">
      <alignment horizontal="center" vertical="top"/>
    </xf>
    <xf numFmtId="0" fontId="15" fillId="0" borderId="26" xfId="4" applyFont="1" applyBorder="1" applyAlignment="1">
      <alignment horizontal="right" vertical="center"/>
    </xf>
    <xf numFmtId="0" fontId="15" fillId="0" borderId="0" xfId="4" applyFont="1" applyAlignment="1">
      <alignment horizontal="right" vertical="center"/>
    </xf>
    <xf numFmtId="0" fontId="17" fillId="0" borderId="12" xfId="0" applyFont="1" applyBorder="1" applyAlignment="1">
      <alignment horizontal="left" vertical="center"/>
    </xf>
    <xf numFmtId="0" fontId="17" fillId="0" borderId="41" xfId="0" applyFont="1" applyBorder="1" applyAlignment="1">
      <alignment horizontal="left" vertical="center"/>
    </xf>
    <xf numFmtId="0" fontId="17" fillId="0" borderId="50" xfId="0" applyFont="1" applyBorder="1" applyAlignment="1">
      <alignment horizontal="left" vertical="center"/>
    </xf>
    <xf numFmtId="0" fontId="17" fillId="0" borderId="22" xfId="0" applyFont="1" applyBorder="1" applyAlignment="1">
      <alignment horizontal="left" vertical="center"/>
    </xf>
    <xf numFmtId="0" fontId="17" fillId="0" borderId="67" xfId="0" applyFont="1" applyBorder="1" applyAlignment="1">
      <alignment horizontal="left" vertical="center"/>
    </xf>
    <xf numFmtId="0" fontId="17" fillId="0" borderId="68" xfId="0" applyFont="1" applyBorder="1" applyAlignment="1">
      <alignment horizontal="left" vertical="center"/>
    </xf>
    <xf numFmtId="0" fontId="17" fillId="0" borderId="42" xfId="0" applyFont="1" applyBorder="1" applyAlignment="1">
      <alignment horizontal="left" vertical="center"/>
    </xf>
    <xf numFmtId="0" fontId="17" fillId="0" borderId="43" xfId="0" applyFont="1" applyBorder="1" applyAlignment="1">
      <alignment horizontal="left" vertical="center"/>
    </xf>
    <xf numFmtId="0" fontId="1" fillId="0" borderId="0" xfId="0" applyFont="1" applyAlignment="1">
      <alignment horizontal="right"/>
    </xf>
  </cellXfs>
  <cellStyles count="11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_FA" xfId="4" xr:uid="{00000000-0005-0000-0000-000004000000}"/>
    <cellStyle name="Percent [2]" xfId="5" xr:uid="{00000000-0005-0000-0000-000005000000}"/>
    <cellStyle name="桁区切り [0.00]_laroux" xfId="6" xr:uid="{00000000-0005-0000-0000-000006000000}"/>
    <cellStyle name="桁区切り_laroux" xfId="7" xr:uid="{00000000-0005-0000-0000-000007000000}"/>
    <cellStyle name="標準_22生産1" xfId="8" xr:uid="{00000000-0005-0000-0000-000008000000}"/>
    <cellStyle name="通貨 [0.00]_９７上" xfId="9" xr:uid="{00000000-0005-0000-0000-000009000000}"/>
    <cellStyle name="通貨_９７上" xfId="10" xr:uid="{00000000-0005-0000-0000-00000A000000}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5C5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'P1 - Esp. Lado'!$B$53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'P1 - Esp. Lado'!$C$9:$AG$9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'P1 - Esp. Lado'!$C$53:$AG$53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B1-479C-8AC4-0BEE8EE54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874968"/>
        <c:axId val="473875352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'P1 - Esp. Lado'!$E$4</c:f>
              <c:numCache>
                <c:formatCode>0.00</c:formatCode>
                <c:ptCount val="1"/>
                <c:pt idx="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B1-479C-8AC4-0BEE8EE54CC3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'P1 - Esp. Lado'!$G$4</c:f>
              <c:numCache>
                <c:formatCode>0.00</c:formatCode>
                <c:ptCount val="1"/>
                <c:pt idx="0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B1-479C-8AC4-0BEE8EE54CC3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'P1 - Esp. Lado'!$G$5</c:f>
              <c:numCache>
                <c:formatCode>0.00</c:formatCode>
                <c:ptCount val="1"/>
                <c:pt idx="0">
                  <c:v>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B1-479C-8AC4-0BEE8EE54CC3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'P1 - Esp. Lado'!$G$6</c:f>
              <c:numCache>
                <c:formatCode>0.00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B1-479C-8AC4-0BEE8EE54CC3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'P1 - Esp. Lado'!$E$6</c:f>
              <c:numCache>
                <c:formatCode>0.00</c:formatCode>
                <c:ptCount val="1"/>
                <c:pt idx="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9B1-479C-8AC4-0BEE8EE54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876120"/>
        <c:axId val="473875736"/>
      </c:scatterChart>
      <c:catAx>
        <c:axId val="4738749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73875352"/>
        <c:crosses val="autoZero"/>
        <c:auto val="1"/>
        <c:lblAlgn val="ctr"/>
        <c:lblOffset val="100"/>
        <c:tickMarkSkip val="1"/>
        <c:noMultiLvlLbl val="0"/>
      </c:catAx>
      <c:valAx>
        <c:axId val="473875352"/>
        <c:scaling>
          <c:orientation val="minMax"/>
          <c:max val="0.26"/>
          <c:min val="0.1800000000000000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3874968"/>
        <c:crosses val="autoZero"/>
        <c:crossBetween val="between"/>
        <c:majorUnit val="1.0000000000000002E-2"/>
        <c:minorUnit val="5.000000000000001E-3"/>
      </c:valAx>
      <c:valAx>
        <c:axId val="47387573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3876120"/>
        <c:crosses val="max"/>
        <c:crossBetween val="midCat"/>
      </c:valAx>
      <c:valAx>
        <c:axId val="47387612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387573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'P1 - Esp. Lado'!$C$54:$AG$54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4-414B-81E9-6D4028D30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407024"/>
        <c:axId val="176405064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'P1 - Esp. Lado'!$G$7</c:f>
              <c:numCache>
                <c:formatCode>0.00</c:formatCode>
                <c:ptCount val="1"/>
                <c:pt idx="0">
                  <c:v>0.04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74-414B-81E9-6D4028D30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05456"/>
        <c:axId val="176403496"/>
      </c:scatterChart>
      <c:catAx>
        <c:axId val="17640702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176405064"/>
        <c:crosses val="autoZero"/>
        <c:auto val="1"/>
        <c:lblAlgn val="ctr"/>
        <c:lblOffset val="100"/>
        <c:noMultiLvlLbl val="0"/>
      </c:catAx>
      <c:valAx>
        <c:axId val="176405064"/>
        <c:scaling>
          <c:orientation val="minMax"/>
          <c:max val="8.0000000000000016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76407024"/>
        <c:crosses val="autoZero"/>
        <c:crossBetween val="between"/>
        <c:majorUnit val="2.0000000000000004E-2"/>
        <c:minorUnit val="1.0000000000000002E-2"/>
      </c:valAx>
      <c:valAx>
        <c:axId val="17640349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176405456"/>
        <c:crosses val="max"/>
        <c:crossBetween val="midCat"/>
      </c:valAx>
      <c:valAx>
        <c:axId val="176405456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17640349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'P1 - Esp. Fundo'!$B$53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'P1 - Esp. Fundo'!$C$9:$AG$9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'P1 - Esp. Fundo'!$C$53:$AG$53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48-4F3B-A69B-9D72AD054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293512"/>
        <c:axId val="474292728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'P1 - Esp. Fundo'!$E$4</c:f>
              <c:numCache>
                <c:formatCode>0.00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8-4F3B-A69B-9D72AD054818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'P1 - Esp. Fundo'!$G$4</c:f>
              <c:numCache>
                <c:formatCode>0.00</c:formatCode>
                <c:ptCount val="1"/>
                <c:pt idx="0">
                  <c:v>0.48000000000000004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48-4F3B-A69B-9D72AD054818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'P1 - Esp. Fundo'!$G$5</c:f>
              <c:numCache>
                <c:formatCode>0.00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48-4F3B-A69B-9D72AD054818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'P1 - Esp. Fundo'!$G$6</c:f>
              <c:numCache>
                <c:formatCode>0.00</c:formatCode>
                <c:ptCount val="1"/>
                <c:pt idx="0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448-4F3B-A69B-9D72AD054818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'P1 - Esp. Fundo'!$E$6</c:f>
              <c:numCache>
                <c:formatCode>0.00</c:formatCode>
                <c:ptCount val="1"/>
                <c:pt idx="0">
                  <c:v>0.30000000000000004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448-4F3B-A69B-9D72AD054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290768"/>
        <c:axId val="474289984"/>
      </c:scatterChart>
      <c:catAx>
        <c:axId val="4742935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74292728"/>
        <c:crosses val="autoZero"/>
        <c:auto val="1"/>
        <c:lblAlgn val="ctr"/>
        <c:lblOffset val="100"/>
        <c:tickMarkSkip val="1"/>
        <c:noMultiLvlLbl val="0"/>
      </c:catAx>
      <c:valAx>
        <c:axId val="474292728"/>
        <c:scaling>
          <c:orientation val="minMax"/>
          <c:max val="0.55000000000000004"/>
          <c:min val="0.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4293512"/>
        <c:crosses val="autoZero"/>
        <c:crossBetween val="between"/>
        <c:majorUnit val="5.000000000000001E-2"/>
        <c:minorUnit val="1.0000000000000002E-2"/>
      </c:valAx>
      <c:valAx>
        <c:axId val="47428998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4290768"/>
        <c:crosses val="max"/>
        <c:crossBetween val="midCat"/>
      </c:valAx>
      <c:valAx>
        <c:axId val="474290768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428998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'P1 - Esp. Fundo'!$C$54:$AG$54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B-4D70-9817-AA83E6A58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290376"/>
        <c:axId val="474294688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'P1 - Esp. Fundo'!$G$7</c:f>
              <c:numCache>
                <c:formatCode>0.00</c:formatCode>
                <c:ptCount val="1"/>
                <c:pt idx="0">
                  <c:v>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BB-4D70-9817-AA83E6A58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292336"/>
        <c:axId val="474293120"/>
      </c:scatterChart>
      <c:catAx>
        <c:axId val="47429037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74294688"/>
        <c:crosses val="autoZero"/>
        <c:auto val="1"/>
        <c:lblAlgn val="ctr"/>
        <c:lblOffset val="100"/>
        <c:noMultiLvlLbl val="0"/>
      </c:catAx>
      <c:valAx>
        <c:axId val="474294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4290376"/>
        <c:crosses val="autoZero"/>
        <c:crossBetween val="between"/>
        <c:majorUnit val="0.2"/>
        <c:minorUnit val="0.05"/>
      </c:valAx>
      <c:valAx>
        <c:axId val="47429312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4292336"/>
        <c:crosses val="max"/>
        <c:crossBetween val="midCat"/>
      </c:valAx>
      <c:valAx>
        <c:axId val="474292336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429312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'P2 - Esp. Lado'!$B$53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'P2 - Esp. Lado'!$C$9:$AG$9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'P2 - Esp. Lado'!$C$53:$AG$53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3D-4FAC-8090-6C47C0C58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296256"/>
        <c:axId val="474289200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'P2 - Esp. Lado'!$E$4</c:f>
              <c:numCache>
                <c:formatCode>0.00</c:formatCode>
                <c:ptCount val="1"/>
                <c:pt idx="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3D-4FAC-8090-6C47C0C588FC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'P2 - Esp. Lado'!$G$4</c:f>
              <c:numCache>
                <c:formatCode>0.00</c:formatCode>
                <c:ptCount val="1"/>
                <c:pt idx="0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3D-4FAC-8090-6C47C0C588FC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'P2 - Esp. Lado'!$G$5</c:f>
              <c:numCache>
                <c:formatCode>0.00</c:formatCode>
                <c:ptCount val="1"/>
                <c:pt idx="0">
                  <c:v>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3D-4FAC-8090-6C47C0C588FC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'P2 - Esp. Lado'!$G$6</c:f>
              <c:numCache>
                <c:formatCode>0.00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C3D-4FAC-8090-6C47C0C588FC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'P2 - Esp. Lado'!$E$6</c:f>
              <c:numCache>
                <c:formatCode>0.00</c:formatCode>
                <c:ptCount val="1"/>
                <c:pt idx="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C3D-4FAC-8090-6C47C0C58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291552"/>
        <c:axId val="474289592"/>
      </c:scatterChart>
      <c:catAx>
        <c:axId val="4742962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74289200"/>
        <c:crosses val="autoZero"/>
        <c:auto val="1"/>
        <c:lblAlgn val="ctr"/>
        <c:lblOffset val="100"/>
        <c:tickMarkSkip val="1"/>
        <c:noMultiLvlLbl val="0"/>
      </c:catAx>
      <c:valAx>
        <c:axId val="474289200"/>
        <c:scaling>
          <c:orientation val="minMax"/>
          <c:max val="0.26"/>
          <c:min val="0.1800000000000000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4296256"/>
        <c:crosses val="autoZero"/>
        <c:crossBetween val="between"/>
        <c:majorUnit val="1.0000000000000002E-2"/>
        <c:minorUnit val="5.000000000000001E-3"/>
      </c:valAx>
      <c:valAx>
        <c:axId val="474289592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4291552"/>
        <c:crosses val="max"/>
        <c:crossBetween val="midCat"/>
      </c:valAx>
      <c:valAx>
        <c:axId val="474291552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428959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'P2 - Esp. Lado'!$C$54:$AG$54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88-4C7F-A88B-A048A1ED3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28136"/>
        <c:axId val="473728528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'P2 - Esp. Lado'!$G$7</c:f>
              <c:numCache>
                <c:formatCode>0.00</c:formatCode>
                <c:ptCount val="1"/>
                <c:pt idx="0">
                  <c:v>0.04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88-4C7F-A88B-A048A1ED3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25392"/>
        <c:axId val="473725784"/>
      </c:scatterChart>
      <c:catAx>
        <c:axId val="47372813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73728528"/>
        <c:crosses val="autoZero"/>
        <c:auto val="1"/>
        <c:lblAlgn val="ctr"/>
        <c:lblOffset val="100"/>
        <c:noMultiLvlLbl val="0"/>
      </c:catAx>
      <c:valAx>
        <c:axId val="473728528"/>
        <c:scaling>
          <c:orientation val="minMax"/>
          <c:max val="8.0000000000000016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3728136"/>
        <c:crosses val="autoZero"/>
        <c:crossBetween val="between"/>
        <c:majorUnit val="2.0000000000000004E-2"/>
        <c:minorUnit val="1.0000000000000002E-2"/>
      </c:valAx>
      <c:valAx>
        <c:axId val="47372578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3725392"/>
        <c:crosses val="max"/>
        <c:crossBetween val="midCat"/>
      </c:valAx>
      <c:valAx>
        <c:axId val="473725392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372578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'P2 - Esp. Fundo'!$B$53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'P2 - Esp. Fundo'!$C$9:$AG$9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'P2 - Esp. Fundo'!$C$53:$AG$53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A4-4E76-BC07-2B73D80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23432"/>
        <c:axId val="473729704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'P2 - Esp. Fundo'!$E$4</c:f>
              <c:numCache>
                <c:formatCode>0.00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A4-4E76-BC07-2B73D807C9AD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'P2 - Esp. Fundo'!$G$4</c:f>
              <c:numCache>
                <c:formatCode>0.00</c:formatCode>
                <c:ptCount val="1"/>
                <c:pt idx="0">
                  <c:v>0.48000000000000004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A4-4E76-BC07-2B73D807C9AD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'P2 - Esp. Fundo'!$G$5</c:f>
              <c:numCache>
                <c:formatCode>0.00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A4-4E76-BC07-2B73D807C9AD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'P2 - Esp. Fundo'!$G$6</c:f>
              <c:numCache>
                <c:formatCode>0.00</c:formatCode>
                <c:ptCount val="1"/>
                <c:pt idx="0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A4-4E76-BC07-2B73D807C9AD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'P2 - Esp. Fundo'!$E$6</c:f>
              <c:numCache>
                <c:formatCode>0.00</c:formatCode>
                <c:ptCount val="1"/>
                <c:pt idx="0">
                  <c:v>0.30000000000000004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A4-4E76-BC07-2B73D807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23824"/>
        <c:axId val="473726176"/>
      </c:scatterChart>
      <c:catAx>
        <c:axId val="4737234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73729704"/>
        <c:crosses val="autoZero"/>
        <c:auto val="1"/>
        <c:lblAlgn val="ctr"/>
        <c:lblOffset val="100"/>
        <c:tickMarkSkip val="1"/>
        <c:noMultiLvlLbl val="0"/>
      </c:catAx>
      <c:valAx>
        <c:axId val="473729704"/>
        <c:scaling>
          <c:orientation val="minMax"/>
          <c:max val="0.55000000000000004"/>
          <c:min val="0.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3723432"/>
        <c:crosses val="autoZero"/>
        <c:crossBetween val="between"/>
        <c:majorUnit val="5.000000000000001E-2"/>
        <c:minorUnit val="1.0000000000000002E-2"/>
      </c:valAx>
      <c:valAx>
        <c:axId val="47372617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3723824"/>
        <c:crosses val="max"/>
        <c:crossBetween val="midCat"/>
      </c:valAx>
      <c:valAx>
        <c:axId val="47372382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372617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'P2 - Esp. Fundo'!$C$54:$AG$54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1F-481E-8D5A-46D881CAF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27744"/>
        <c:axId val="473728920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'P2 - Esp. Fundo'!$G$7</c:f>
              <c:numCache>
                <c:formatCode>0.00</c:formatCode>
                <c:ptCount val="1"/>
                <c:pt idx="0">
                  <c:v>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1F-481E-8D5A-46D881CAF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30096"/>
        <c:axId val="473729312"/>
      </c:scatterChart>
      <c:catAx>
        <c:axId val="47372774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73728920"/>
        <c:crosses val="autoZero"/>
        <c:auto val="1"/>
        <c:lblAlgn val="ctr"/>
        <c:lblOffset val="100"/>
        <c:noMultiLvlLbl val="0"/>
      </c:catAx>
      <c:valAx>
        <c:axId val="473728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3727744"/>
        <c:crosses val="autoZero"/>
        <c:crossBetween val="between"/>
        <c:majorUnit val="0.2"/>
        <c:minorUnit val="0.05"/>
      </c:valAx>
      <c:valAx>
        <c:axId val="473729312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3730096"/>
        <c:crosses val="max"/>
        <c:crossBetween val="midCat"/>
      </c:valAx>
      <c:valAx>
        <c:axId val="473730096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372931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'P3 - Esp. Lado'!$B$53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'P3 - Esp. Lado'!$C$9:$AG$9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'P3 - Esp. Lado'!$C$53:$AG$53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70-4122-BD09-1A9722C8E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730488"/>
        <c:axId val="473724216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'P3 - Esp. Lado'!$E$4</c:f>
              <c:numCache>
                <c:formatCode>0.00</c:formatCode>
                <c:ptCount val="1"/>
                <c:pt idx="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70-4122-BD09-1A9722C8E855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'P3 - Esp. Lado'!$G$4</c:f>
              <c:numCache>
                <c:formatCode>0.00</c:formatCode>
                <c:ptCount val="1"/>
                <c:pt idx="0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70-4122-BD09-1A9722C8E855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'P3 - Esp. Lado'!$G$5</c:f>
              <c:numCache>
                <c:formatCode>0.00</c:formatCode>
                <c:ptCount val="1"/>
                <c:pt idx="0">
                  <c:v>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70-4122-BD09-1A9722C8E855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'P3 - Esp. Lado'!$G$6</c:f>
              <c:numCache>
                <c:formatCode>0.00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70-4122-BD09-1A9722C8E855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'P3 - Esp. Lado'!$E$6</c:f>
              <c:numCache>
                <c:formatCode>0.00</c:formatCode>
                <c:ptCount val="1"/>
                <c:pt idx="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70-4122-BD09-1A9722C8E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25000"/>
        <c:axId val="473724608"/>
      </c:scatterChart>
      <c:catAx>
        <c:axId val="4737304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73724216"/>
        <c:crosses val="autoZero"/>
        <c:auto val="1"/>
        <c:lblAlgn val="ctr"/>
        <c:lblOffset val="100"/>
        <c:tickMarkSkip val="1"/>
        <c:noMultiLvlLbl val="0"/>
      </c:catAx>
      <c:valAx>
        <c:axId val="473724216"/>
        <c:scaling>
          <c:orientation val="minMax"/>
          <c:max val="0.26"/>
          <c:min val="0.1800000000000000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3730488"/>
        <c:crosses val="autoZero"/>
        <c:crossBetween val="between"/>
        <c:majorUnit val="1.0000000000000002E-2"/>
        <c:minorUnit val="5.000000000000001E-3"/>
      </c:valAx>
      <c:valAx>
        <c:axId val="47372460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3725000"/>
        <c:crosses val="max"/>
        <c:crossBetween val="midCat"/>
      </c:valAx>
      <c:valAx>
        <c:axId val="47372500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372460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'P3 - Esp. Lado'!$C$54:$AG$54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3A-4DA3-99DF-DCCECEB3F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295472"/>
        <c:axId val="474296648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'P3 - Esp. Lado'!$G$7</c:f>
              <c:numCache>
                <c:formatCode>0.00</c:formatCode>
                <c:ptCount val="1"/>
                <c:pt idx="0">
                  <c:v>0.04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3A-4DA3-99DF-DCCECEB3F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726960"/>
        <c:axId val="474291160"/>
      </c:scatterChart>
      <c:catAx>
        <c:axId val="47429547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74296648"/>
        <c:crosses val="autoZero"/>
        <c:auto val="1"/>
        <c:lblAlgn val="ctr"/>
        <c:lblOffset val="100"/>
        <c:noMultiLvlLbl val="0"/>
      </c:catAx>
      <c:valAx>
        <c:axId val="474296648"/>
        <c:scaling>
          <c:orientation val="minMax"/>
          <c:max val="8.0000000000000016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4295472"/>
        <c:crosses val="autoZero"/>
        <c:crossBetween val="between"/>
        <c:majorUnit val="2.0000000000000004E-2"/>
        <c:minorUnit val="1.0000000000000002E-2"/>
      </c:valAx>
      <c:valAx>
        <c:axId val="47429116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3726960"/>
        <c:crosses val="max"/>
        <c:crossBetween val="midCat"/>
      </c:valAx>
      <c:valAx>
        <c:axId val="47372696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429116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'P3 - Esp. Fundo'!$B$53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'P3 - Esp. Fundo'!$C$9:$AG$9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'P3 - Esp. Fundo'!$C$53:$AG$53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ED-48E4-97ED-593AAB64E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62984"/>
        <c:axId val="475861808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'P3 - Esp. Fundo'!$E$4</c:f>
              <c:numCache>
                <c:formatCode>0.00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ED-48E4-97ED-593AAB64E576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'P3 - Esp. Fundo'!$G$4</c:f>
              <c:numCache>
                <c:formatCode>0.00</c:formatCode>
                <c:ptCount val="1"/>
                <c:pt idx="0">
                  <c:v>0.48000000000000004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ED-48E4-97ED-593AAB64E576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'P3 - Esp. Fundo'!$G$5</c:f>
              <c:numCache>
                <c:formatCode>0.00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ED-48E4-97ED-593AAB64E576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'P3 - Esp. Fundo'!$G$6</c:f>
              <c:numCache>
                <c:formatCode>0.00</c:formatCode>
                <c:ptCount val="1"/>
                <c:pt idx="0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ED-48E4-97ED-593AAB64E576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'P3 - Esp. Fundo'!$E$6</c:f>
              <c:numCache>
                <c:formatCode>0.00</c:formatCode>
                <c:ptCount val="1"/>
                <c:pt idx="0">
                  <c:v>0.30000000000000004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ED-48E4-97ED-593AAB64E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8080"/>
        <c:axId val="475867688"/>
      </c:scatterChart>
      <c:catAx>
        <c:axId val="4758629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75861808"/>
        <c:crosses val="autoZero"/>
        <c:auto val="1"/>
        <c:lblAlgn val="ctr"/>
        <c:lblOffset val="100"/>
        <c:tickMarkSkip val="1"/>
        <c:noMultiLvlLbl val="0"/>
      </c:catAx>
      <c:valAx>
        <c:axId val="475861808"/>
        <c:scaling>
          <c:orientation val="minMax"/>
          <c:max val="0.55000000000000004"/>
          <c:min val="0.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5862984"/>
        <c:crosses val="autoZero"/>
        <c:crossBetween val="between"/>
        <c:majorUnit val="5.000000000000001E-2"/>
        <c:minorUnit val="1.0000000000000002E-2"/>
      </c:valAx>
      <c:valAx>
        <c:axId val="47586768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5868080"/>
        <c:crosses val="max"/>
        <c:crossBetween val="midCat"/>
      </c:valAx>
      <c:valAx>
        <c:axId val="47586808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586768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'P3 - Esp. Fundo'!$C$54:$AG$54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51-443E-ADBF-4B0F145EE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65728"/>
        <c:axId val="475866120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'P3 - Esp. Fundo'!$G$7</c:f>
              <c:numCache>
                <c:formatCode>0.00</c:formatCode>
                <c:ptCount val="1"/>
                <c:pt idx="0">
                  <c:v>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51-443E-ADBF-4B0F145EE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4160"/>
        <c:axId val="475866512"/>
      </c:scatterChart>
      <c:catAx>
        <c:axId val="47586572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75866120"/>
        <c:crosses val="autoZero"/>
        <c:auto val="1"/>
        <c:lblAlgn val="ctr"/>
        <c:lblOffset val="100"/>
        <c:noMultiLvlLbl val="0"/>
      </c:catAx>
      <c:valAx>
        <c:axId val="47586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5865728"/>
        <c:crosses val="autoZero"/>
        <c:crossBetween val="between"/>
        <c:majorUnit val="0.2"/>
        <c:minorUnit val="0.05"/>
      </c:valAx>
      <c:valAx>
        <c:axId val="475866512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5864160"/>
        <c:crosses val="max"/>
        <c:crossBetween val="midCat"/>
      </c:valAx>
      <c:valAx>
        <c:axId val="47586416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586651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'P4 - Esp. Lado'!$B$53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'P4 - Esp. Lado'!$C$9:$AG$9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'P4 - Esp. Lado'!$C$53:$AG$53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1-4955-B9B7-0B06BBFAC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68472"/>
        <c:axId val="475864552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'P4 - Esp. Lado'!$E$4</c:f>
              <c:numCache>
                <c:formatCode>0.00</c:formatCode>
                <c:ptCount val="1"/>
                <c:pt idx="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A1-4955-B9B7-0B06BBFAC854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'P4 - Esp. Lado'!$G$4</c:f>
              <c:numCache>
                <c:formatCode>0.00</c:formatCode>
                <c:ptCount val="1"/>
                <c:pt idx="0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A1-4955-B9B7-0B06BBFAC854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'P4 - Esp. Lado'!$G$5</c:f>
              <c:numCache>
                <c:formatCode>0.00</c:formatCode>
                <c:ptCount val="1"/>
                <c:pt idx="0">
                  <c:v>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A1-4955-B9B7-0B06BBFAC854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'P4 - Esp. Lado'!$G$6</c:f>
              <c:numCache>
                <c:formatCode>0.00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A1-4955-B9B7-0B06BBFAC854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'P4 - Esp. Lado'!$E$6</c:f>
              <c:numCache>
                <c:formatCode>0.00</c:formatCode>
                <c:ptCount val="1"/>
                <c:pt idx="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A1-4955-B9B7-0B06BBFAC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3376"/>
        <c:axId val="475865336"/>
      </c:scatterChart>
      <c:catAx>
        <c:axId val="4758684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75864552"/>
        <c:crosses val="autoZero"/>
        <c:auto val="1"/>
        <c:lblAlgn val="ctr"/>
        <c:lblOffset val="100"/>
        <c:tickMarkSkip val="1"/>
        <c:noMultiLvlLbl val="0"/>
      </c:catAx>
      <c:valAx>
        <c:axId val="475864552"/>
        <c:scaling>
          <c:orientation val="minMax"/>
          <c:max val="0.26"/>
          <c:min val="0.1800000000000000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5868472"/>
        <c:crosses val="autoZero"/>
        <c:crossBetween val="between"/>
        <c:majorUnit val="1.0000000000000002E-2"/>
        <c:minorUnit val="5.000000000000001E-3"/>
      </c:valAx>
      <c:valAx>
        <c:axId val="47586533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5863376"/>
        <c:crosses val="max"/>
        <c:crossBetween val="midCat"/>
      </c:valAx>
      <c:valAx>
        <c:axId val="475863376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586533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'P4 - Esp. Lado'!$C$54:$AG$54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3F-4864-B695-BC8720536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861024"/>
        <c:axId val="475861416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'P4 - Esp. Lado'!$G$7</c:f>
              <c:numCache>
                <c:formatCode>0.00</c:formatCode>
                <c:ptCount val="1"/>
                <c:pt idx="0">
                  <c:v>0.04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3F-4864-B695-BC8720536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63768"/>
        <c:axId val="475862200"/>
      </c:scatterChart>
      <c:catAx>
        <c:axId val="47586102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75861416"/>
        <c:crosses val="autoZero"/>
        <c:auto val="1"/>
        <c:lblAlgn val="ctr"/>
        <c:lblOffset val="100"/>
        <c:noMultiLvlLbl val="0"/>
      </c:catAx>
      <c:valAx>
        <c:axId val="475861416"/>
        <c:scaling>
          <c:orientation val="minMax"/>
          <c:max val="8.0000000000000016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5861024"/>
        <c:crosses val="autoZero"/>
        <c:crossBetween val="between"/>
        <c:majorUnit val="2.0000000000000004E-2"/>
        <c:minorUnit val="1.0000000000000002E-2"/>
      </c:valAx>
      <c:valAx>
        <c:axId val="47586220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5863768"/>
        <c:crosses val="max"/>
        <c:crossBetween val="midCat"/>
      </c:valAx>
      <c:valAx>
        <c:axId val="475863768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586220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'P4 - Esp. Fundo'!$B$53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'P4 - Esp. Fundo'!$C$9:$AG$9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'P4 - Esp. Fundo'!$C$53:$AG$53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FE-4EFA-B302-166627108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019848"/>
        <c:axId val="475025336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'P4 - Esp. Fundo'!$E$4</c:f>
              <c:numCache>
                <c:formatCode>0.00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FE-4EFA-B302-1666271085F8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'P4 - Esp. Fundo'!$G$4</c:f>
              <c:numCache>
                <c:formatCode>0.00</c:formatCode>
                <c:ptCount val="1"/>
                <c:pt idx="0">
                  <c:v>0.48000000000000004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FE-4EFA-B302-1666271085F8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'P4 - Esp. Fundo'!$G$5</c:f>
              <c:numCache>
                <c:formatCode>0.00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FE-4EFA-B302-1666271085F8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'P4 - Esp. Fundo'!$G$6</c:f>
              <c:numCache>
                <c:formatCode>0.00</c:formatCode>
                <c:ptCount val="1"/>
                <c:pt idx="0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FE-4EFA-B302-1666271085F8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'P4 - Esp. Fundo'!$E$6</c:f>
              <c:numCache>
                <c:formatCode>0.00</c:formatCode>
                <c:ptCount val="1"/>
                <c:pt idx="0">
                  <c:v>0.30000000000000004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FE-4EFA-B302-166627108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18280"/>
        <c:axId val="475021808"/>
      </c:scatterChart>
      <c:catAx>
        <c:axId val="475019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75025336"/>
        <c:crosses val="autoZero"/>
        <c:auto val="1"/>
        <c:lblAlgn val="ctr"/>
        <c:lblOffset val="100"/>
        <c:tickMarkSkip val="1"/>
        <c:noMultiLvlLbl val="0"/>
      </c:catAx>
      <c:valAx>
        <c:axId val="475025336"/>
        <c:scaling>
          <c:orientation val="minMax"/>
          <c:max val="0.55000000000000004"/>
          <c:min val="0.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5019848"/>
        <c:crosses val="autoZero"/>
        <c:crossBetween val="between"/>
        <c:majorUnit val="5.000000000000001E-2"/>
        <c:minorUnit val="1.0000000000000002E-2"/>
      </c:valAx>
      <c:valAx>
        <c:axId val="47502180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5018280"/>
        <c:crosses val="max"/>
        <c:crossBetween val="midCat"/>
      </c:valAx>
      <c:valAx>
        <c:axId val="47501828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502180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'P4 - Esp. Fundo'!$C$54:$AG$54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3B-49DC-9DF7-F102A9B4D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021416"/>
        <c:axId val="475020632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'P4 - Esp. Fundo'!$G$7</c:f>
              <c:numCache>
                <c:formatCode>0.00</c:formatCode>
                <c:ptCount val="1"/>
                <c:pt idx="0">
                  <c:v>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3B-49DC-9DF7-F102A9B4D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20240"/>
        <c:axId val="475024160"/>
      </c:scatterChart>
      <c:catAx>
        <c:axId val="47502141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75020632"/>
        <c:crosses val="autoZero"/>
        <c:auto val="1"/>
        <c:lblAlgn val="ctr"/>
        <c:lblOffset val="100"/>
        <c:noMultiLvlLbl val="0"/>
      </c:catAx>
      <c:valAx>
        <c:axId val="475020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5021416"/>
        <c:crosses val="autoZero"/>
        <c:crossBetween val="between"/>
        <c:majorUnit val="0.2"/>
        <c:minorUnit val="0.05"/>
      </c:valAx>
      <c:valAx>
        <c:axId val="47502416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5020240"/>
        <c:crosses val="max"/>
        <c:crossBetween val="midCat"/>
      </c:valAx>
      <c:valAx>
        <c:axId val="47502024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502416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'P9 - Esp. Lado'!$B$53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'P9 - Esp. Lado'!$C$9:$AG$9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'P9 - Esp. Lado'!$C$53:$AG$53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1-4E4D-9848-ADB368DEA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022200"/>
        <c:axId val="475019456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'P9 - Esp. Lado'!$E$4</c:f>
              <c:numCache>
                <c:formatCode>0.00</c:formatCode>
                <c:ptCount val="1"/>
                <c:pt idx="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01-4E4D-9848-ADB368DEA047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'P9 - Esp. Lado'!$G$4</c:f>
              <c:numCache>
                <c:formatCode>0.00</c:formatCode>
                <c:ptCount val="1"/>
                <c:pt idx="0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01-4E4D-9848-ADB368DEA047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'P9 - Esp. Lado'!$G$5</c:f>
              <c:numCache>
                <c:formatCode>0.00</c:formatCode>
                <c:ptCount val="1"/>
                <c:pt idx="0">
                  <c:v>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01-4E4D-9848-ADB368DEA047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'P9 - Esp. Lado'!$G$6</c:f>
              <c:numCache>
                <c:formatCode>0.00</c:formatCode>
                <c:ptCount val="1"/>
                <c:pt idx="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01-4E4D-9848-ADB368DEA047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'P9 - Esp. Lado'!$E$6</c:f>
              <c:numCache>
                <c:formatCode>0.00</c:formatCode>
                <c:ptCount val="1"/>
                <c:pt idx="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601-4E4D-9848-ADB368DEA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23768"/>
        <c:axId val="475022592"/>
      </c:scatterChart>
      <c:catAx>
        <c:axId val="4750222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75019456"/>
        <c:crosses val="autoZero"/>
        <c:auto val="1"/>
        <c:lblAlgn val="ctr"/>
        <c:lblOffset val="100"/>
        <c:tickMarkSkip val="1"/>
        <c:noMultiLvlLbl val="0"/>
      </c:catAx>
      <c:valAx>
        <c:axId val="475019456"/>
        <c:scaling>
          <c:orientation val="minMax"/>
          <c:max val="0.26"/>
          <c:min val="0.1800000000000000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5022200"/>
        <c:crosses val="autoZero"/>
        <c:crossBetween val="between"/>
        <c:majorUnit val="1.0000000000000002E-2"/>
        <c:minorUnit val="5.000000000000001E-3"/>
      </c:valAx>
      <c:valAx>
        <c:axId val="475022592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5023768"/>
        <c:crosses val="max"/>
        <c:crossBetween val="midCat"/>
      </c:valAx>
      <c:valAx>
        <c:axId val="475023768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502259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'P9 - Esp. Lado'!$C$54:$AG$54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7-4F30-9C26-D928650B8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024944"/>
        <c:axId val="475017888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'P9 - Esp. Lado'!$G$7</c:f>
              <c:numCache>
                <c:formatCode>0.00</c:formatCode>
                <c:ptCount val="1"/>
                <c:pt idx="0">
                  <c:v>0.04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C7-4F30-9C26-D928650B8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019064"/>
        <c:axId val="475018672"/>
      </c:scatterChart>
      <c:catAx>
        <c:axId val="47502494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75017888"/>
        <c:crosses val="autoZero"/>
        <c:auto val="1"/>
        <c:lblAlgn val="ctr"/>
        <c:lblOffset val="100"/>
        <c:noMultiLvlLbl val="0"/>
      </c:catAx>
      <c:valAx>
        <c:axId val="475017888"/>
        <c:scaling>
          <c:orientation val="minMax"/>
          <c:max val="8.0000000000000016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5024944"/>
        <c:crosses val="autoZero"/>
        <c:crossBetween val="between"/>
        <c:majorUnit val="2.0000000000000004E-2"/>
        <c:minorUnit val="1.0000000000000002E-2"/>
      </c:valAx>
      <c:valAx>
        <c:axId val="475018672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5019064"/>
        <c:crosses val="max"/>
        <c:crossBetween val="midCat"/>
      </c:valAx>
      <c:valAx>
        <c:axId val="47501906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501867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'P9 - Esp. Fundo'!$B$53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'P9 - Esp. Fundo'!$C$9:$AG$9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'P9 - Esp. Fundo'!$C$53:$AG$53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0-42E6-8EE5-BB6E47EC2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87000"/>
        <c:axId val="479087392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'P9 - Esp. Fundo'!$E$4</c:f>
              <c:numCache>
                <c:formatCode>0.00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F0-42E6-8EE5-BB6E47EC23B2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'P9 - Esp. Fundo'!$G$4</c:f>
              <c:numCache>
                <c:formatCode>0.00</c:formatCode>
                <c:ptCount val="1"/>
                <c:pt idx="0">
                  <c:v>0.48000000000000004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F0-42E6-8EE5-BB6E47EC23B2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'P9 - Esp. Fundo'!$G$5</c:f>
              <c:numCache>
                <c:formatCode>0.00</c:formatCode>
                <c:ptCount val="1"/>
                <c:pt idx="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F0-42E6-8EE5-BB6E47EC23B2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'P9 - Esp. Fundo'!$G$6</c:f>
              <c:numCache>
                <c:formatCode>0.00</c:formatCode>
                <c:ptCount val="1"/>
                <c:pt idx="0">
                  <c:v>0.32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F0-42E6-8EE5-BB6E47EC23B2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'P9 - Esp. Fundo'!$E$6</c:f>
              <c:numCache>
                <c:formatCode>0.00</c:formatCode>
                <c:ptCount val="1"/>
                <c:pt idx="0">
                  <c:v>0.30000000000000004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FF0-42E6-8EE5-BB6E47EC2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91704"/>
        <c:axId val="479092880"/>
      </c:scatterChart>
      <c:catAx>
        <c:axId val="4790870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79087392"/>
        <c:crosses val="autoZero"/>
        <c:auto val="1"/>
        <c:lblAlgn val="ctr"/>
        <c:lblOffset val="100"/>
        <c:tickMarkSkip val="1"/>
        <c:noMultiLvlLbl val="0"/>
      </c:catAx>
      <c:valAx>
        <c:axId val="479087392"/>
        <c:scaling>
          <c:orientation val="minMax"/>
          <c:max val="0.55000000000000004"/>
          <c:min val="0.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9087000"/>
        <c:crosses val="autoZero"/>
        <c:crossBetween val="between"/>
        <c:majorUnit val="5.000000000000001E-2"/>
        <c:minorUnit val="1.0000000000000002E-2"/>
      </c:valAx>
      <c:valAx>
        <c:axId val="47909288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9091704"/>
        <c:crosses val="max"/>
        <c:crossBetween val="midCat"/>
      </c:valAx>
      <c:valAx>
        <c:axId val="47909170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909288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'P9 - Esp. Fundo'!$C$54:$AG$54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0-43B0-B369-0B851C17D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90920"/>
        <c:axId val="479088960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'P9 - Esp. Fundo'!$G$7</c:f>
              <c:numCache>
                <c:formatCode>0.00</c:formatCode>
                <c:ptCount val="1"/>
                <c:pt idx="0">
                  <c:v>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60-43B0-B369-0B851C17D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88176"/>
        <c:axId val="479092096"/>
      </c:scatterChart>
      <c:catAx>
        <c:axId val="479090920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79088960"/>
        <c:crosses val="autoZero"/>
        <c:auto val="1"/>
        <c:lblAlgn val="ctr"/>
        <c:lblOffset val="100"/>
        <c:noMultiLvlLbl val="0"/>
      </c:catAx>
      <c:valAx>
        <c:axId val="479088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9090920"/>
        <c:crosses val="autoZero"/>
        <c:crossBetween val="between"/>
        <c:majorUnit val="0.2"/>
        <c:minorUnit val="0.05"/>
      </c:valAx>
      <c:valAx>
        <c:axId val="47909209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9088176"/>
        <c:crosses val="max"/>
        <c:crossBetween val="midCat"/>
      </c:valAx>
      <c:valAx>
        <c:axId val="479088176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909209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'C1 - Altura Total'!$B$53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'C1 - Altura Total'!$C$9:$AG$9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'C1 - Altura Total'!$C$53:$AG$53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7-4053-83AD-8CD20E840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88568"/>
        <c:axId val="479093272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'C1 - Altura Total'!$E$4</c:f>
              <c:numCache>
                <c:formatCode>0.00</c:formatCode>
                <c:ptCount val="1"/>
                <c:pt idx="0">
                  <c:v>44.7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C7-4053-83AD-8CD20E8402E4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'C1 - Altura Total'!$G$4</c:f>
              <c:numCache>
                <c:formatCode>0.00</c:formatCode>
                <c:ptCount val="1"/>
                <c:pt idx="0">
                  <c:v>44.65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C7-4053-83AD-8CD20E8402E4}"/>
            </c:ext>
          </c:extLst>
        </c:ser>
        <c:ser>
          <c:idx val="3"/>
          <c:order val="3"/>
          <c:tx>
            <c:strRef>
              <c:f>'C1 - Altura Total'!$F$5</c:f>
              <c:strCache>
                <c:ptCount val="1"/>
                <c:pt idx="0">
                  <c:v>LC=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'C1 - Altura Total'!$G$5</c:f>
              <c:numCache>
                <c:formatCode>0.00</c:formatCode>
                <c:ptCount val="1"/>
                <c:pt idx="0">
                  <c:v>44.5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C7-4053-83AD-8CD20E8402E4}"/>
            </c:ext>
          </c:extLst>
        </c:ser>
        <c:ser>
          <c:idx val="5"/>
          <c:order val="4"/>
          <c:tx>
            <c:strRef>
              <c:f>'C1 - Altura Total'!$F$6</c:f>
              <c:strCache>
                <c:ptCount val="1"/>
                <c:pt idx="0">
                  <c:v>LIC=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'C1 - Altura Total'!$G$6</c:f>
              <c:numCache>
                <c:formatCode>0.00</c:formatCode>
                <c:ptCount val="1"/>
                <c:pt idx="0">
                  <c:v>44.35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C7-4053-83AD-8CD20E8402E4}"/>
            </c:ext>
          </c:extLst>
        </c:ser>
        <c:ser>
          <c:idx val="4"/>
          <c:order val="5"/>
          <c:tx>
            <c:strRef>
              <c:f>'C1 - Altura Total'!$D$6</c:f>
              <c:strCache>
                <c:ptCount val="1"/>
                <c:pt idx="0">
                  <c:v>LIE=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'C1 - Altura Total'!$E$6</c:f>
              <c:numCache>
                <c:formatCode>0.00</c:formatCode>
                <c:ptCount val="1"/>
                <c:pt idx="0">
                  <c:v>44.3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C7-4053-83AD-8CD20E840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91312"/>
        <c:axId val="479090136"/>
      </c:scatterChart>
      <c:catAx>
        <c:axId val="479088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79093272"/>
        <c:crosses val="autoZero"/>
        <c:auto val="1"/>
        <c:lblAlgn val="ctr"/>
        <c:lblOffset val="100"/>
        <c:tickMarkSkip val="1"/>
        <c:noMultiLvlLbl val="0"/>
      </c:catAx>
      <c:valAx>
        <c:axId val="479093272"/>
        <c:scaling>
          <c:orientation val="minMax"/>
          <c:max val="44.8"/>
          <c:min val="44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9088568"/>
        <c:crosses val="autoZero"/>
        <c:crossBetween val="between"/>
        <c:majorUnit val="0.1"/>
        <c:minorUnit val="2.0000000000000004E-2"/>
      </c:valAx>
      <c:valAx>
        <c:axId val="479090136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9091312"/>
        <c:crosses val="max"/>
        <c:crossBetween val="midCat"/>
      </c:valAx>
      <c:valAx>
        <c:axId val="479091312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909013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'C1 - Altura Total'!$C$54:$AG$54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6-4433-87AB-80B702C61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86216"/>
        <c:axId val="479090528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'C1 - Altura Total'!$G$7</c:f>
              <c:numCache>
                <c:formatCode>0.00</c:formatCode>
                <c:ptCount val="1"/>
                <c:pt idx="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86-4433-87AB-80B702C61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089744"/>
        <c:axId val="479093664"/>
      </c:scatterChart>
      <c:catAx>
        <c:axId val="47908621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79090528"/>
        <c:crosses val="autoZero"/>
        <c:auto val="1"/>
        <c:lblAlgn val="ctr"/>
        <c:lblOffset val="100"/>
        <c:noMultiLvlLbl val="0"/>
      </c:catAx>
      <c:valAx>
        <c:axId val="479090528"/>
        <c:scaling>
          <c:orientation val="minMax"/>
          <c:max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9086216"/>
        <c:crosses val="autoZero"/>
        <c:crossBetween val="between"/>
        <c:majorUnit val="0.1"/>
        <c:minorUnit val="0.05"/>
      </c:valAx>
      <c:valAx>
        <c:axId val="47909366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9089744"/>
        <c:crosses val="max"/>
        <c:crossBetween val="midCat"/>
      </c:valAx>
      <c:valAx>
        <c:axId val="47908974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909366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42667956271219E-2"/>
          <c:y val="2.1701388888888888E-2"/>
          <c:w val="0.9507259697077467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'C2 - Altura Total'!$B$53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'C2 - Altura Total'!$C$9:$AW$9</c:f>
              <c:numCache>
                <c:formatCode>General</c:formatCod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cat>
          <c:val>
            <c:numRef>
              <c:f>'C2 - Altura Total'!$C$53:$AW$53</c:f>
              <c:numCache>
                <c:formatCode>0.00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56-4036-895B-EC53F50F8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452720"/>
        <c:axId val="479455072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'C2 - Altura Total'!$E$4</c:f>
              <c:numCache>
                <c:formatCode>0.00</c:formatCode>
                <c:ptCount val="1"/>
                <c:pt idx="0">
                  <c:v>44.7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56-4036-895B-EC53F50F8FF3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'C2 - Altura Total'!$G$4</c:f>
              <c:numCache>
                <c:formatCode>0.00</c:formatCode>
                <c:ptCount val="1"/>
                <c:pt idx="0">
                  <c:v>44.65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56-4036-895B-EC53F50F8FF3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'C2 - Altura Total'!$G$5</c:f>
              <c:numCache>
                <c:formatCode>0.00</c:formatCode>
                <c:ptCount val="1"/>
                <c:pt idx="0">
                  <c:v>44.5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56-4036-895B-EC53F50F8FF3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'C2 - Altura Total'!$G$6</c:f>
              <c:numCache>
                <c:formatCode>0.00</c:formatCode>
                <c:ptCount val="1"/>
                <c:pt idx="0">
                  <c:v>44.35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56-4036-895B-EC53F50F8FF3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'C2 - Altura Total'!$E$6</c:f>
              <c:numCache>
                <c:formatCode>0.00</c:formatCode>
                <c:ptCount val="1"/>
                <c:pt idx="0">
                  <c:v>44.3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56-4036-895B-EC53F50F8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459776"/>
        <c:axId val="479454680"/>
      </c:scatterChart>
      <c:catAx>
        <c:axId val="4794527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79455072"/>
        <c:crosses val="autoZero"/>
        <c:auto val="1"/>
        <c:lblAlgn val="ctr"/>
        <c:lblOffset val="100"/>
        <c:tickMarkSkip val="1"/>
        <c:noMultiLvlLbl val="0"/>
      </c:catAx>
      <c:valAx>
        <c:axId val="479455072"/>
        <c:scaling>
          <c:orientation val="minMax"/>
          <c:max val="44.8"/>
          <c:min val="44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9452720"/>
        <c:crosses val="autoZero"/>
        <c:crossBetween val="between"/>
        <c:majorUnit val="0.1"/>
        <c:minorUnit val="2.0000000000000004E-2"/>
      </c:valAx>
      <c:valAx>
        <c:axId val="47945468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9459776"/>
        <c:crosses val="max"/>
        <c:crossBetween val="midCat"/>
      </c:valAx>
      <c:valAx>
        <c:axId val="479459776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945468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857190305147232E-2"/>
          <c:y val="5.6677495575681358E-2"/>
          <c:w val="0.9755136139502935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'C2 - Altura Total'!$C$54:$AW$54</c:f>
              <c:numCache>
                <c:formatCode>0.00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94-4331-AEE0-D770CB49D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458992"/>
        <c:axId val="479456248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'C2 - Altura Total'!$G$7</c:f>
              <c:numCache>
                <c:formatCode>0.00</c:formatCode>
                <c:ptCount val="1"/>
                <c:pt idx="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94-4331-AEE0-D770CB49D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459384"/>
        <c:axId val="479453504"/>
      </c:scatterChart>
      <c:catAx>
        <c:axId val="47945899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79456248"/>
        <c:crosses val="autoZero"/>
        <c:auto val="1"/>
        <c:lblAlgn val="ctr"/>
        <c:lblOffset val="100"/>
        <c:noMultiLvlLbl val="0"/>
      </c:catAx>
      <c:valAx>
        <c:axId val="479456248"/>
        <c:scaling>
          <c:orientation val="minMax"/>
          <c:max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9458992"/>
        <c:crosses val="autoZero"/>
        <c:crossBetween val="between"/>
        <c:majorUnit val="0.1"/>
        <c:minorUnit val="0.05"/>
      </c:valAx>
      <c:valAx>
        <c:axId val="47945350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9459384"/>
        <c:crosses val="max"/>
        <c:crossBetween val="midCat"/>
      </c:valAx>
      <c:valAx>
        <c:axId val="47945938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945350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583752221727555E-2"/>
          <c:y val="1.8129921259842519E-2"/>
          <c:w val="0.95014743337823904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'C3 - Altura Total'!$B$53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'C3 - Altura Total'!$C$9:$AW$9</c:f>
              <c:numCache>
                <c:formatCode>General</c:formatCode>
                <c:ptCount val="4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</c:numCache>
            </c:numRef>
          </c:cat>
          <c:val>
            <c:numRef>
              <c:f>'C3 - Altura Total'!$C$53:$AW$53</c:f>
              <c:numCache>
                <c:formatCode>0.00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54-41EA-A865-CBF9E1787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456640"/>
        <c:axId val="479455464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'C3 - Altura Total'!$E$4</c:f>
              <c:numCache>
                <c:formatCode>0.00</c:formatCode>
                <c:ptCount val="1"/>
                <c:pt idx="0">
                  <c:v>44.7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54-41EA-A865-CBF9E1787283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'C3 - Altura Total'!$G$4</c:f>
              <c:numCache>
                <c:formatCode>0.00</c:formatCode>
                <c:ptCount val="1"/>
                <c:pt idx="0">
                  <c:v>44.65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54-41EA-A865-CBF9E1787283}"/>
            </c:ext>
          </c:extLst>
        </c:ser>
        <c:ser>
          <c:idx val="3"/>
          <c:order val="3"/>
          <c:tx>
            <c:strRef>
              <c:f>'C3 - Altura Total'!$F$5</c:f>
              <c:strCache>
                <c:ptCount val="1"/>
                <c:pt idx="0">
                  <c:v>LC=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'C3 - Altura Total'!$G$5</c:f>
              <c:numCache>
                <c:formatCode>0.00</c:formatCode>
                <c:ptCount val="1"/>
                <c:pt idx="0">
                  <c:v>44.5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54-41EA-A865-CBF9E1787283}"/>
            </c:ext>
          </c:extLst>
        </c:ser>
        <c:ser>
          <c:idx val="5"/>
          <c:order val="4"/>
          <c:tx>
            <c:strRef>
              <c:f>'C3 - Altura Total'!$F$6</c:f>
              <c:strCache>
                <c:ptCount val="1"/>
                <c:pt idx="0">
                  <c:v>LIC=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'C3 - Altura Total'!$G$6</c:f>
              <c:numCache>
                <c:formatCode>0.00</c:formatCode>
                <c:ptCount val="1"/>
                <c:pt idx="0">
                  <c:v>44.35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54-41EA-A865-CBF9E1787283}"/>
            </c:ext>
          </c:extLst>
        </c:ser>
        <c:ser>
          <c:idx val="4"/>
          <c:order val="5"/>
          <c:tx>
            <c:strRef>
              <c:f>'C3 - Altura Total'!$D$6</c:f>
              <c:strCache>
                <c:ptCount val="1"/>
                <c:pt idx="0">
                  <c:v>LIE=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'C3 - Altura Total'!$E$6</c:f>
              <c:numCache>
                <c:formatCode>0.00</c:formatCode>
                <c:ptCount val="1"/>
                <c:pt idx="0">
                  <c:v>44.3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954-41EA-A865-CBF9E1787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455856"/>
        <c:axId val="479458600"/>
      </c:scatterChart>
      <c:catAx>
        <c:axId val="4794566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79455464"/>
        <c:crosses val="autoZero"/>
        <c:auto val="1"/>
        <c:lblAlgn val="ctr"/>
        <c:lblOffset val="100"/>
        <c:tickMarkSkip val="1"/>
        <c:noMultiLvlLbl val="0"/>
      </c:catAx>
      <c:valAx>
        <c:axId val="479455464"/>
        <c:scaling>
          <c:orientation val="minMax"/>
          <c:max val="44.8"/>
          <c:min val="44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79456640"/>
        <c:crosses val="autoZero"/>
        <c:crossBetween val="between"/>
        <c:majorUnit val="0.1"/>
        <c:minorUnit val="2.0000000000000004E-2"/>
      </c:valAx>
      <c:valAx>
        <c:axId val="47945860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79455856"/>
        <c:crosses val="max"/>
        <c:crossBetween val="midCat"/>
      </c:valAx>
      <c:valAx>
        <c:axId val="479455856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7945860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922751170754595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'C3 - Altura Total'!$C$54:$AW$54</c:f>
              <c:numCache>
                <c:formatCode>0.00</c:formatCode>
                <c:ptCount val="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5A-45F0-8E29-890EE2F24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22184"/>
        <c:axId val="480328848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'C3 - Altura Total'!$G$7</c:f>
              <c:numCache>
                <c:formatCode>0.00</c:formatCode>
                <c:ptCount val="1"/>
                <c:pt idx="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A-45F0-8E29-890EE2F24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327672"/>
        <c:axId val="480329240"/>
      </c:scatterChart>
      <c:catAx>
        <c:axId val="48032218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480328848"/>
        <c:crosses val="autoZero"/>
        <c:auto val="1"/>
        <c:lblAlgn val="ctr"/>
        <c:lblOffset val="100"/>
        <c:noMultiLvlLbl val="0"/>
      </c:catAx>
      <c:valAx>
        <c:axId val="480328848"/>
        <c:scaling>
          <c:orientation val="minMax"/>
          <c:max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80322184"/>
        <c:crosses val="autoZero"/>
        <c:crossBetween val="between"/>
        <c:majorUnit val="0.1"/>
        <c:minorUnit val="0.05"/>
      </c:valAx>
      <c:valAx>
        <c:axId val="48032924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480327672"/>
        <c:crosses val="max"/>
        <c:crossBetween val="midCat"/>
      </c:valAx>
      <c:valAx>
        <c:axId val="480327672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48032924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BCACEE-0C1E-427B-BE19-23A16F1BD8A6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53D5C20-FF52-425B-A5E9-A34926A5DC59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C7F784FA-8A31-4ACF-BED9-90423DCE4622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A0202A83-A7F8-4021-B279-9A23DAAEED66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CABEB858-2BB5-4C4D-86D9-DAA37575C060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ECC6736A-616A-4A46-8A33-75A21927AA7A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938C5F85-855F-45DA-B4C7-43EFFE75F687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CEC04AC0-CDAB-45C7-90CE-8942D0E7DB75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671C735A-43F3-42B8-9C26-A9064B899F14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4B38B2BB-BA89-4BA6-9BB0-D5B5CEF3B617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43F592CE-1449-4181-AA3B-39A7702DD388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9420D027-BA61-4C2D-ADC9-489FF53CE962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F4685310-6775-4038-A00E-C081ECF6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F35595C-5AD5-4CD4-ACC5-AE563244F3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8B6E11C0-5E06-4232-B060-EF618D618D24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3131AB6C-868A-4775-881F-DA0509F023B7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581FB76A-85F7-47B5-9E06-ECC823C8C62C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1C64D7AD-8606-495A-B85E-003DF914F326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C3342534-1A74-4EAD-A5A6-84FF028E304C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2FD7C2E-DEDF-415A-9A51-1EB6D263F810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183A060C-9209-49D3-BF0D-BF6D7C24188A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6B42C471-8BBC-4C20-BBE3-62C6B382E7DA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72FA5F5D-3A0A-4402-BEC7-D2602678E23C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299DD288-58F7-4557-89A2-0B57BF2A02C5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838A0416-7C74-413F-BFC4-99C559658B30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D737F285-9234-4696-9D3C-EA5CE7CE599F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255BFC65-6135-4DA2-BAD4-9CFA07996F44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F4533CD2-009D-4425-8C4B-808FA8772995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A18D5D1B-60F2-4C23-987B-77ECDAFCD03F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AB5EE8B2-6275-46A4-8D73-41EA226C18B4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8FCC0D4-9D3D-491E-B17B-C7F239A1D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D1A591C7-D2A4-46AC-A712-A120ED8AA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2EF3BE57-49BB-4F3D-B3C3-4E67C27429DA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A3E7C6AE-7477-40D5-B5F2-15F636841F98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2E514B95-40D2-469D-8BC1-4D5EC0D3C598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CEF5A5C8-4314-40E5-812A-71C09BBEA624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3CA1D91-9C09-4680-91DE-E275DEBB1381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2DC3DE5-1F55-46A9-976A-29E7D5093036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AEB196D8-C0E2-4808-B9E9-FAD122919D3B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36F8B025-3B6F-4373-BE1A-7C0F6D3FEAD2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6EB60C67-8351-4ADC-9810-6CC5B11F2A49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25852650-9576-417E-86EE-231FB41D688F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7D7F733D-381F-435C-A9F6-C23AE0A3C0B4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227E6513-EF08-4562-B936-D785FAB74195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DB1DBC7C-A8FA-4543-8230-A42FFE22A5BE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E7C6A49D-B4A5-4893-A42B-C90EF5812336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AD41AA15-2941-4E09-A387-12A973BD1474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D25A64CC-02E3-4090-870F-17BC0142BF2D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FAF5E6A6-3B80-40B5-9E58-5C806ACE6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3F9FDAD-8262-4BBE-9FF1-12E2FA818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FA12E728-75F3-4378-808A-AB7C626FAA9C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57DC00A8-3FC3-4A09-84FD-0A238C275173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1CA43324-D3CC-41C9-BCAA-A63FEA3956FD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6D9C153F-1EA6-4050-85AE-C28B12F3E7A0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4ACA8F53-D95C-4BA6-B7BF-3A3A2830FF3F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614071A-6DFD-42CE-97DF-C13C6A0197FA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3515D847-34D1-490F-8413-10CC39A9D21B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5785D01A-508E-4835-86B9-72053AC207A1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43948912-EEBB-4422-BC7A-B2D7F537988F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A20C418C-5C58-437F-82D1-F52DE3D4CE82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0C03E7FA-531A-4D80-95F6-8795EB93AD1E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61C8C489-6784-40D5-95B0-D3CD3DA9EEB9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4719A986-0C45-40C2-BDEC-FF2CE33F97A1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7825732B-D327-4BEB-93CC-858635E7F744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859B2B26-ACEE-447E-9DE1-1BEE8B95BE9C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26C4F72F-4092-4BEE-AFAB-281AD9C29260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0</xdr:col>
      <xdr:colOff>82551</xdr:colOff>
      <xdr:row>10</xdr:row>
      <xdr:rowOff>148167</xdr:rowOff>
    </xdr:from>
    <xdr:to>
      <xdr:col>32</xdr:col>
      <xdr:colOff>402167</xdr:colOff>
      <xdr:row>34</xdr:row>
      <xdr:rowOff>127001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AC279827-958E-4415-B893-A6A644B6A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A32C09BF-615D-43B4-A5E4-EF12FE3F5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8117E348-3DBD-4DF4-ABDD-9FAEB943DEB6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82867ABC-1CA2-4886-8677-1AEB2ADA3E42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219DC9DE-C7AD-44AE-8568-C7E1E839CA67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6A9B6CF7-A363-4297-9030-BDAA82ED2428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24F8291-D52E-4FB0-9CB4-FB1DB4CED942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AA4258B1-0D56-4BB4-94F7-9085AEF846DB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499E74C5-FD60-4CF8-A95B-3A58F19C5198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8083A849-EB48-4DD7-8BDC-4750A8DA1EB1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CC51F8F2-880C-4DF6-8F3D-329013EE5528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924B02CB-7E28-4CDA-9D44-7D100904EAF0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EC176D79-FB53-4E39-8057-5EE0567607EE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F3A9610A-B60F-4156-BEAE-8DA81F2A971F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6E2BD00C-AD66-40CF-9884-EB6A46C75D7C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8E979ED5-86BC-4A0A-99E9-FA2C496F16FA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9340BDDC-221C-4B93-88FD-993F68C7C7E2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13FEB73A-2947-4830-8DB7-02EC0E5D3CC8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10BCE7A-2ED2-4D1A-8868-7699574CE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A8F382D-505D-4896-A486-A38756AA8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EEE7CFAB-AB23-427F-990F-A7E5E46FEEC8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FAACDFD9-889A-4E29-A1DA-6625D9A1572D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AEBACBB2-5DB1-44DA-977C-8B353731AF67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7ED5F06D-4C67-49AD-94E7-CA9DFBC7F85D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57F0B0C0-CA2F-4C48-A751-434C3B2AFDFA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B11C14-D0B8-4B0C-93FB-457080D9D5B7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5461C8E7-1AD6-4ACF-9796-576CDC6E5FF3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149DE0AE-A6CA-4F60-8F18-9BA7E22E8A44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A113C32C-B090-4F0A-B6B6-EAE68F7D8F68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1943E35C-0D54-42BA-BA2F-240DB31C6F28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0D45C983-65FE-4961-B47A-51741EDCE5AE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7340072B-7246-48DF-8CC9-9D1E38455E83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81075D4F-C8D9-4912-84B8-40F9B9219A78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EC53059C-A775-4982-A3BC-BFD25FAE8E7A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1AE67D83-158A-497F-A0AC-0490D04B9102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8796DFCF-41A7-4341-9848-C807AFCAFDC1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E0297E5F-884F-4B3E-A9D5-86F59675FB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C33B8FE-8EB7-4948-A27E-8BC61A4437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E3F17568-C292-4A41-9A1D-E7B78CE88D4E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715F4F3D-3EA7-4F95-BE4C-DD9DD7CA9CFB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1F472C99-8A31-4FE5-9B98-AF9649A2A770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1A90F06C-3D7C-4868-A727-F593BA6D9C78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25D1CF1E-E683-4582-9A59-768155A3CEB7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5035C3E-A861-40BC-B9C2-EE1A2761FA08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6A2E0CDA-93F9-41F5-B0F6-ECD65D8018AF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F0ACC428-0DE6-4815-83FC-FE40867A11AB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5607793B-A2CC-49CC-8D70-7C2598C551B5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E364FB34-A84A-47B3-976F-AAEC5947D453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838028FC-1FDD-41F3-9ADE-16A4998782BF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0F5587CA-11E6-4409-92F2-6453D3FCA13E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EB53F823-0224-4331-9137-051368DCD101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122B1A4B-B34F-4021-A217-255A4EB889B2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9AC62669-DDB2-4144-9BCD-9420E95AF434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0B20E14C-9489-40A9-B1D0-F94F50EA713E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F75014F-8D2D-4427-BA2D-D15A070BC5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54B0CF4-A0A6-43F4-8CD4-963E27FCA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82CF25CF-0DA2-4B12-AFFC-3F9F1E7587BF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94A1F02C-A127-4AA7-B7B7-4CB749C3773B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5C554708-A648-4C83-B381-BEA997DAE8BC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4DD50A92-8B31-4F60-86E0-00D45C47F6F9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9372F4D-EE52-4ED7-8994-010D0312D4B6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CFC4A8B-884D-484F-9133-2ACC9578FEAE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9F92B5FE-CA08-4BAB-A304-8D4798725DC8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A3828B76-3AEB-4AF2-81A1-558502D39D88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3F3926FF-7485-4F16-AC76-A5F91E0D1F5F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997A35FB-D97F-464C-8F99-2BB6C7BC4297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F4B68DD9-59C0-4315-A197-A47E5A741289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BD6547F1-AB16-4F30-A115-514792356F7F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331CB8AB-7ABF-4D60-BFA1-5A8B3474ADA2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335F8FF2-F28F-48F5-9A79-05950253393B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46026EF3-6CFD-45C8-86F3-545509AE823F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E7322087-087E-4DB6-B801-D9007BD69F54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760F3765-97A3-423F-9594-2C6C4801A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D145CE4-EF20-4B0C-933E-661103C81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E6EFB2F6-8D65-47AA-93CD-27A23A1D28F1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78F743CE-11F8-452D-8DC7-1893CAA078D8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C31C7A4F-DD5E-4956-9EBC-7626DA0AD234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E3D2CEA0-781A-41F4-968F-128C95776DD3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52176F-1DD7-4A56-B771-B6E2FADBC0AE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2EF22AC-5DA0-4D75-929A-FC244833C078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70FB28CF-A2ED-4CAF-B827-147FD0919C98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86AF66ED-F1B6-49F0-ACB2-F029F5868EE6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7435000E-2153-4903-80D9-90DE398DCA3B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50F72576-516A-40DC-B44D-29556937367A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83B18B15-6595-4A08-ADD9-AE3536EAEE55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81854124-819E-4CB4-8DD0-814A01C1C35A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EBC4C64-9476-4868-BECB-05484193D34A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A1268B6B-54C5-460E-9865-21FE2B474827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67611DE7-CD2D-4746-A3A2-FAC6E2B3F6F5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37B57581-3676-434A-BE80-859270433322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AF8E0CC6-CF61-41E0-B16E-A17899E05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D75B2916-6EA7-4546-8983-B37D3AADE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8B549DAB-BA90-44CC-9A38-20B04B68C98E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EB65E57B-C8EF-4B02-B634-35BD2A9AA236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6983C2D6-DECB-48C2-AA72-6E87DAEDEB34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4218B5EE-54DB-4C4F-BE47-0A306DF5D584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F569A82B-37EF-4F37-ABFF-53CB66BFDD7E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079CCD1-ABEE-42C3-9DDE-DFCA5D6A1C12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8E757900-D8A1-4EE3-8CF5-D11393578855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FB53BFE5-F436-44D0-8BE9-41CD60E3332D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76C3C3B8-1C6A-40BB-9821-D5AF2E2F0817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1CBB9B5E-B074-45B8-9BCF-7C965169B51B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430AAFB6-712D-427B-9DCB-99ED3CF7F376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B4EE7FFD-C8A8-486E-9A0E-32C205781C7F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E2547F4B-7605-43B6-B20F-92E8D97C8E51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8FDFFC65-6E9E-4843-AFD9-033747386D98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0E475A1F-5951-49AC-9260-AF64D2E0296D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CA0F9C98-D514-4C22-ACB9-B3E582818603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5CC5D1C-EA5C-4CA7-97CE-4B43A88433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FF1383A-5730-4954-BB45-EDD8D75433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799485BA-541D-4426-A2F1-EC632C974FA1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B8627357-D187-4E09-80FC-4FD9FC9DE830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5E22B8F3-09B3-49B2-BEC1-4CDB96898F50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F0036310-E5EB-4E4B-BAD3-C9A88082F532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A98BD780-D739-4ACB-BFFF-3089F849F3A1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8E10B28-C3ED-43FE-B9AD-8A1AC3813F91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73862109-C3DE-44A1-90FF-AF2965B2C9DD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52AD326D-F49C-46D0-9C3F-5EA1B5BEA887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185922DA-4317-4BCB-9002-E37B6E64A956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EE0ED58C-19D6-4095-8162-79CFA61F614E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8133BE83-48A6-470F-8E39-2944DBDCFE74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F48B1F49-6E50-4AF8-9B0C-5B725DAB4F84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2D050A13-B2B2-4745-B97B-BFC2C034C722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0CD6FFA5-379C-4FB9-9423-907E69789ED9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1FB00A55-0422-42C1-9662-ECD931552E39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9D9B3D0C-7F3F-4860-9AA3-1551C24F9F04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C93C370C-9AE1-401C-AD7C-BD35D2C8FF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DDEC400-70CF-4132-859E-CF7241EA6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4A76D4EE-05A7-48F8-A82E-F59E2DC95B05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A915EF6B-946C-4402-B68F-7CCE3FBC7B78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7AB021A9-730B-4743-9877-8902D5034AD9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B6FE6193-7CB7-4504-9ADD-9FAD2D9F6579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4</xdr:row>
      <xdr:rowOff>38100</xdr:rowOff>
    </xdr:from>
    <xdr:to>
      <xdr:col>3</xdr:col>
      <xdr:colOff>266700</xdr:colOff>
      <xdr:row>4</xdr:row>
      <xdr:rowOff>38100</xdr:rowOff>
    </xdr:to>
    <xdr:sp macro="" textlink="">
      <xdr:nvSpPr>
        <xdr:cNvPr id="20" name="Line 1">
          <a:extLst>
            <a:ext uri="{FF2B5EF4-FFF2-40B4-BE49-F238E27FC236}">
              <a16:creationId xmlns:a16="http://schemas.microsoft.com/office/drawing/2014/main" id="{B8C1B04C-8033-45A7-A57B-F254C1B77B24}"/>
            </a:ext>
          </a:extLst>
        </xdr:cNvPr>
        <xdr:cNvSpPr>
          <a:spLocks noChangeShapeType="1"/>
        </xdr:cNvSpPr>
      </xdr:nvSpPr>
      <xdr:spPr bwMode="auto">
        <a:xfrm>
          <a:off x="1800225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E6EDF85F-4642-45C5-88AD-7C928EF24F30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F0D4463-B792-472B-8B40-394A1A545367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F68347BE-7FA1-4D19-B732-B2B90085B936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E8AB7239-6700-492E-A6B9-EB18EF6BA7B3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AB088791-D9BA-414B-8667-50F9E93BE97B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C1D11AB6-8915-4D1B-B89D-877D9080C64D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B7D3C726-E1BD-4C5D-91E4-8768F82C6AA8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8177A55E-9060-43F8-AE9E-64E954B0709C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F8AE1886-56CC-426E-A3C7-640DBCA6BD32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65FF16AA-BFF1-4D5A-A29B-6097AD6B1256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8A1DC7A4-CE9C-4A1F-8953-A6162C25053D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5EE1C965-6522-4619-B834-63EF8B3F54C0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49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F13242E-9626-46A1-8A62-2B94B473B5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49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4A4AB11D-FF73-406B-BCB0-1C325BDDD4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0A2544A2-FAAC-490F-AF78-A3B733C9C045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35DE6460-04C9-4654-AFFA-D5266081CD4F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A20EE1E0-9D3B-498F-9B62-12713716C3AB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90FF164F-F7A2-49E7-8B17-9D047BF0E782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4</xdr:row>
      <xdr:rowOff>38100</xdr:rowOff>
    </xdr:from>
    <xdr:to>
      <xdr:col>3</xdr:col>
      <xdr:colOff>266700</xdr:colOff>
      <xdr:row>4</xdr:row>
      <xdr:rowOff>38100</xdr:rowOff>
    </xdr:to>
    <xdr:sp macro="" textlink="">
      <xdr:nvSpPr>
        <xdr:cNvPr id="20" name="Line 1">
          <a:extLst>
            <a:ext uri="{FF2B5EF4-FFF2-40B4-BE49-F238E27FC236}">
              <a16:creationId xmlns:a16="http://schemas.microsoft.com/office/drawing/2014/main" id="{D66BAEAC-196D-4C17-B8B3-8820D1335EF7}"/>
            </a:ext>
          </a:extLst>
        </xdr:cNvPr>
        <xdr:cNvSpPr>
          <a:spLocks noChangeShapeType="1"/>
        </xdr:cNvSpPr>
      </xdr:nvSpPr>
      <xdr:spPr bwMode="auto">
        <a:xfrm>
          <a:off x="1800225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991B8D3-9676-449F-A761-F511056D58C8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6AE217C-4DB5-4C68-9D76-10D24BACE1A8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0D433634-8A94-4B68-8EBF-0F72BC71DDEA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D61FC3D9-0678-41F4-871A-CF25E068BDDB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087977E8-6D97-417E-A043-EA5BBEA5EE64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2E50896E-2EE8-47BF-A0FD-78609C649248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4FEBFFB7-F24A-4CFD-8ECF-7824F7A6CA82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03385C14-0614-4EAB-8449-CA0C2A2A56BB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49FC8E07-4F4D-40D3-A7F5-9EA60FDF3254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3428CCFD-5608-4112-A383-3E54279EF843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CFA4D911-339C-490F-AD65-356BB50CAE73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1AABBF71-8FDA-45F0-85FB-F41AC839F61E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49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BCD4A05-29F1-42A5-902E-A7DC500FB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423333</xdr:colOff>
      <xdr:row>35</xdr:row>
      <xdr:rowOff>50800</xdr:rowOff>
    </xdr:from>
    <xdr:to>
      <xdr:col>48</xdr:col>
      <xdr:colOff>423334</xdr:colOff>
      <xdr:row>45</xdr:row>
      <xdr:rowOff>127000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7B0EE9E2-7839-4BE8-8013-DDDA2A763F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258DB2A2-1FA6-4C59-9591-C7D7F71C572D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2E43206A-7FE2-4149-B044-ED4CD9B1230C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8964FD07-9FB1-49E4-84E8-81D907B35E3A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4904FAEB-38E7-4EA5-A4E2-73B8E02D2A5E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4</xdr:row>
      <xdr:rowOff>38100</xdr:rowOff>
    </xdr:from>
    <xdr:to>
      <xdr:col>3</xdr:col>
      <xdr:colOff>266700</xdr:colOff>
      <xdr:row>4</xdr:row>
      <xdr:rowOff>38100</xdr:rowOff>
    </xdr:to>
    <xdr:sp macro="" textlink="">
      <xdr:nvSpPr>
        <xdr:cNvPr id="20" name="Line 1">
          <a:extLst>
            <a:ext uri="{FF2B5EF4-FFF2-40B4-BE49-F238E27FC236}">
              <a16:creationId xmlns:a16="http://schemas.microsoft.com/office/drawing/2014/main" id="{7EB847CD-02BB-472A-8B4F-B26459AC8D78}"/>
            </a:ext>
          </a:extLst>
        </xdr:cNvPr>
        <xdr:cNvSpPr>
          <a:spLocks noChangeShapeType="1"/>
        </xdr:cNvSpPr>
      </xdr:nvSpPr>
      <xdr:spPr bwMode="auto">
        <a:xfrm>
          <a:off x="1800225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4">
    <tabColor indexed="47"/>
  </sheetPr>
  <dimension ref="B2:D16"/>
  <sheetViews>
    <sheetView zoomScaleNormal="100" workbookViewId="0">
      <selection activeCell="D10" sqref="D10"/>
    </sheetView>
  </sheetViews>
  <sheetFormatPr defaultRowHeight="12.75"/>
  <cols>
    <col min="4" max="4" width="27.28515625" customWidth="1"/>
  </cols>
  <sheetData>
    <row r="2" spans="2:4" ht="25.5">
      <c r="B2" s="131" t="s">
        <v>64</v>
      </c>
    </row>
    <row r="4" spans="2:4">
      <c r="B4" s="137" t="s">
        <v>65</v>
      </c>
      <c r="C4" s="137"/>
      <c r="D4" s="132" t="s">
        <v>69</v>
      </c>
    </row>
    <row r="10" spans="2:4">
      <c r="B10" s="133"/>
      <c r="C10" s="134"/>
      <c r="D10" s="135" t="s">
        <v>67</v>
      </c>
    </row>
    <row r="11" spans="2:4">
      <c r="D11" s="135" t="s">
        <v>68</v>
      </c>
    </row>
    <row r="12" spans="2:4">
      <c r="D12" s="135" t="s">
        <v>66</v>
      </c>
    </row>
    <row r="13" spans="2:4">
      <c r="D13" s="135"/>
    </row>
    <row r="14" spans="2:4">
      <c r="D14" s="132"/>
    </row>
    <row r="15" spans="2:4">
      <c r="D15" s="132"/>
    </row>
    <row r="16" spans="2:4">
      <c r="D16" s="132"/>
    </row>
  </sheetData>
  <sheetProtection algorithmName="SHA-512" hashValue="wFj9iwCrr4AxI1ysW4SmdUYAX1CBLXsrIcWEU38hi+SScXL7BTJQNNDYMCAbUzGXs6sAZbwBJ1qRdO6FKtQaBg==" saltValue="wUfeJsblN+iZmGbf39WOCg==" spinCount="100000" sheet="1" objects="1" scenarios="1" selectLockedCells="1"/>
  <mergeCells count="1">
    <mergeCell ref="B4:C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01">
    <tabColor indexed="47"/>
    <pageSetUpPr fitToPage="1"/>
  </sheetPr>
  <dimension ref="B1:BC75"/>
  <sheetViews>
    <sheetView showZeros="0" topLeftCell="A6" zoomScaleNormal="100" workbookViewId="0">
      <selection activeCell="C10" sqref="C10"/>
    </sheetView>
  </sheetViews>
  <sheetFormatPr defaultColWidth="10.28515625" defaultRowHeight="12.75"/>
  <cols>
    <col min="1" max="1" width="1.5703125" style="10" customWidth="1"/>
    <col min="2" max="2" width="16.140625" style="10" customWidth="1"/>
    <col min="3" max="33" width="6.7109375" style="10" customWidth="1"/>
    <col min="34" max="34" width="3.140625" style="10" customWidth="1"/>
    <col min="35" max="55" width="6.7109375" style="10" customWidth="1"/>
    <col min="56" max="16384" width="10.28515625" style="10"/>
  </cols>
  <sheetData>
    <row r="1" spans="2:50" ht="21.75" thickBot="1">
      <c r="B1" s="80" t="s">
        <v>42</v>
      </c>
      <c r="C1" s="81"/>
      <c r="D1" s="81"/>
      <c r="E1" s="81"/>
      <c r="F1" s="82"/>
      <c r="G1" s="82"/>
      <c r="H1" s="83"/>
      <c r="I1" s="104" t="s">
        <v>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3"/>
      <c r="AX1" s="11"/>
    </row>
    <row r="2" spans="2:50" s="12" customFormat="1" ht="19.5" customHeight="1">
      <c r="B2" s="84" t="s">
        <v>43</v>
      </c>
      <c r="C2" s="85"/>
      <c r="D2" s="86"/>
      <c r="E2" s="86"/>
      <c r="F2" s="87"/>
      <c r="G2" s="87"/>
      <c r="H2" s="88"/>
      <c r="I2" s="139" t="s">
        <v>0</v>
      </c>
      <c r="J2" s="140"/>
      <c r="K2" s="143" t="s">
        <v>56</v>
      </c>
      <c r="L2" s="144"/>
      <c r="M2" s="147" t="s">
        <v>53</v>
      </c>
      <c r="N2" s="148"/>
      <c r="O2" s="148"/>
      <c r="P2" s="148"/>
      <c r="Q2" s="149"/>
      <c r="R2" s="153" t="s">
        <v>1</v>
      </c>
      <c r="S2" s="154"/>
      <c r="T2" s="155"/>
      <c r="U2" s="13" t="s">
        <v>44</v>
      </c>
      <c r="V2" s="14"/>
      <c r="W2" s="14"/>
      <c r="X2" s="14"/>
      <c r="Y2" s="14"/>
      <c r="Z2" s="15"/>
      <c r="AA2" s="15"/>
      <c r="AB2" s="15"/>
      <c r="AC2" s="15"/>
      <c r="AD2" s="15"/>
      <c r="AE2" s="89"/>
      <c r="AF2" s="89"/>
      <c r="AG2" s="90"/>
    </row>
    <row r="3" spans="2:50" ht="16.899999999999999" customHeight="1" thickBot="1">
      <c r="B3" s="64"/>
      <c r="I3" s="141"/>
      <c r="J3" s="142"/>
      <c r="K3" s="145"/>
      <c r="L3" s="146"/>
      <c r="M3" s="150"/>
      <c r="N3" s="151"/>
      <c r="O3" s="151"/>
      <c r="P3" s="151"/>
      <c r="Q3" s="152"/>
      <c r="R3" s="156" t="s">
        <v>2</v>
      </c>
      <c r="S3" s="157"/>
      <c r="T3" s="158"/>
      <c r="U3" s="16" t="s">
        <v>45</v>
      </c>
      <c r="V3" s="17"/>
      <c r="W3" s="17"/>
      <c r="X3" s="17"/>
      <c r="Y3" s="17"/>
      <c r="Z3" s="17"/>
      <c r="AA3" s="17"/>
      <c r="AB3" s="17"/>
      <c r="AC3" s="17"/>
      <c r="AD3" s="17"/>
      <c r="AE3" s="91"/>
      <c r="AF3" s="91"/>
      <c r="AG3" s="92"/>
    </row>
    <row r="4" spans="2:50" s="23" customFormat="1" ht="16.899999999999999" customHeight="1">
      <c r="B4" s="65" t="s">
        <v>3</v>
      </c>
      <c r="C4" s="18"/>
      <c r="D4" s="103" t="s">
        <v>4</v>
      </c>
      <c r="E4" s="102">
        <f>E5+E7/2</f>
        <v>0.25</v>
      </c>
      <c r="F4" s="105" t="s">
        <v>34</v>
      </c>
      <c r="G4" s="106">
        <f>G5+G7/2</f>
        <v>0.24</v>
      </c>
      <c r="H4" s="107"/>
      <c r="I4" s="108"/>
      <c r="Z4" s="164" t="str">
        <f ca="1">"MÊS: "&amp;MID(CELL("nome.arquivo"),SEARCH(".xl",CELL("nome.arquivo"))-2,2)</f>
        <v>MÊS: 03</v>
      </c>
      <c r="AA4" s="159"/>
      <c r="AB4" s="159"/>
      <c r="AC4" s="159"/>
      <c r="AD4" s="159" t="str">
        <f ca="1">"ANO: 20"&amp;MID(CELL("nome.arquivo"),SEARCH(".xl",CELL("nome.arquivo"))-4,2)</f>
        <v>ANO: 2022</v>
      </c>
      <c r="AE4" s="159"/>
      <c r="AF4" s="159"/>
      <c r="AG4" s="160"/>
    </row>
    <row r="5" spans="2:50" s="23" customFormat="1" ht="16.899999999999999" customHeight="1" thickBot="1">
      <c r="B5" s="66" t="s">
        <v>54</v>
      </c>
      <c r="C5" s="24" t="s">
        <v>5</v>
      </c>
      <c r="D5" s="101" t="s">
        <v>6</v>
      </c>
      <c r="E5" s="100">
        <v>0.22</v>
      </c>
      <c r="F5" s="109" t="s">
        <v>6</v>
      </c>
      <c r="G5" s="110">
        <f>E5</f>
        <v>0.22</v>
      </c>
      <c r="H5" s="107"/>
      <c r="I5" s="23" t="s">
        <v>33</v>
      </c>
      <c r="R5" s="23" t="s">
        <v>7</v>
      </c>
      <c r="Z5" s="165"/>
      <c r="AA5" s="161"/>
      <c r="AB5" s="161"/>
      <c r="AC5" s="161"/>
      <c r="AD5" s="161"/>
      <c r="AE5" s="161"/>
      <c r="AF5" s="161"/>
      <c r="AG5" s="162"/>
    </row>
    <row r="6" spans="2:50" s="23" customFormat="1" ht="16.899999999999999" customHeight="1">
      <c r="B6" s="67" t="s">
        <v>8</v>
      </c>
      <c r="C6" s="29"/>
      <c r="D6" s="101" t="s">
        <v>9</v>
      </c>
      <c r="E6" s="100">
        <f>E5-E7/2</f>
        <v>0.19</v>
      </c>
      <c r="F6" s="109" t="s">
        <v>35</v>
      </c>
      <c r="G6" s="110">
        <f>G5-G7/2</f>
        <v>0.2</v>
      </c>
      <c r="H6" s="107"/>
      <c r="I6" s="23" t="s">
        <v>10</v>
      </c>
      <c r="R6" s="23" t="s">
        <v>11</v>
      </c>
      <c r="AC6" s="68"/>
      <c r="AD6" s="68"/>
      <c r="AG6" s="69"/>
    </row>
    <row r="7" spans="2:50" s="23" customFormat="1" ht="16.899999999999999" customHeight="1" thickBot="1">
      <c r="B7" s="70"/>
      <c r="C7" s="71" t="s">
        <v>12</v>
      </c>
      <c r="D7" s="99" t="s">
        <v>4</v>
      </c>
      <c r="E7" s="98">
        <v>0.06</v>
      </c>
      <c r="F7" s="111" t="s">
        <v>34</v>
      </c>
      <c r="G7" s="112">
        <v>0.04</v>
      </c>
      <c r="H7" s="113"/>
      <c r="I7" s="72" t="s">
        <v>13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3"/>
      <c r="AD7" s="73"/>
      <c r="AE7" s="72"/>
      <c r="AF7" s="72"/>
      <c r="AG7" s="74"/>
    </row>
    <row r="8" spans="2:50" s="23" customFormat="1" ht="4.5" customHeight="1" thickBot="1"/>
    <row r="9" spans="2:50" s="31" customFormat="1">
      <c r="B9" s="30" t="s">
        <v>14</v>
      </c>
      <c r="C9" s="60">
        <v>1</v>
      </c>
      <c r="D9" s="60">
        <v>2</v>
      </c>
      <c r="E9" s="60">
        <v>3</v>
      </c>
      <c r="F9" s="60">
        <v>4</v>
      </c>
      <c r="G9" s="60">
        <v>5</v>
      </c>
      <c r="H9" s="60">
        <v>6</v>
      </c>
      <c r="I9" s="60">
        <v>7</v>
      </c>
      <c r="J9" s="60">
        <v>8</v>
      </c>
      <c r="K9" s="60">
        <v>9</v>
      </c>
      <c r="L9" s="60">
        <v>10</v>
      </c>
      <c r="M9" s="60">
        <v>11</v>
      </c>
      <c r="N9" s="60">
        <v>12</v>
      </c>
      <c r="O9" s="60">
        <v>13</v>
      </c>
      <c r="P9" s="60">
        <v>14</v>
      </c>
      <c r="Q9" s="60">
        <v>15</v>
      </c>
      <c r="R9" s="60">
        <v>16</v>
      </c>
      <c r="S9" s="60">
        <v>17</v>
      </c>
      <c r="T9" s="60">
        <v>18</v>
      </c>
      <c r="U9" s="60">
        <v>19</v>
      </c>
      <c r="V9" s="60">
        <v>20</v>
      </c>
      <c r="W9" s="60">
        <v>21</v>
      </c>
      <c r="X9" s="60">
        <v>22</v>
      </c>
      <c r="Y9" s="60">
        <v>23</v>
      </c>
      <c r="Z9" s="60">
        <v>24</v>
      </c>
      <c r="AA9" s="60">
        <v>25</v>
      </c>
      <c r="AB9" s="60">
        <v>26</v>
      </c>
      <c r="AC9" s="60">
        <v>27</v>
      </c>
      <c r="AD9" s="60">
        <v>28</v>
      </c>
      <c r="AE9" s="60">
        <v>29</v>
      </c>
      <c r="AF9" s="60">
        <v>30</v>
      </c>
      <c r="AG9" s="61">
        <v>31</v>
      </c>
    </row>
    <row r="10" spans="2:50" s="31" customFormat="1" ht="14.1" customHeight="1">
      <c r="B10" s="32" t="s">
        <v>15</v>
      </c>
      <c r="C10" s="114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1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1" customFormat="1" ht="14.1" customHeight="1">
      <c r="B11" s="33" t="s">
        <v>37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1" customFormat="1" ht="12" customHeight="1">
      <c r="B12" s="34"/>
      <c r="AG12" s="35"/>
    </row>
    <row r="13" spans="2:50" s="31" customFormat="1" ht="12" customHeight="1">
      <c r="B13" s="163"/>
      <c r="AG13" s="35"/>
    </row>
    <row r="14" spans="2:50" s="31" customFormat="1" ht="12" customHeight="1">
      <c r="B14" s="163"/>
      <c r="AG14" s="35"/>
    </row>
    <row r="15" spans="2:50" s="31" customFormat="1" ht="12" customHeight="1">
      <c r="B15" s="138"/>
      <c r="AG15" s="35"/>
    </row>
    <row r="16" spans="2:50" s="31" customFormat="1" ht="12" customHeight="1">
      <c r="B16" s="138"/>
      <c r="AG16" s="35"/>
    </row>
    <row r="17" spans="2:33" s="31" customFormat="1" ht="12" customHeight="1">
      <c r="B17" s="138"/>
      <c r="AG17" s="35"/>
    </row>
    <row r="18" spans="2:33" s="31" customFormat="1" ht="12" customHeight="1">
      <c r="B18" s="138"/>
      <c r="AG18" s="35"/>
    </row>
    <row r="19" spans="2:33" s="31" customFormat="1" ht="12" customHeight="1">
      <c r="B19" s="138"/>
      <c r="AG19" s="35"/>
    </row>
    <row r="20" spans="2:33" s="31" customFormat="1" ht="12" customHeight="1">
      <c r="B20" s="138"/>
      <c r="AG20" s="35"/>
    </row>
    <row r="21" spans="2:33" s="31" customFormat="1" ht="12" customHeight="1">
      <c r="B21" s="138"/>
      <c r="AG21" s="35"/>
    </row>
    <row r="22" spans="2:33" s="31" customFormat="1" ht="12" customHeight="1">
      <c r="B22" s="138"/>
      <c r="AG22" s="35"/>
    </row>
    <row r="23" spans="2:33" s="31" customFormat="1" ht="12" customHeight="1">
      <c r="B23" s="163"/>
      <c r="AG23" s="35"/>
    </row>
    <row r="24" spans="2:33" s="31" customFormat="1" ht="12" customHeight="1">
      <c r="B24" s="163"/>
      <c r="AG24" s="35"/>
    </row>
    <row r="25" spans="2:33" s="31" customFormat="1" ht="12" customHeight="1">
      <c r="B25" s="138"/>
      <c r="AG25" s="35"/>
    </row>
    <row r="26" spans="2:33" s="31" customFormat="1" ht="12" customHeight="1">
      <c r="B26" s="138"/>
      <c r="AG26" s="35"/>
    </row>
    <row r="27" spans="2:33" s="31" customFormat="1" ht="12" customHeight="1">
      <c r="B27" s="138"/>
      <c r="AG27" s="35"/>
    </row>
    <row r="28" spans="2:33" s="31" customFormat="1" ht="12" customHeight="1">
      <c r="B28" s="138"/>
      <c r="AG28" s="35"/>
    </row>
    <row r="29" spans="2:33" s="31" customFormat="1" ht="12" customHeight="1">
      <c r="B29" s="138"/>
      <c r="AG29" s="35"/>
    </row>
    <row r="30" spans="2:33" s="31" customFormat="1" ht="12" customHeight="1">
      <c r="B30" s="138"/>
      <c r="AG30" s="35"/>
    </row>
    <row r="31" spans="2:33" s="31" customFormat="1" ht="12" customHeight="1">
      <c r="B31" s="138"/>
      <c r="AG31" s="35"/>
    </row>
    <row r="32" spans="2:33" s="31" customFormat="1" ht="12" customHeight="1">
      <c r="B32" s="138"/>
      <c r="AG32" s="35"/>
    </row>
    <row r="33" spans="2:33" s="31" customFormat="1" ht="12" customHeight="1">
      <c r="B33" s="163"/>
      <c r="AG33" s="35"/>
    </row>
    <row r="34" spans="2:33" s="31" customFormat="1" ht="12" customHeight="1">
      <c r="B34" s="163"/>
      <c r="AG34" s="35"/>
    </row>
    <row r="35" spans="2:33" s="31" customFormat="1" ht="12" customHeight="1" thickBot="1">
      <c r="B35" s="36"/>
      <c r="AG35" s="35"/>
    </row>
    <row r="36" spans="2:33" s="31" customFormat="1" ht="12" customHeight="1">
      <c r="B36" s="17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8"/>
    </row>
    <row r="37" spans="2:33" s="31" customFormat="1" ht="12" customHeight="1">
      <c r="B37" s="163"/>
      <c r="AG37" s="35"/>
    </row>
    <row r="38" spans="2:33" s="31" customFormat="1" ht="12" customHeight="1">
      <c r="B38" s="79"/>
      <c r="AG38" s="35"/>
    </row>
    <row r="39" spans="2:33" s="31" customFormat="1" ht="12" customHeight="1">
      <c r="B39" s="79"/>
      <c r="AG39" s="35"/>
    </row>
    <row r="40" spans="2:33" s="31" customFormat="1" ht="12" customHeight="1">
      <c r="B40" s="79"/>
      <c r="AG40" s="35"/>
    </row>
    <row r="41" spans="2:33" s="31" customFormat="1" ht="12" customHeight="1">
      <c r="B41" s="163"/>
      <c r="AG41" s="35"/>
    </row>
    <row r="42" spans="2:33" s="31" customFormat="1" ht="12" customHeight="1">
      <c r="B42" s="163"/>
      <c r="AG42" s="35"/>
    </row>
    <row r="43" spans="2:33" s="31" customFormat="1" ht="12" customHeight="1">
      <c r="B43" s="79"/>
      <c r="AG43" s="35"/>
    </row>
    <row r="44" spans="2:33" s="31" customFormat="1" ht="12" customHeight="1">
      <c r="B44" s="79"/>
      <c r="AG44" s="35"/>
    </row>
    <row r="45" spans="2:33" s="31" customFormat="1" ht="12" customHeight="1">
      <c r="B45" s="79"/>
      <c r="AG45" s="35"/>
    </row>
    <row r="46" spans="2:33" s="31" customFormat="1" ht="12" customHeight="1" thickBot="1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1"/>
    </row>
    <row r="47" spans="2:33" s="31" customFormat="1" ht="6" customHeight="1">
      <c r="B47" s="93"/>
      <c r="AG47" s="35"/>
    </row>
    <row r="48" spans="2:33" s="42" customFormat="1" ht="15" customHeight="1">
      <c r="B48" s="94">
        <v>1</v>
      </c>
      <c r="C48" s="95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7"/>
    </row>
    <row r="49" spans="2:55" s="42" customFormat="1" ht="15" customHeight="1">
      <c r="B49" s="43">
        <v>2</v>
      </c>
      <c r="C49" s="7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9"/>
    </row>
    <row r="50" spans="2:55" s="42" customFormat="1" ht="15" customHeight="1">
      <c r="B50" s="43">
        <v>3</v>
      </c>
      <c r="C50" s="7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9"/>
    </row>
    <row r="51" spans="2:55" s="42" customFormat="1" ht="15" customHeight="1">
      <c r="B51" s="43">
        <v>4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9"/>
    </row>
    <row r="52" spans="2:55" s="42" customFormat="1" ht="15" customHeight="1">
      <c r="B52" s="47">
        <v>5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9"/>
    </row>
    <row r="53" spans="2:55" s="42" customFormat="1" ht="15" customHeight="1">
      <c r="B53" s="47" t="s">
        <v>16</v>
      </c>
      <c r="C53" s="44" t="str">
        <f t="shared" ref="C53:AG53" si="0">IF(ISERR(AVERAGE(C48:C52))," ",AVERAGE(C48:C52))</f>
        <v xml:space="preserve"> </v>
      </c>
      <c r="D53" s="45" t="str">
        <f t="shared" si="0"/>
        <v xml:space="preserve"> </v>
      </c>
      <c r="E53" s="45" t="str">
        <f t="shared" si="0"/>
        <v xml:space="preserve"> </v>
      </c>
      <c r="F53" s="45" t="str">
        <f t="shared" si="0"/>
        <v xml:space="preserve"> </v>
      </c>
      <c r="G53" s="45" t="str">
        <f t="shared" si="0"/>
        <v xml:space="preserve"> </v>
      </c>
      <c r="H53" s="45" t="str">
        <f t="shared" si="0"/>
        <v xml:space="preserve"> </v>
      </c>
      <c r="I53" s="45" t="str">
        <f t="shared" si="0"/>
        <v xml:space="preserve"> </v>
      </c>
      <c r="J53" s="45" t="str">
        <f t="shared" si="0"/>
        <v xml:space="preserve"> </v>
      </c>
      <c r="K53" s="45" t="str">
        <f t="shared" si="0"/>
        <v xml:space="preserve"> </v>
      </c>
      <c r="L53" s="45" t="str">
        <f t="shared" si="0"/>
        <v xml:space="preserve"> </v>
      </c>
      <c r="M53" s="45" t="str">
        <f t="shared" si="0"/>
        <v xml:space="preserve"> </v>
      </c>
      <c r="N53" s="45" t="str">
        <f t="shared" si="0"/>
        <v xml:space="preserve"> </v>
      </c>
      <c r="O53" s="45" t="str">
        <f t="shared" si="0"/>
        <v xml:space="preserve"> </v>
      </c>
      <c r="P53" s="45" t="str">
        <f t="shared" si="0"/>
        <v xml:space="preserve"> </v>
      </c>
      <c r="Q53" s="45" t="str">
        <f t="shared" si="0"/>
        <v xml:space="preserve"> </v>
      </c>
      <c r="R53" s="45" t="str">
        <f t="shared" si="0"/>
        <v xml:space="preserve"> </v>
      </c>
      <c r="S53" s="45" t="str">
        <f t="shared" si="0"/>
        <v xml:space="preserve"> </v>
      </c>
      <c r="T53" s="45" t="str">
        <f t="shared" si="0"/>
        <v xml:space="preserve"> </v>
      </c>
      <c r="U53" s="45" t="str">
        <f t="shared" si="0"/>
        <v xml:space="preserve"> </v>
      </c>
      <c r="V53" s="45" t="str">
        <f t="shared" si="0"/>
        <v xml:space="preserve"> </v>
      </c>
      <c r="W53" s="45" t="str">
        <f t="shared" si="0"/>
        <v xml:space="preserve"> </v>
      </c>
      <c r="X53" s="45" t="str">
        <f t="shared" si="0"/>
        <v xml:space="preserve"> </v>
      </c>
      <c r="Y53" s="45" t="str">
        <f t="shared" si="0"/>
        <v xml:space="preserve"> </v>
      </c>
      <c r="Z53" s="45" t="str">
        <f t="shared" si="0"/>
        <v xml:space="preserve"> </v>
      </c>
      <c r="AA53" s="45" t="str">
        <f t="shared" si="0"/>
        <v xml:space="preserve"> </v>
      </c>
      <c r="AB53" s="45" t="str">
        <f t="shared" si="0"/>
        <v xml:space="preserve"> </v>
      </c>
      <c r="AC53" s="45" t="str">
        <f t="shared" si="0"/>
        <v xml:space="preserve"> </v>
      </c>
      <c r="AD53" s="45" t="str">
        <f t="shared" si="0"/>
        <v xml:space="preserve"> </v>
      </c>
      <c r="AE53" s="45" t="str">
        <f t="shared" si="0"/>
        <v xml:space="preserve"> </v>
      </c>
      <c r="AF53" s="45" t="str">
        <f t="shared" si="0"/>
        <v xml:space="preserve"> </v>
      </c>
      <c r="AG53" s="46" t="str">
        <f t="shared" si="0"/>
        <v xml:space="preserve"> </v>
      </c>
    </row>
    <row r="54" spans="2:55" s="42" customFormat="1" ht="15" customHeight="1">
      <c r="B54" s="47" t="s">
        <v>12</v>
      </c>
      <c r="C54" s="48">
        <f t="shared" ref="C54:AG54" si="1">MAX(C48:C52)-MIN(C48:C52)</f>
        <v>0</v>
      </c>
      <c r="D54" s="49">
        <f t="shared" si="1"/>
        <v>0</v>
      </c>
      <c r="E54" s="49">
        <f t="shared" si="1"/>
        <v>0</v>
      </c>
      <c r="F54" s="49">
        <f t="shared" si="1"/>
        <v>0</v>
      </c>
      <c r="G54" s="49">
        <f t="shared" si="1"/>
        <v>0</v>
      </c>
      <c r="H54" s="49">
        <f t="shared" si="1"/>
        <v>0</v>
      </c>
      <c r="I54" s="49">
        <f t="shared" si="1"/>
        <v>0</v>
      </c>
      <c r="J54" s="49">
        <f t="shared" si="1"/>
        <v>0</v>
      </c>
      <c r="K54" s="49">
        <f t="shared" si="1"/>
        <v>0</v>
      </c>
      <c r="L54" s="49">
        <f t="shared" si="1"/>
        <v>0</v>
      </c>
      <c r="M54" s="49">
        <f t="shared" si="1"/>
        <v>0</v>
      </c>
      <c r="N54" s="49">
        <f t="shared" si="1"/>
        <v>0</v>
      </c>
      <c r="O54" s="49">
        <f t="shared" si="1"/>
        <v>0</v>
      </c>
      <c r="P54" s="49">
        <f t="shared" si="1"/>
        <v>0</v>
      </c>
      <c r="Q54" s="49">
        <f t="shared" si="1"/>
        <v>0</v>
      </c>
      <c r="R54" s="115">
        <f t="shared" si="1"/>
        <v>0</v>
      </c>
      <c r="S54" s="115">
        <f t="shared" si="1"/>
        <v>0</v>
      </c>
      <c r="T54" s="115">
        <f t="shared" si="1"/>
        <v>0</v>
      </c>
      <c r="U54" s="115">
        <f t="shared" si="1"/>
        <v>0</v>
      </c>
      <c r="V54" s="115">
        <f t="shared" si="1"/>
        <v>0</v>
      </c>
      <c r="W54" s="115">
        <f t="shared" si="1"/>
        <v>0</v>
      </c>
      <c r="X54" s="115">
        <f t="shared" si="1"/>
        <v>0</v>
      </c>
      <c r="Y54" s="115">
        <f t="shared" si="1"/>
        <v>0</v>
      </c>
      <c r="Z54" s="115">
        <f t="shared" si="1"/>
        <v>0</v>
      </c>
      <c r="AA54" s="115">
        <f t="shared" si="1"/>
        <v>0</v>
      </c>
      <c r="AB54" s="115">
        <f t="shared" si="1"/>
        <v>0</v>
      </c>
      <c r="AC54" s="115">
        <f t="shared" si="1"/>
        <v>0</v>
      </c>
      <c r="AD54" s="115">
        <f t="shared" si="1"/>
        <v>0</v>
      </c>
      <c r="AE54" s="115">
        <f t="shared" si="1"/>
        <v>0</v>
      </c>
      <c r="AF54" s="115">
        <f t="shared" si="1"/>
        <v>0</v>
      </c>
      <c r="AG54" s="116">
        <f t="shared" si="1"/>
        <v>0</v>
      </c>
    </row>
    <row r="55" spans="2:55" s="42" customFormat="1" ht="20.100000000000001" customHeight="1">
      <c r="B55" s="50" t="s">
        <v>17</v>
      </c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9"/>
    </row>
    <row r="56" spans="2:55" s="42" customFormat="1" ht="26.25" thickBot="1">
      <c r="B56" s="136" t="s">
        <v>70</v>
      </c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2"/>
    </row>
    <row r="57" spans="2:55" s="31" customFormat="1" ht="20.100000000000001" customHeight="1">
      <c r="B57" s="171" t="s">
        <v>18</v>
      </c>
      <c r="C57" s="172"/>
      <c r="D57" s="172"/>
      <c r="E57" s="173"/>
      <c r="F57" s="51" t="s">
        <v>19</v>
      </c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8"/>
    </row>
    <row r="58" spans="2:55" s="31" customFormat="1" ht="20.100000000000001" customHeight="1">
      <c r="B58" s="52"/>
      <c r="C58" s="23" t="s">
        <v>20</v>
      </c>
      <c r="D58" s="23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1" customFormat="1" ht="20.100000000000001" customHeight="1">
      <c r="B59" s="174" t="s">
        <v>21</v>
      </c>
      <c r="C59" s="175"/>
      <c r="D59" s="175"/>
      <c r="E59" s="35"/>
      <c r="F59" s="1"/>
      <c r="G59" s="1"/>
      <c r="H59" s="1"/>
      <c r="I59" s="1"/>
      <c r="J59" s="1"/>
      <c r="K59" s="1"/>
      <c r="L59" s="1"/>
      <c r="M59" s="1"/>
      <c r="N59" s="1"/>
      <c r="O59" s="123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1" customFormat="1" ht="20.100000000000001" customHeight="1" thickBot="1">
      <c r="B60" s="53"/>
      <c r="C60" s="54" t="s">
        <v>16</v>
      </c>
      <c r="D60" s="40"/>
      <c r="E60" s="41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1" customFormat="1" ht="7.5" customHeight="1"/>
    <row r="62" spans="2:55" s="31" customFormat="1" ht="15.75">
      <c r="B62" s="176" t="s">
        <v>31</v>
      </c>
      <c r="C62" s="177"/>
      <c r="D62" s="177"/>
      <c r="E62" s="177"/>
      <c r="F62" s="177"/>
      <c r="G62" s="166" t="s">
        <v>22</v>
      </c>
      <c r="H62" s="166"/>
      <c r="I62" s="166"/>
      <c r="J62" s="166"/>
      <c r="K62" s="167"/>
      <c r="L62" s="166" t="s">
        <v>30</v>
      </c>
      <c r="M62" s="166"/>
      <c r="N62" s="166"/>
      <c r="O62" s="166"/>
      <c r="P62" s="166"/>
      <c r="Q62" s="166"/>
      <c r="R62" s="166"/>
      <c r="S62" s="177" t="s">
        <v>32</v>
      </c>
      <c r="T62" s="177"/>
      <c r="U62" s="177"/>
      <c r="V62" s="177"/>
      <c r="W62" s="180" t="s">
        <v>46</v>
      </c>
      <c r="X62" s="177"/>
      <c r="Y62" s="177"/>
      <c r="Z62" s="177"/>
      <c r="AA62" s="177"/>
      <c r="AB62" s="177"/>
      <c r="AC62" s="177" t="s">
        <v>22</v>
      </c>
      <c r="AD62" s="177"/>
      <c r="AE62" s="177"/>
      <c r="AF62" s="177"/>
      <c r="AG62" s="182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</row>
    <row r="63" spans="2:55" s="31" customFormat="1" ht="15.75">
      <c r="B63" s="178"/>
      <c r="C63" s="179"/>
      <c r="D63" s="179"/>
      <c r="E63" s="179"/>
      <c r="F63" s="179"/>
      <c r="G63" s="168"/>
      <c r="H63" s="168"/>
      <c r="I63" s="168"/>
      <c r="J63" s="168"/>
      <c r="K63" s="169"/>
      <c r="L63" s="168"/>
      <c r="M63" s="168"/>
      <c r="N63" s="168"/>
      <c r="O63" s="168"/>
      <c r="P63" s="168"/>
      <c r="Q63" s="168"/>
      <c r="R63" s="168"/>
      <c r="S63" s="179"/>
      <c r="T63" s="179"/>
      <c r="U63" s="179"/>
      <c r="V63" s="179"/>
      <c r="W63" s="181"/>
      <c r="X63" s="179"/>
      <c r="Y63" s="179"/>
      <c r="Z63" s="179"/>
      <c r="AA63" s="179"/>
      <c r="AB63" s="179"/>
      <c r="AC63" s="179"/>
      <c r="AD63" s="179"/>
      <c r="AE63" s="179"/>
      <c r="AF63" s="179"/>
      <c r="AG63" s="183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</row>
    <row r="64" spans="2:55" ht="14.25">
      <c r="B64" s="56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6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</row>
    <row r="65" spans="2:5">
      <c r="B65" s="10" t="s">
        <v>25</v>
      </c>
    </row>
    <row r="66" spans="2:5">
      <c r="B66" s="10" t="s">
        <v>23</v>
      </c>
      <c r="C66" s="58" t="e">
        <f>AVERAGE(C53:AG53)+0.577*C69</f>
        <v>#DIV/0!</v>
      </c>
    </row>
    <row r="67" spans="2:5">
      <c r="B67" s="10" t="s">
        <v>5</v>
      </c>
      <c r="C67" s="58" t="e">
        <f>AVERAGE(C53:AG53)</f>
        <v>#DIV/0!</v>
      </c>
      <c r="D67" s="59" t="s">
        <v>26</v>
      </c>
      <c r="E67" s="10" t="e">
        <f>STDEV(C48:AF52)</f>
        <v>#DIV/0!</v>
      </c>
    </row>
    <row r="68" spans="2:5">
      <c r="B68" s="10" t="s">
        <v>24</v>
      </c>
      <c r="C68" s="58" t="e">
        <f>C67-0.577*C69</f>
        <v>#DIV/0!</v>
      </c>
    </row>
    <row r="69" spans="2:5">
      <c r="B69" s="10" t="s">
        <v>12</v>
      </c>
      <c r="C69" s="58" t="e">
        <f>2.115*(SUM(C54:AG54)/COUNTIF(C54:AG54,"&lt;&gt;0"))</f>
        <v>#DIV/0!</v>
      </c>
    </row>
    <row r="71" spans="2:5">
      <c r="B71" s="10" t="s">
        <v>27</v>
      </c>
    </row>
    <row r="73" spans="2:5">
      <c r="B73" s="10" t="s">
        <v>28</v>
      </c>
      <c r="C73" s="58" t="e">
        <f>E7/(6*E67)</f>
        <v>#DIV/0!</v>
      </c>
    </row>
    <row r="74" spans="2:5">
      <c r="B74" s="10" t="s">
        <v>29</v>
      </c>
      <c r="C74" s="58" t="e">
        <f>MIN((E4-C67)/(3*E67),(C67-E6)/(3*E67))</f>
        <v>#DIV/0!</v>
      </c>
    </row>
    <row r="75" spans="2:5">
      <c r="C75" s="10">
        <f>COUNTIF(C10:AG10,"&gt;0")</f>
        <v>0</v>
      </c>
    </row>
  </sheetData>
  <sheetProtection sheet="1" objects="1" scenarios="1" selectLockedCells="1"/>
  <mergeCells count="29">
    <mergeCell ref="L62:R63"/>
    <mergeCell ref="S62:V63"/>
    <mergeCell ref="W62:AB63"/>
    <mergeCell ref="AC62:AG63"/>
    <mergeCell ref="AS64:BC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D4:AG5"/>
    <mergeCell ref="B13:B14"/>
    <mergeCell ref="B15:B16"/>
    <mergeCell ref="B17:B18"/>
    <mergeCell ref="B19:B20"/>
    <mergeCell ref="Z4:AC5"/>
    <mergeCell ref="B21:B22"/>
    <mergeCell ref="I2:J3"/>
    <mergeCell ref="K2:L3"/>
    <mergeCell ref="M2:Q3"/>
    <mergeCell ref="R2:T2"/>
    <mergeCell ref="R3:T3"/>
  </mergeCells>
  <conditionalFormatting sqref="C48:AG52">
    <cfRule type="expression" dxfId="25" priority="3">
      <formula>(C48&gt;$G$4)*(C48&lt;&gt;0)</formula>
    </cfRule>
    <cfRule type="expression" dxfId="24" priority="4">
      <formula>(C48&lt;$G$6)*(C48&lt;&gt;0)</formula>
    </cfRule>
  </conditionalFormatting>
  <dataValidations count="3">
    <dataValidation type="list" showErrorMessage="1" promptTitle="Turno" prompt="Escolha" sqref="C11:O11 Q11:AG11" xr:uid="{00000000-0002-0000-0100-000000000000}">
      <formula1>Turnos</formula1>
    </dataValidation>
    <dataValidation type="whole" showErrorMessage="1" errorTitle="Data" error="Digite apenas o dia entre 1 e 31" sqref="C10:D10" xr:uid="{00000000-0002-0000-0100-000001000000}">
      <formula1>1</formula1>
      <formula2>31</formula2>
    </dataValidation>
    <dataValidation type="whole" showInputMessage="1" showErrorMessage="1" errorTitle="Data" error="Digite apenas o dia entre 1 e 31" sqref="E10:O10 Q10:AG10 P11" xr:uid="{00000000-0002-0000-01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16-088-03</oddFooter>
  </headerFooter>
  <ignoredErrors>
    <ignoredError sqref="C74" evalErro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02">
    <tabColor indexed="47"/>
    <pageSetUpPr fitToPage="1"/>
  </sheetPr>
  <dimension ref="B1:BC75"/>
  <sheetViews>
    <sheetView showZeros="0" topLeftCell="A4" zoomScaleNormal="100" workbookViewId="0">
      <pane ySplit="1" topLeftCell="A14" activePane="bottomLeft" state="frozen"/>
      <selection activeCell="A4" sqref="A4"/>
      <selection pane="bottomLeft" activeCell="P55" sqref="P55"/>
    </sheetView>
  </sheetViews>
  <sheetFormatPr defaultColWidth="10.28515625" defaultRowHeight="12.75"/>
  <cols>
    <col min="1" max="1" width="1.5703125" style="10" customWidth="1"/>
    <col min="2" max="2" width="16.140625" style="10" customWidth="1"/>
    <col min="3" max="33" width="6.7109375" style="10" customWidth="1"/>
    <col min="34" max="34" width="3.140625" style="10" customWidth="1"/>
    <col min="35" max="55" width="6.7109375" style="10" customWidth="1"/>
    <col min="56" max="16384" width="10.28515625" style="10"/>
  </cols>
  <sheetData>
    <row r="1" spans="2:50" ht="21.75" thickBot="1">
      <c r="B1" s="80" t="s">
        <v>42</v>
      </c>
      <c r="C1" s="81"/>
      <c r="D1" s="81"/>
      <c r="E1" s="81"/>
      <c r="F1" s="82"/>
      <c r="G1" s="82"/>
      <c r="H1" s="83"/>
      <c r="I1" s="104" t="s">
        <v>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3"/>
      <c r="AX1" s="11"/>
    </row>
    <row r="2" spans="2:50" s="12" customFormat="1" ht="19.5" customHeight="1">
      <c r="B2" s="84" t="s">
        <v>43</v>
      </c>
      <c r="C2" s="85"/>
      <c r="D2" s="86"/>
      <c r="E2" s="86"/>
      <c r="F2" s="87"/>
      <c r="G2" s="87"/>
      <c r="H2" s="88"/>
      <c r="I2" s="139" t="s">
        <v>0</v>
      </c>
      <c r="J2" s="140"/>
      <c r="K2" s="143" t="str">
        <f>'P1 - Esp. Lado'!K2:L3</f>
        <v>UM-3</v>
      </c>
      <c r="L2" s="144"/>
      <c r="M2" s="147" t="s">
        <v>53</v>
      </c>
      <c r="N2" s="148"/>
      <c r="O2" s="148"/>
      <c r="P2" s="148"/>
      <c r="Q2" s="149"/>
      <c r="R2" s="153" t="s">
        <v>1</v>
      </c>
      <c r="S2" s="154"/>
      <c r="T2" s="155"/>
      <c r="U2" s="13" t="s">
        <v>44</v>
      </c>
      <c r="V2" s="14"/>
      <c r="W2" s="14"/>
      <c r="X2" s="14"/>
      <c r="Y2" s="14"/>
      <c r="Z2" s="15"/>
      <c r="AA2" s="15"/>
      <c r="AB2" s="15"/>
      <c r="AC2" s="15"/>
      <c r="AD2" s="15"/>
      <c r="AE2" s="89"/>
      <c r="AF2" s="89"/>
      <c r="AG2" s="90"/>
    </row>
    <row r="3" spans="2:50" ht="16.899999999999999" customHeight="1" thickBot="1">
      <c r="B3" s="64"/>
      <c r="I3" s="141"/>
      <c r="J3" s="142"/>
      <c r="K3" s="145"/>
      <c r="L3" s="146"/>
      <c r="M3" s="150"/>
      <c r="N3" s="151"/>
      <c r="O3" s="151"/>
      <c r="P3" s="151"/>
      <c r="Q3" s="152"/>
      <c r="R3" s="156" t="s">
        <v>2</v>
      </c>
      <c r="S3" s="157"/>
      <c r="T3" s="158"/>
      <c r="U3" s="16" t="s">
        <v>50</v>
      </c>
      <c r="V3" s="17"/>
      <c r="W3" s="17"/>
      <c r="X3" s="17"/>
      <c r="Y3" s="17"/>
      <c r="Z3" s="17"/>
      <c r="AA3" s="17"/>
      <c r="AB3" s="17"/>
      <c r="AC3" s="17"/>
      <c r="AD3" s="17"/>
      <c r="AE3" s="91"/>
      <c r="AF3" s="91"/>
      <c r="AG3" s="92"/>
    </row>
    <row r="4" spans="2:50" s="23" customFormat="1" ht="16.899999999999999" customHeight="1">
      <c r="B4" s="65" t="s">
        <v>3</v>
      </c>
      <c r="C4" s="18"/>
      <c r="D4" s="103" t="s">
        <v>4</v>
      </c>
      <c r="E4" s="102">
        <f>E5+E7/2</f>
        <v>0.5</v>
      </c>
      <c r="F4" s="105" t="s">
        <v>34</v>
      </c>
      <c r="G4" s="106">
        <f>G5+G7/2</f>
        <v>0.48000000000000004</v>
      </c>
      <c r="H4" s="107"/>
      <c r="I4" s="108"/>
      <c r="Z4" s="164" t="str">
        <f ca="1">'P1 - Esp. Lado'!$Z$4:$AC$5</f>
        <v>MÊS: 03</v>
      </c>
      <c r="AA4" s="159"/>
      <c r="AB4" s="159"/>
      <c r="AC4" s="159"/>
      <c r="AD4" s="159" t="str">
        <f ca="1">'P1 - Esp. Lado'!$AD$4:$AG$5</f>
        <v>ANO: 2022</v>
      </c>
      <c r="AE4" s="159"/>
      <c r="AF4" s="159"/>
      <c r="AG4" s="160"/>
    </row>
    <row r="5" spans="2:50" s="23" customFormat="1" ht="16.899999999999999" customHeight="1" thickBot="1">
      <c r="B5" s="66" t="str">
        <f>'P1 - Esp. Lado'!B5</f>
        <v>SJCPIL-I 16-013-XX</v>
      </c>
      <c r="C5" s="24" t="s">
        <v>5</v>
      </c>
      <c r="D5" s="101" t="s">
        <v>6</v>
      </c>
      <c r="E5" s="100">
        <v>0.4</v>
      </c>
      <c r="F5" s="109" t="s">
        <v>6</v>
      </c>
      <c r="G5" s="110">
        <f>E5</f>
        <v>0.4</v>
      </c>
      <c r="H5" s="107"/>
      <c r="I5" s="23" t="s">
        <v>33</v>
      </c>
      <c r="R5" s="23" t="s">
        <v>7</v>
      </c>
      <c r="Z5" s="165"/>
      <c r="AA5" s="161"/>
      <c r="AB5" s="161"/>
      <c r="AC5" s="161"/>
      <c r="AD5" s="161"/>
      <c r="AE5" s="161"/>
      <c r="AF5" s="161"/>
      <c r="AG5" s="162"/>
    </row>
    <row r="6" spans="2:50" s="23" customFormat="1" ht="16.899999999999999" customHeight="1">
      <c r="B6" s="67" t="s">
        <v>8</v>
      </c>
      <c r="C6" s="29"/>
      <c r="D6" s="101" t="s">
        <v>9</v>
      </c>
      <c r="E6" s="100">
        <f>E5-E7/2</f>
        <v>0.30000000000000004</v>
      </c>
      <c r="F6" s="109" t="s">
        <v>35</v>
      </c>
      <c r="G6" s="110">
        <f>G5-G7/2</f>
        <v>0.32</v>
      </c>
      <c r="H6" s="107"/>
      <c r="I6" s="23" t="s">
        <v>10</v>
      </c>
      <c r="R6" s="23" t="s">
        <v>11</v>
      </c>
      <c r="AC6" s="68"/>
      <c r="AD6" s="68"/>
      <c r="AG6" s="69"/>
    </row>
    <row r="7" spans="2:50" s="23" customFormat="1" ht="16.899999999999999" customHeight="1" thickBot="1">
      <c r="B7" s="70"/>
      <c r="C7" s="71" t="s">
        <v>12</v>
      </c>
      <c r="D7" s="99" t="s">
        <v>4</v>
      </c>
      <c r="E7" s="98">
        <v>0.2</v>
      </c>
      <c r="F7" s="111" t="s">
        <v>34</v>
      </c>
      <c r="G7" s="112">
        <v>0.16</v>
      </c>
      <c r="H7" s="113"/>
      <c r="I7" s="72" t="s">
        <v>13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3"/>
      <c r="AD7" s="73"/>
      <c r="AE7" s="72"/>
      <c r="AF7" s="72"/>
      <c r="AG7" s="74"/>
    </row>
    <row r="8" spans="2:50" s="23" customFormat="1" ht="4.5" customHeight="1" thickBot="1"/>
    <row r="9" spans="2:50" s="31" customFormat="1">
      <c r="B9" s="30" t="s">
        <v>14</v>
      </c>
      <c r="C9" s="60">
        <v>1</v>
      </c>
      <c r="D9" s="60">
        <v>2</v>
      </c>
      <c r="E9" s="60">
        <v>3</v>
      </c>
      <c r="F9" s="60">
        <v>4</v>
      </c>
      <c r="G9" s="60">
        <v>5</v>
      </c>
      <c r="H9" s="60">
        <v>6</v>
      </c>
      <c r="I9" s="60">
        <v>7</v>
      </c>
      <c r="J9" s="60">
        <v>8</v>
      </c>
      <c r="K9" s="60">
        <v>9</v>
      </c>
      <c r="L9" s="60">
        <v>10</v>
      </c>
      <c r="M9" s="60">
        <v>11</v>
      </c>
      <c r="N9" s="60">
        <v>12</v>
      </c>
      <c r="O9" s="60">
        <v>13</v>
      </c>
      <c r="P9" s="60">
        <v>14</v>
      </c>
      <c r="Q9" s="60">
        <v>15</v>
      </c>
      <c r="R9" s="60">
        <v>16</v>
      </c>
      <c r="S9" s="60">
        <v>17</v>
      </c>
      <c r="T9" s="60">
        <v>18</v>
      </c>
      <c r="U9" s="60">
        <v>19</v>
      </c>
      <c r="V9" s="60">
        <v>20</v>
      </c>
      <c r="W9" s="60">
        <v>21</v>
      </c>
      <c r="X9" s="60">
        <v>22</v>
      </c>
      <c r="Y9" s="60">
        <v>23</v>
      </c>
      <c r="Z9" s="60">
        <v>24</v>
      </c>
      <c r="AA9" s="60">
        <v>25</v>
      </c>
      <c r="AB9" s="60">
        <v>26</v>
      </c>
      <c r="AC9" s="60">
        <v>27</v>
      </c>
      <c r="AD9" s="60">
        <v>28</v>
      </c>
      <c r="AE9" s="60">
        <v>29</v>
      </c>
      <c r="AF9" s="60">
        <v>30</v>
      </c>
      <c r="AG9" s="61">
        <v>31</v>
      </c>
    </row>
    <row r="10" spans="2:50" s="31" customFormat="1" ht="14.1" customHeight="1">
      <c r="B10" s="32" t="s">
        <v>15</v>
      </c>
      <c r="C10" s="114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1" customFormat="1" ht="14.1" customHeight="1">
      <c r="B11" s="33" t="s">
        <v>37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1" customFormat="1" ht="12" customHeight="1">
      <c r="B12" s="34"/>
      <c r="AG12" s="35"/>
    </row>
    <row r="13" spans="2:50" s="31" customFormat="1" ht="12" customHeight="1">
      <c r="B13" s="163"/>
      <c r="AG13" s="35"/>
    </row>
    <row r="14" spans="2:50" s="31" customFormat="1" ht="12" customHeight="1">
      <c r="B14" s="163"/>
      <c r="AG14" s="35"/>
    </row>
    <row r="15" spans="2:50" s="31" customFormat="1" ht="12" customHeight="1">
      <c r="B15" s="138"/>
      <c r="AG15" s="35"/>
    </row>
    <row r="16" spans="2:50" s="31" customFormat="1" ht="12" customHeight="1">
      <c r="B16" s="138"/>
      <c r="AG16" s="35"/>
    </row>
    <row r="17" spans="2:33" s="31" customFormat="1" ht="12" customHeight="1">
      <c r="B17" s="138"/>
      <c r="AG17" s="35"/>
    </row>
    <row r="18" spans="2:33" s="31" customFormat="1" ht="12" customHeight="1">
      <c r="B18" s="138"/>
      <c r="AG18" s="35"/>
    </row>
    <row r="19" spans="2:33" s="31" customFormat="1" ht="12" customHeight="1">
      <c r="B19" s="138"/>
      <c r="AG19" s="35"/>
    </row>
    <row r="20" spans="2:33" s="31" customFormat="1" ht="12" customHeight="1">
      <c r="B20" s="138"/>
      <c r="AG20" s="35"/>
    </row>
    <row r="21" spans="2:33" s="31" customFormat="1" ht="12" customHeight="1">
      <c r="B21" s="138"/>
      <c r="AG21" s="35"/>
    </row>
    <row r="22" spans="2:33" s="31" customFormat="1" ht="12" customHeight="1">
      <c r="B22" s="138"/>
      <c r="AG22" s="35"/>
    </row>
    <row r="23" spans="2:33" s="31" customFormat="1" ht="12" customHeight="1">
      <c r="B23" s="163"/>
      <c r="AG23" s="35"/>
    </row>
    <row r="24" spans="2:33" s="31" customFormat="1" ht="12" customHeight="1">
      <c r="B24" s="163"/>
      <c r="AG24" s="35"/>
    </row>
    <row r="25" spans="2:33" s="31" customFormat="1" ht="12" customHeight="1">
      <c r="B25" s="138"/>
      <c r="AG25" s="35"/>
    </row>
    <row r="26" spans="2:33" s="31" customFormat="1" ht="12" customHeight="1">
      <c r="B26" s="138"/>
      <c r="AG26" s="35"/>
    </row>
    <row r="27" spans="2:33" s="31" customFormat="1" ht="12" customHeight="1">
      <c r="B27" s="138"/>
      <c r="AG27" s="35"/>
    </row>
    <row r="28" spans="2:33" s="31" customFormat="1" ht="12" customHeight="1">
      <c r="B28" s="138"/>
      <c r="AG28" s="35"/>
    </row>
    <row r="29" spans="2:33" s="31" customFormat="1" ht="12" customHeight="1">
      <c r="B29" s="138"/>
      <c r="AG29" s="35"/>
    </row>
    <row r="30" spans="2:33" s="31" customFormat="1" ht="12" customHeight="1">
      <c r="B30" s="138"/>
      <c r="AG30" s="35"/>
    </row>
    <row r="31" spans="2:33" s="31" customFormat="1" ht="12" customHeight="1">
      <c r="B31" s="138"/>
      <c r="AG31" s="35"/>
    </row>
    <row r="32" spans="2:33" s="31" customFormat="1" ht="12" customHeight="1">
      <c r="B32" s="138"/>
      <c r="AG32" s="35"/>
    </row>
    <row r="33" spans="2:33" s="31" customFormat="1" ht="12" customHeight="1">
      <c r="B33" s="163"/>
      <c r="AG33" s="35"/>
    </row>
    <row r="34" spans="2:33" s="31" customFormat="1" ht="12" customHeight="1">
      <c r="B34" s="163"/>
      <c r="AG34" s="35"/>
    </row>
    <row r="35" spans="2:33" s="31" customFormat="1" ht="12" customHeight="1" thickBot="1">
      <c r="B35" s="36"/>
      <c r="AG35" s="35"/>
    </row>
    <row r="36" spans="2:33" s="31" customFormat="1" ht="12" customHeight="1">
      <c r="B36" s="17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8"/>
    </row>
    <row r="37" spans="2:33" s="31" customFormat="1" ht="12" customHeight="1">
      <c r="B37" s="163"/>
      <c r="AG37" s="35"/>
    </row>
    <row r="38" spans="2:33" s="31" customFormat="1" ht="12" customHeight="1">
      <c r="B38" s="79"/>
      <c r="AG38" s="35"/>
    </row>
    <row r="39" spans="2:33" s="31" customFormat="1" ht="12" customHeight="1">
      <c r="B39" s="79"/>
      <c r="AG39" s="35"/>
    </row>
    <row r="40" spans="2:33" s="31" customFormat="1" ht="12" customHeight="1">
      <c r="B40" s="79"/>
      <c r="AG40" s="35"/>
    </row>
    <row r="41" spans="2:33" s="31" customFormat="1" ht="12" customHeight="1">
      <c r="B41" s="163"/>
      <c r="AG41" s="35"/>
    </row>
    <row r="42" spans="2:33" s="31" customFormat="1" ht="12" customHeight="1">
      <c r="B42" s="163"/>
      <c r="AG42" s="35"/>
    </row>
    <row r="43" spans="2:33" s="31" customFormat="1" ht="12" customHeight="1">
      <c r="B43" s="79"/>
      <c r="AG43" s="35"/>
    </row>
    <row r="44" spans="2:33" s="31" customFormat="1" ht="12" customHeight="1">
      <c r="B44" s="79"/>
      <c r="AG44" s="35"/>
    </row>
    <row r="45" spans="2:33" s="31" customFormat="1" ht="12" customHeight="1">
      <c r="B45" s="79"/>
      <c r="AG45" s="35"/>
    </row>
    <row r="46" spans="2:33" s="31" customFormat="1" ht="12" customHeight="1" thickBot="1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1"/>
    </row>
    <row r="47" spans="2:33" s="31" customFormat="1" ht="6" customHeight="1">
      <c r="B47" s="93"/>
      <c r="AG47" s="35"/>
    </row>
    <row r="48" spans="2:33" s="42" customFormat="1" ht="15" customHeight="1">
      <c r="B48" s="94">
        <v>1</v>
      </c>
      <c r="C48" s="95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7"/>
    </row>
    <row r="49" spans="2:55" s="42" customFormat="1" ht="15" customHeight="1">
      <c r="B49" s="43">
        <v>2</v>
      </c>
      <c r="C49" s="7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9"/>
    </row>
    <row r="50" spans="2:55" s="42" customFormat="1" ht="15" customHeight="1">
      <c r="B50" s="43">
        <v>3</v>
      </c>
      <c r="C50" s="7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9"/>
    </row>
    <row r="51" spans="2:55" s="42" customFormat="1" ht="15" customHeight="1">
      <c r="B51" s="43">
        <v>4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9"/>
    </row>
    <row r="52" spans="2:55" s="42" customFormat="1" ht="15" customHeight="1">
      <c r="B52" s="47">
        <v>5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9"/>
    </row>
    <row r="53" spans="2:55" s="42" customFormat="1" ht="15" customHeight="1">
      <c r="B53" s="47" t="s">
        <v>16</v>
      </c>
      <c r="C53" s="44" t="str">
        <f t="shared" ref="C53:AG53" si="0">IF(ISERR(AVERAGE(C48:C52))," ",AVERAGE(C48:C52))</f>
        <v xml:space="preserve"> </v>
      </c>
      <c r="D53" s="45" t="str">
        <f t="shared" si="0"/>
        <v xml:space="preserve"> </v>
      </c>
      <c r="E53" s="45" t="str">
        <f t="shared" si="0"/>
        <v xml:space="preserve"> </v>
      </c>
      <c r="F53" s="45" t="str">
        <f t="shared" si="0"/>
        <v xml:space="preserve"> </v>
      </c>
      <c r="G53" s="45" t="str">
        <f t="shared" si="0"/>
        <v xml:space="preserve"> </v>
      </c>
      <c r="H53" s="45" t="str">
        <f t="shared" si="0"/>
        <v xml:space="preserve"> </v>
      </c>
      <c r="I53" s="45" t="str">
        <f t="shared" si="0"/>
        <v xml:space="preserve"> </v>
      </c>
      <c r="J53" s="45" t="str">
        <f t="shared" si="0"/>
        <v xml:space="preserve"> </v>
      </c>
      <c r="K53" s="45" t="str">
        <f t="shared" si="0"/>
        <v xml:space="preserve"> </v>
      </c>
      <c r="L53" s="45" t="str">
        <f t="shared" si="0"/>
        <v xml:space="preserve"> </v>
      </c>
      <c r="M53" s="45" t="str">
        <f t="shared" si="0"/>
        <v xml:space="preserve"> </v>
      </c>
      <c r="N53" s="45" t="str">
        <f t="shared" si="0"/>
        <v xml:space="preserve"> </v>
      </c>
      <c r="O53" s="45" t="str">
        <f t="shared" si="0"/>
        <v xml:space="preserve"> </v>
      </c>
      <c r="P53" s="45" t="str">
        <f t="shared" si="0"/>
        <v xml:space="preserve"> </v>
      </c>
      <c r="Q53" s="45" t="str">
        <f t="shared" si="0"/>
        <v xml:space="preserve"> </v>
      </c>
      <c r="R53" s="45" t="str">
        <f t="shared" si="0"/>
        <v xml:space="preserve"> </v>
      </c>
      <c r="S53" s="45" t="str">
        <f t="shared" si="0"/>
        <v xml:space="preserve"> </v>
      </c>
      <c r="T53" s="45" t="str">
        <f t="shared" si="0"/>
        <v xml:space="preserve"> </v>
      </c>
      <c r="U53" s="45" t="str">
        <f t="shared" si="0"/>
        <v xml:space="preserve"> </v>
      </c>
      <c r="V53" s="45" t="str">
        <f t="shared" si="0"/>
        <v xml:space="preserve"> </v>
      </c>
      <c r="W53" s="45" t="str">
        <f t="shared" si="0"/>
        <v xml:space="preserve"> </v>
      </c>
      <c r="X53" s="45" t="str">
        <f t="shared" si="0"/>
        <v xml:space="preserve"> </v>
      </c>
      <c r="Y53" s="45" t="str">
        <f t="shared" si="0"/>
        <v xml:space="preserve"> </v>
      </c>
      <c r="Z53" s="45" t="str">
        <f t="shared" si="0"/>
        <v xml:space="preserve"> </v>
      </c>
      <c r="AA53" s="45" t="str">
        <f t="shared" si="0"/>
        <v xml:space="preserve"> </v>
      </c>
      <c r="AB53" s="45" t="str">
        <f t="shared" si="0"/>
        <v xml:space="preserve"> </v>
      </c>
      <c r="AC53" s="45" t="str">
        <f t="shared" si="0"/>
        <v xml:space="preserve"> </v>
      </c>
      <c r="AD53" s="45" t="str">
        <f t="shared" si="0"/>
        <v xml:space="preserve"> </v>
      </c>
      <c r="AE53" s="45" t="str">
        <f t="shared" si="0"/>
        <v xml:space="preserve"> </v>
      </c>
      <c r="AF53" s="45" t="str">
        <f t="shared" si="0"/>
        <v xml:space="preserve"> </v>
      </c>
      <c r="AG53" s="46" t="str">
        <f t="shared" si="0"/>
        <v xml:space="preserve"> </v>
      </c>
    </row>
    <row r="54" spans="2:55" s="42" customFormat="1" ht="15" customHeight="1">
      <c r="B54" s="47" t="s">
        <v>12</v>
      </c>
      <c r="C54" s="48">
        <f t="shared" ref="C54:AG54" si="1">MAX(C48:C52)-MIN(C48:C52)</f>
        <v>0</v>
      </c>
      <c r="D54" s="49">
        <f t="shared" si="1"/>
        <v>0</v>
      </c>
      <c r="E54" s="49">
        <f t="shared" si="1"/>
        <v>0</v>
      </c>
      <c r="F54" s="49">
        <f t="shared" si="1"/>
        <v>0</v>
      </c>
      <c r="G54" s="49">
        <f t="shared" si="1"/>
        <v>0</v>
      </c>
      <c r="H54" s="49">
        <f t="shared" si="1"/>
        <v>0</v>
      </c>
      <c r="I54" s="49">
        <f t="shared" si="1"/>
        <v>0</v>
      </c>
      <c r="J54" s="49">
        <f t="shared" si="1"/>
        <v>0</v>
      </c>
      <c r="K54" s="49">
        <f t="shared" si="1"/>
        <v>0</v>
      </c>
      <c r="L54" s="49">
        <f t="shared" si="1"/>
        <v>0</v>
      </c>
      <c r="M54" s="49">
        <f t="shared" si="1"/>
        <v>0</v>
      </c>
      <c r="N54" s="49">
        <f t="shared" si="1"/>
        <v>0</v>
      </c>
      <c r="O54" s="49">
        <f t="shared" si="1"/>
        <v>0</v>
      </c>
      <c r="P54" s="49">
        <f t="shared" si="1"/>
        <v>0</v>
      </c>
      <c r="Q54" s="49">
        <f t="shared" si="1"/>
        <v>0</v>
      </c>
      <c r="R54" s="115">
        <f t="shared" si="1"/>
        <v>0</v>
      </c>
      <c r="S54" s="115">
        <f t="shared" si="1"/>
        <v>0</v>
      </c>
      <c r="T54" s="115">
        <f t="shared" si="1"/>
        <v>0</v>
      </c>
      <c r="U54" s="115">
        <f t="shared" si="1"/>
        <v>0</v>
      </c>
      <c r="V54" s="115">
        <f t="shared" si="1"/>
        <v>0</v>
      </c>
      <c r="W54" s="115">
        <f t="shared" si="1"/>
        <v>0</v>
      </c>
      <c r="X54" s="115">
        <f t="shared" si="1"/>
        <v>0</v>
      </c>
      <c r="Y54" s="115">
        <f t="shared" si="1"/>
        <v>0</v>
      </c>
      <c r="Z54" s="115">
        <f t="shared" si="1"/>
        <v>0</v>
      </c>
      <c r="AA54" s="115">
        <f t="shared" si="1"/>
        <v>0</v>
      </c>
      <c r="AB54" s="115">
        <f t="shared" si="1"/>
        <v>0</v>
      </c>
      <c r="AC54" s="115">
        <f t="shared" si="1"/>
        <v>0</v>
      </c>
      <c r="AD54" s="115">
        <f t="shared" si="1"/>
        <v>0</v>
      </c>
      <c r="AE54" s="115">
        <f t="shared" si="1"/>
        <v>0</v>
      </c>
      <c r="AF54" s="115">
        <f t="shared" si="1"/>
        <v>0</v>
      </c>
      <c r="AG54" s="116">
        <f t="shared" si="1"/>
        <v>0</v>
      </c>
    </row>
    <row r="55" spans="2:55" s="42" customFormat="1" ht="20.100000000000001" customHeight="1">
      <c r="B55" s="50" t="s">
        <v>17</v>
      </c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9"/>
    </row>
    <row r="56" spans="2:55" s="42" customFormat="1" ht="26.25" thickBot="1">
      <c r="B56" s="136" t="str">
        <f>'P1 - Esp. Lado'!B56</f>
        <v>Visto do Líder / Sublíder</v>
      </c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2"/>
    </row>
    <row r="57" spans="2:55" s="31" customFormat="1" ht="20.100000000000001" customHeight="1">
      <c r="B57" s="171" t="s">
        <v>18</v>
      </c>
      <c r="C57" s="172"/>
      <c r="D57" s="172"/>
      <c r="E57" s="173"/>
      <c r="F57" s="51" t="s">
        <v>19</v>
      </c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8"/>
    </row>
    <row r="58" spans="2:55" s="31" customFormat="1" ht="20.100000000000001" customHeight="1">
      <c r="B58" s="52"/>
      <c r="C58" s="23" t="s">
        <v>20</v>
      </c>
      <c r="D58" s="23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1" customFormat="1" ht="20.100000000000001" customHeight="1">
      <c r="B59" s="174" t="s">
        <v>21</v>
      </c>
      <c r="C59" s="175"/>
      <c r="D59" s="175"/>
      <c r="E59" s="35"/>
      <c r="F59" s="1"/>
      <c r="G59" s="1"/>
      <c r="H59" s="1"/>
      <c r="I59" s="1"/>
      <c r="J59" s="1"/>
      <c r="K59" s="1"/>
      <c r="L59" s="1"/>
      <c r="M59" s="1"/>
      <c r="N59" s="1"/>
      <c r="O59" s="123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1" customFormat="1" ht="20.100000000000001" customHeight="1" thickBot="1">
      <c r="B60" s="53"/>
      <c r="C60" s="54" t="s">
        <v>16</v>
      </c>
      <c r="D60" s="40"/>
      <c r="E60" s="41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1" customFormat="1" ht="7.5" customHeight="1"/>
    <row r="62" spans="2:55" s="31" customFormat="1" ht="15.75">
      <c r="B62" s="176" t="s">
        <v>31</v>
      </c>
      <c r="C62" s="177"/>
      <c r="D62" s="177"/>
      <c r="E62" s="177"/>
      <c r="F62" s="177"/>
      <c r="G62" s="166" t="s">
        <v>22</v>
      </c>
      <c r="H62" s="166"/>
      <c r="I62" s="166"/>
      <c r="J62" s="166"/>
      <c r="K62" s="167"/>
      <c r="L62" s="166" t="s">
        <v>30</v>
      </c>
      <c r="M62" s="166"/>
      <c r="N62" s="166"/>
      <c r="O62" s="166"/>
      <c r="P62" s="166"/>
      <c r="Q62" s="166"/>
      <c r="R62" s="166"/>
      <c r="S62" s="177" t="s">
        <v>32</v>
      </c>
      <c r="T62" s="177"/>
      <c r="U62" s="177"/>
      <c r="V62" s="177"/>
      <c r="W62" s="180" t="s">
        <v>46</v>
      </c>
      <c r="X62" s="177"/>
      <c r="Y62" s="177"/>
      <c r="Z62" s="177"/>
      <c r="AA62" s="177"/>
      <c r="AB62" s="177"/>
      <c r="AC62" s="177" t="s">
        <v>22</v>
      </c>
      <c r="AD62" s="177"/>
      <c r="AE62" s="177"/>
      <c r="AF62" s="177"/>
      <c r="AG62" s="182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</row>
    <row r="63" spans="2:55" s="31" customFormat="1" ht="15.75">
      <c r="B63" s="178"/>
      <c r="C63" s="179"/>
      <c r="D63" s="179"/>
      <c r="E63" s="179"/>
      <c r="F63" s="179"/>
      <c r="G63" s="168"/>
      <c r="H63" s="168"/>
      <c r="I63" s="168"/>
      <c r="J63" s="168"/>
      <c r="K63" s="169"/>
      <c r="L63" s="168"/>
      <c r="M63" s="168"/>
      <c r="N63" s="168"/>
      <c r="O63" s="168"/>
      <c r="P63" s="168"/>
      <c r="Q63" s="168"/>
      <c r="R63" s="168"/>
      <c r="S63" s="179"/>
      <c r="T63" s="179"/>
      <c r="U63" s="179"/>
      <c r="V63" s="179"/>
      <c r="W63" s="181"/>
      <c r="X63" s="179"/>
      <c r="Y63" s="179"/>
      <c r="Z63" s="179"/>
      <c r="AA63" s="179"/>
      <c r="AB63" s="179"/>
      <c r="AC63" s="179"/>
      <c r="AD63" s="179"/>
      <c r="AE63" s="179"/>
      <c r="AF63" s="179"/>
      <c r="AG63" s="183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</row>
    <row r="64" spans="2:55" ht="14.25">
      <c r="B64" s="56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6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</row>
    <row r="65" spans="2:5">
      <c r="B65" s="10" t="s">
        <v>25</v>
      </c>
    </row>
    <row r="66" spans="2:5">
      <c r="B66" s="10" t="s">
        <v>23</v>
      </c>
      <c r="C66" s="58" t="e">
        <f>AVERAGE(C53:AG53)+0.577*C69</f>
        <v>#DIV/0!</v>
      </c>
    </row>
    <row r="67" spans="2:5">
      <c r="B67" s="10" t="s">
        <v>5</v>
      </c>
      <c r="C67" s="58" t="e">
        <f>AVERAGE(C53:AG53)</f>
        <v>#DIV/0!</v>
      </c>
      <c r="D67" s="59" t="s">
        <v>26</v>
      </c>
      <c r="E67" s="10" t="e">
        <f>STDEV(C48:AF52)</f>
        <v>#DIV/0!</v>
      </c>
    </row>
    <row r="68" spans="2:5">
      <c r="B68" s="10" t="s">
        <v>24</v>
      </c>
      <c r="C68" s="58" t="e">
        <f>C67-0.577*C69</f>
        <v>#DIV/0!</v>
      </c>
    </row>
    <row r="69" spans="2:5">
      <c r="B69" s="10" t="s">
        <v>12</v>
      </c>
      <c r="C69" s="58" t="e">
        <f>2.115*(SUM(C54:AG54)/COUNTIF(C54:AG54,"&lt;&gt;0"))</f>
        <v>#DIV/0!</v>
      </c>
    </row>
    <row r="71" spans="2:5">
      <c r="B71" s="10" t="s">
        <v>27</v>
      </c>
    </row>
    <row r="73" spans="2:5">
      <c r="B73" s="10" t="s">
        <v>28</v>
      </c>
      <c r="C73" s="58" t="e">
        <f>E7/(6*E67)</f>
        <v>#DIV/0!</v>
      </c>
    </row>
    <row r="74" spans="2:5">
      <c r="B74" s="10" t="s">
        <v>29</v>
      </c>
      <c r="C74" s="58" t="e">
        <f>MIN((E4-C67)/(3*E67),(C67-E6)/(3*E67))</f>
        <v>#DIV/0!</v>
      </c>
    </row>
    <row r="75" spans="2:5">
      <c r="C75" s="10">
        <f>COUNTIF(C10:AG10,"&gt;0")</f>
        <v>0</v>
      </c>
    </row>
  </sheetData>
  <sheetProtection sheet="1" objects="1" scenarios="1" selectLockedCells="1"/>
  <mergeCells count="29">
    <mergeCell ref="L62:R63"/>
    <mergeCell ref="S62:V63"/>
    <mergeCell ref="W62:AB63"/>
    <mergeCell ref="AC62:AG63"/>
    <mergeCell ref="AS64:BC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D4:AG5"/>
    <mergeCell ref="B13:B14"/>
    <mergeCell ref="B15:B16"/>
    <mergeCell ref="B17:B18"/>
    <mergeCell ref="B19:B20"/>
    <mergeCell ref="Z4:AC5"/>
    <mergeCell ref="B21:B22"/>
    <mergeCell ref="I2:J3"/>
    <mergeCell ref="K2:L3"/>
    <mergeCell ref="M2:Q3"/>
    <mergeCell ref="R2:T2"/>
    <mergeCell ref="R3:T3"/>
  </mergeCells>
  <conditionalFormatting sqref="C48:AG52">
    <cfRule type="expression" dxfId="23" priority="1">
      <formula>(C48&gt;$G$4)*(C48&lt;&gt;0)</formula>
    </cfRule>
    <cfRule type="expression" dxfId="22" priority="2">
      <formula>(C48&lt;$G$6)*(C48&lt;&gt;0)</formula>
    </cfRule>
  </conditionalFormatting>
  <dataValidations count="3">
    <dataValidation type="whole" showErrorMessage="1" errorTitle="Data" error="Digite apenas o dia entre 1 e 31" sqref="C10:D10" xr:uid="{00000000-0002-0000-0200-000000000000}">
      <formula1>1</formula1>
      <formula2>31</formula2>
    </dataValidation>
    <dataValidation type="list" showErrorMessage="1" promptTitle="Turno" prompt="Escolha" sqref="C11:AG11" xr:uid="{00000000-0002-0000-0200-000001000000}">
      <formula1>Turnos</formula1>
    </dataValidation>
    <dataValidation type="whole" showInputMessage="1" showErrorMessage="1" errorTitle="Data" error="Digite apenas o dia entre 1 e 31" sqref="E10:AG10" xr:uid="{00000000-0002-0000-02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16-089-02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03">
    <tabColor indexed="47"/>
    <pageSetUpPr fitToPage="1"/>
  </sheetPr>
  <dimension ref="B1:BC75"/>
  <sheetViews>
    <sheetView showZeros="0" topLeftCell="A12" zoomScaleNormal="100" workbookViewId="0">
      <selection activeCell="J55" sqref="J55"/>
    </sheetView>
  </sheetViews>
  <sheetFormatPr defaultColWidth="10.28515625" defaultRowHeight="12.75"/>
  <cols>
    <col min="1" max="1" width="1.5703125" style="10" customWidth="1"/>
    <col min="2" max="2" width="16.140625" style="10" customWidth="1"/>
    <col min="3" max="33" width="6.7109375" style="10" customWidth="1"/>
    <col min="34" max="34" width="3.140625" style="10" customWidth="1"/>
    <col min="35" max="55" width="6.7109375" style="10" customWidth="1"/>
    <col min="56" max="16384" width="10.28515625" style="10"/>
  </cols>
  <sheetData>
    <row r="1" spans="2:50" ht="21.75" thickBot="1">
      <c r="B1" s="80" t="s">
        <v>42</v>
      </c>
      <c r="C1" s="81"/>
      <c r="D1" s="81"/>
      <c r="E1" s="81"/>
      <c r="F1" s="82"/>
      <c r="G1" s="82"/>
      <c r="H1" s="83"/>
      <c r="I1" s="104" t="s">
        <v>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3"/>
      <c r="AX1" s="11"/>
    </row>
    <row r="2" spans="2:50" s="12" customFormat="1" ht="19.5" customHeight="1">
      <c r="B2" s="84" t="s">
        <v>43</v>
      </c>
      <c r="C2" s="85"/>
      <c r="D2" s="86"/>
      <c r="E2" s="86"/>
      <c r="F2" s="87"/>
      <c r="G2" s="87"/>
      <c r="H2" s="88"/>
      <c r="I2" s="139" t="s">
        <v>0</v>
      </c>
      <c r="J2" s="140"/>
      <c r="K2" s="143" t="str">
        <f>'P1 - Esp. Lado'!K2:L3</f>
        <v>UM-3</v>
      </c>
      <c r="L2" s="144"/>
      <c r="M2" s="147" t="s">
        <v>53</v>
      </c>
      <c r="N2" s="148"/>
      <c r="O2" s="148"/>
      <c r="P2" s="148"/>
      <c r="Q2" s="149"/>
      <c r="R2" s="153" t="s">
        <v>1</v>
      </c>
      <c r="S2" s="154"/>
      <c r="T2" s="155"/>
      <c r="U2" s="13" t="s">
        <v>47</v>
      </c>
      <c r="V2" s="14"/>
      <c r="W2" s="14"/>
      <c r="X2" s="14"/>
      <c r="Y2" s="14"/>
      <c r="Z2" s="15"/>
      <c r="AA2" s="15"/>
      <c r="AB2" s="15"/>
      <c r="AC2" s="15"/>
      <c r="AD2" s="15"/>
      <c r="AE2" s="89"/>
      <c r="AF2" s="89"/>
      <c r="AG2" s="90"/>
    </row>
    <row r="3" spans="2:50" ht="16.899999999999999" customHeight="1" thickBot="1">
      <c r="B3" s="64"/>
      <c r="I3" s="141"/>
      <c r="J3" s="142"/>
      <c r="K3" s="145"/>
      <c r="L3" s="146"/>
      <c r="M3" s="150"/>
      <c r="N3" s="151"/>
      <c r="O3" s="151"/>
      <c r="P3" s="151"/>
      <c r="Q3" s="152"/>
      <c r="R3" s="156" t="s">
        <v>2</v>
      </c>
      <c r="S3" s="157"/>
      <c r="T3" s="158"/>
      <c r="U3" s="16" t="s">
        <v>45</v>
      </c>
      <c r="V3" s="17"/>
      <c r="W3" s="17"/>
      <c r="X3" s="17"/>
      <c r="Y3" s="17"/>
      <c r="Z3" s="17"/>
      <c r="AA3" s="17"/>
      <c r="AB3" s="17"/>
      <c r="AC3" s="17"/>
      <c r="AD3" s="17"/>
      <c r="AE3" s="91"/>
      <c r="AF3" s="91"/>
      <c r="AG3" s="92"/>
    </row>
    <row r="4" spans="2:50" s="23" customFormat="1" ht="16.899999999999999" customHeight="1">
      <c r="B4" s="65" t="s">
        <v>3</v>
      </c>
      <c r="C4" s="18"/>
      <c r="D4" s="103" t="s">
        <v>4</v>
      </c>
      <c r="E4" s="102">
        <f>E5+E7/2</f>
        <v>0.25</v>
      </c>
      <c r="F4" s="105" t="s">
        <v>34</v>
      </c>
      <c r="G4" s="106">
        <f>G5+G7/2</f>
        <v>0.24</v>
      </c>
      <c r="H4" s="107"/>
      <c r="I4" s="108"/>
      <c r="Z4" s="164" t="str">
        <f ca="1">'P1 - Esp. Lado'!Z4:AC5</f>
        <v>MÊS: 03</v>
      </c>
      <c r="AA4" s="159"/>
      <c r="AB4" s="159"/>
      <c r="AC4" s="159"/>
      <c r="AD4" s="159" t="s">
        <v>51</v>
      </c>
      <c r="AE4" s="159"/>
      <c r="AF4" s="159"/>
      <c r="AG4" s="160"/>
    </row>
    <row r="5" spans="2:50" s="23" customFormat="1" ht="16.899999999999999" customHeight="1" thickBot="1">
      <c r="B5" s="66" t="str">
        <f>'P1 - Esp. Lado'!B5</f>
        <v>SJCPIL-I 16-013-XX</v>
      </c>
      <c r="C5" s="24" t="s">
        <v>5</v>
      </c>
      <c r="D5" s="101" t="s">
        <v>6</v>
      </c>
      <c r="E5" s="100">
        <f>'P1 - Esp. Lado'!$E$5</f>
        <v>0.22</v>
      </c>
      <c r="F5" s="109" t="s">
        <v>6</v>
      </c>
      <c r="G5" s="110">
        <f>E5</f>
        <v>0.22</v>
      </c>
      <c r="H5" s="107"/>
      <c r="I5" s="23" t="s">
        <v>33</v>
      </c>
      <c r="R5" s="23" t="s">
        <v>7</v>
      </c>
      <c r="Z5" s="165"/>
      <c r="AA5" s="161"/>
      <c r="AB5" s="161"/>
      <c r="AC5" s="161"/>
      <c r="AD5" s="161"/>
      <c r="AE5" s="161"/>
      <c r="AF5" s="161"/>
      <c r="AG5" s="162"/>
    </row>
    <row r="6" spans="2:50" s="23" customFormat="1" ht="16.899999999999999" customHeight="1">
      <c r="B6" s="67" t="s">
        <v>8</v>
      </c>
      <c r="C6" s="29"/>
      <c r="D6" s="101" t="s">
        <v>9</v>
      </c>
      <c r="E6" s="100">
        <f>E5-E7/2</f>
        <v>0.19</v>
      </c>
      <c r="F6" s="109" t="s">
        <v>35</v>
      </c>
      <c r="G6" s="110">
        <f>G5-G7/2</f>
        <v>0.2</v>
      </c>
      <c r="H6" s="107"/>
      <c r="I6" s="23" t="s">
        <v>10</v>
      </c>
      <c r="R6" s="23" t="s">
        <v>11</v>
      </c>
      <c r="AC6" s="68"/>
      <c r="AD6" s="68"/>
      <c r="AG6" s="69"/>
    </row>
    <row r="7" spans="2:50" s="23" customFormat="1" ht="16.899999999999999" customHeight="1" thickBot="1">
      <c r="B7" s="70"/>
      <c r="C7" s="71" t="s">
        <v>12</v>
      </c>
      <c r="D7" s="99" t="s">
        <v>4</v>
      </c>
      <c r="E7" s="98">
        <v>0.06</v>
      </c>
      <c r="F7" s="111" t="s">
        <v>34</v>
      </c>
      <c r="G7" s="112">
        <v>0.04</v>
      </c>
      <c r="H7" s="113"/>
      <c r="I7" s="72" t="s">
        <v>13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3"/>
      <c r="AD7" s="73"/>
      <c r="AE7" s="72"/>
      <c r="AF7" s="72"/>
      <c r="AG7" s="74"/>
    </row>
    <row r="8" spans="2:50" s="23" customFormat="1" ht="4.5" customHeight="1" thickBot="1"/>
    <row r="9" spans="2:50" s="31" customFormat="1">
      <c r="B9" s="30" t="s">
        <v>14</v>
      </c>
      <c r="C9" s="60">
        <v>1</v>
      </c>
      <c r="D9" s="60">
        <v>2</v>
      </c>
      <c r="E9" s="60">
        <v>3</v>
      </c>
      <c r="F9" s="60">
        <v>4</v>
      </c>
      <c r="G9" s="60">
        <v>5</v>
      </c>
      <c r="H9" s="60">
        <v>6</v>
      </c>
      <c r="I9" s="60">
        <v>7</v>
      </c>
      <c r="J9" s="60">
        <v>8</v>
      </c>
      <c r="K9" s="60">
        <v>9</v>
      </c>
      <c r="L9" s="60">
        <v>10</v>
      </c>
      <c r="M9" s="60">
        <v>11</v>
      </c>
      <c r="N9" s="60">
        <v>12</v>
      </c>
      <c r="O9" s="60">
        <v>13</v>
      </c>
      <c r="P9" s="60">
        <v>14</v>
      </c>
      <c r="Q9" s="60">
        <v>15</v>
      </c>
      <c r="R9" s="60">
        <v>16</v>
      </c>
      <c r="S9" s="60">
        <v>17</v>
      </c>
      <c r="T9" s="60">
        <v>18</v>
      </c>
      <c r="U9" s="60">
        <v>19</v>
      </c>
      <c r="V9" s="60">
        <v>20</v>
      </c>
      <c r="W9" s="60">
        <v>21</v>
      </c>
      <c r="X9" s="60">
        <v>22</v>
      </c>
      <c r="Y9" s="60">
        <v>23</v>
      </c>
      <c r="Z9" s="60">
        <v>24</v>
      </c>
      <c r="AA9" s="60">
        <v>25</v>
      </c>
      <c r="AB9" s="60">
        <v>26</v>
      </c>
      <c r="AC9" s="60">
        <v>27</v>
      </c>
      <c r="AD9" s="60">
        <v>28</v>
      </c>
      <c r="AE9" s="60">
        <v>29</v>
      </c>
      <c r="AF9" s="60">
        <v>30</v>
      </c>
      <c r="AG9" s="61">
        <v>31</v>
      </c>
    </row>
    <row r="10" spans="2:50" s="31" customFormat="1" ht="14.1" customHeight="1">
      <c r="B10" s="32" t="s">
        <v>15</v>
      </c>
      <c r="C10" s="114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1" customFormat="1" ht="14.1" customHeight="1">
      <c r="B11" s="33" t="s">
        <v>37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1" customFormat="1" ht="12" customHeight="1">
      <c r="B12" s="34"/>
      <c r="AG12" s="35"/>
    </row>
    <row r="13" spans="2:50" s="31" customFormat="1" ht="12" customHeight="1">
      <c r="B13" s="163"/>
      <c r="AG13" s="35"/>
    </row>
    <row r="14" spans="2:50" s="31" customFormat="1" ht="12" customHeight="1">
      <c r="B14" s="163"/>
      <c r="AG14" s="35"/>
    </row>
    <row r="15" spans="2:50" s="31" customFormat="1" ht="12" customHeight="1">
      <c r="B15" s="138"/>
      <c r="AG15" s="35"/>
    </row>
    <row r="16" spans="2:50" s="31" customFormat="1" ht="12" customHeight="1">
      <c r="B16" s="138"/>
      <c r="AG16" s="35"/>
    </row>
    <row r="17" spans="2:33" s="31" customFormat="1" ht="12" customHeight="1">
      <c r="B17" s="138"/>
      <c r="AG17" s="35"/>
    </row>
    <row r="18" spans="2:33" s="31" customFormat="1" ht="12" customHeight="1">
      <c r="B18" s="138"/>
      <c r="AG18" s="35"/>
    </row>
    <row r="19" spans="2:33" s="31" customFormat="1" ht="12" customHeight="1">
      <c r="B19" s="138"/>
      <c r="AG19" s="35"/>
    </row>
    <row r="20" spans="2:33" s="31" customFormat="1" ht="12" customHeight="1">
      <c r="B20" s="138"/>
      <c r="AG20" s="35"/>
    </row>
    <row r="21" spans="2:33" s="31" customFormat="1" ht="12" customHeight="1">
      <c r="B21" s="138"/>
      <c r="AG21" s="35"/>
    </row>
    <row r="22" spans="2:33" s="31" customFormat="1" ht="12" customHeight="1">
      <c r="B22" s="138"/>
      <c r="AG22" s="35"/>
    </row>
    <row r="23" spans="2:33" s="31" customFormat="1" ht="12" customHeight="1">
      <c r="B23" s="163"/>
      <c r="AG23" s="35"/>
    </row>
    <row r="24" spans="2:33" s="31" customFormat="1" ht="12" customHeight="1">
      <c r="B24" s="163"/>
      <c r="AG24" s="35"/>
    </row>
    <row r="25" spans="2:33" s="31" customFormat="1" ht="12" customHeight="1">
      <c r="B25" s="138"/>
      <c r="AG25" s="35"/>
    </row>
    <row r="26" spans="2:33" s="31" customFormat="1" ht="12" customHeight="1">
      <c r="B26" s="138"/>
      <c r="AG26" s="35"/>
    </row>
    <row r="27" spans="2:33" s="31" customFormat="1" ht="12" customHeight="1">
      <c r="B27" s="138"/>
      <c r="AG27" s="35"/>
    </row>
    <row r="28" spans="2:33" s="31" customFormat="1" ht="12" customHeight="1">
      <c r="B28" s="138"/>
      <c r="AG28" s="35"/>
    </row>
    <row r="29" spans="2:33" s="31" customFormat="1" ht="12" customHeight="1">
      <c r="B29" s="138"/>
      <c r="AG29" s="35"/>
    </row>
    <row r="30" spans="2:33" s="31" customFormat="1" ht="12" customHeight="1">
      <c r="B30" s="138"/>
      <c r="AG30" s="35"/>
    </row>
    <row r="31" spans="2:33" s="31" customFormat="1" ht="12" customHeight="1">
      <c r="B31" s="138"/>
      <c r="AG31" s="35"/>
    </row>
    <row r="32" spans="2:33" s="31" customFormat="1" ht="12" customHeight="1">
      <c r="B32" s="138"/>
      <c r="AG32" s="35"/>
    </row>
    <row r="33" spans="2:33" s="31" customFormat="1" ht="12" customHeight="1">
      <c r="B33" s="163"/>
      <c r="AG33" s="35"/>
    </row>
    <row r="34" spans="2:33" s="31" customFormat="1" ht="12" customHeight="1">
      <c r="B34" s="163"/>
      <c r="AG34" s="35"/>
    </row>
    <row r="35" spans="2:33" s="31" customFormat="1" ht="12" customHeight="1" thickBot="1">
      <c r="B35" s="36"/>
      <c r="AG35" s="35"/>
    </row>
    <row r="36" spans="2:33" s="31" customFormat="1" ht="12" customHeight="1">
      <c r="B36" s="17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8"/>
    </row>
    <row r="37" spans="2:33" s="31" customFormat="1" ht="12" customHeight="1">
      <c r="B37" s="163"/>
      <c r="AG37" s="35"/>
    </row>
    <row r="38" spans="2:33" s="31" customFormat="1" ht="12" customHeight="1">
      <c r="B38" s="79"/>
      <c r="AG38" s="35"/>
    </row>
    <row r="39" spans="2:33" s="31" customFormat="1" ht="12" customHeight="1">
      <c r="B39" s="79"/>
      <c r="AG39" s="35"/>
    </row>
    <row r="40" spans="2:33" s="31" customFormat="1" ht="12" customHeight="1">
      <c r="B40" s="79"/>
      <c r="AG40" s="35"/>
    </row>
    <row r="41" spans="2:33" s="31" customFormat="1" ht="12" customHeight="1">
      <c r="B41" s="163"/>
      <c r="AG41" s="35"/>
    </row>
    <row r="42" spans="2:33" s="31" customFormat="1" ht="12" customHeight="1">
      <c r="B42" s="163"/>
      <c r="AG42" s="35"/>
    </row>
    <row r="43" spans="2:33" s="31" customFormat="1" ht="12" customHeight="1">
      <c r="B43" s="79"/>
      <c r="AG43" s="35"/>
    </row>
    <row r="44" spans="2:33" s="31" customFormat="1" ht="12" customHeight="1">
      <c r="B44" s="79"/>
      <c r="AG44" s="35"/>
    </row>
    <row r="45" spans="2:33" s="31" customFormat="1" ht="12" customHeight="1">
      <c r="B45" s="79"/>
      <c r="AG45" s="35"/>
    </row>
    <row r="46" spans="2:33" s="31" customFormat="1" ht="12" customHeight="1" thickBot="1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1"/>
    </row>
    <row r="47" spans="2:33" s="31" customFormat="1" ht="6" customHeight="1">
      <c r="B47" s="93"/>
      <c r="AG47" s="35"/>
    </row>
    <row r="48" spans="2:33" s="42" customFormat="1" ht="15" customHeight="1">
      <c r="B48" s="94">
        <v>1</v>
      </c>
      <c r="C48" s="95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7"/>
    </row>
    <row r="49" spans="2:55" s="42" customFormat="1" ht="15" customHeight="1">
      <c r="B49" s="43">
        <v>2</v>
      </c>
      <c r="C49" s="7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9"/>
    </row>
    <row r="50" spans="2:55" s="42" customFormat="1" ht="15" customHeight="1">
      <c r="B50" s="43">
        <v>3</v>
      </c>
      <c r="C50" s="7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9"/>
    </row>
    <row r="51" spans="2:55" s="42" customFormat="1" ht="15" customHeight="1">
      <c r="B51" s="43">
        <v>4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9"/>
    </row>
    <row r="52" spans="2:55" s="42" customFormat="1" ht="15" customHeight="1">
      <c r="B52" s="47">
        <v>5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9"/>
    </row>
    <row r="53" spans="2:55" s="42" customFormat="1" ht="15" customHeight="1">
      <c r="B53" s="47" t="s">
        <v>16</v>
      </c>
      <c r="C53" s="44" t="str">
        <f t="shared" ref="C53:AG53" si="0">IF(ISERR(AVERAGE(C48:C52))," ",AVERAGE(C48:C52))</f>
        <v xml:space="preserve"> </v>
      </c>
      <c r="D53" s="45" t="str">
        <f t="shared" si="0"/>
        <v xml:space="preserve"> </v>
      </c>
      <c r="E53" s="45" t="str">
        <f t="shared" si="0"/>
        <v xml:space="preserve"> </v>
      </c>
      <c r="F53" s="45" t="str">
        <f t="shared" si="0"/>
        <v xml:space="preserve"> </v>
      </c>
      <c r="G53" s="45" t="str">
        <f t="shared" si="0"/>
        <v xml:space="preserve"> </v>
      </c>
      <c r="H53" s="45" t="str">
        <f t="shared" si="0"/>
        <v xml:space="preserve"> </v>
      </c>
      <c r="I53" s="45" t="str">
        <f t="shared" si="0"/>
        <v xml:space="preserve"> </v>
      </c>
      <c r="J53" s="45" t="str">
        <f t="shared" si="0"/>
        <v xml:space="preserve"> </v>
      </c>
      <c r="K53" s="45" t="str">
        <f t="shared" si="0"/>
        <v xml:space="preserve"> </v>
      </c>
      <c r="L53" s="45" t="str">
        <f t="shared" si="0"/>
        <v xml:space="preserve"> </v>
      </c>
      <c r="M53" s="45" t="str">
        <f t="shared" si="0"/>
        <v xml:space="preserve"> </v>
      </c>
      <c r="N53" s="45" t="str">
        <f t="shared" si="0"/>
        <v xml:space="preserve"> </v>
      </c>
      <c r="O53" s="45" t="str">
        <f t="shared" si="0"/>
        <v xml:space="preserve"> </v>
      </c>
      <c r="P53" s="45" t="str">
        <f t="shared" si="0"/>
        <v xml:space="preserve"> </v>
      </c>
      <c r="Q53" s="45" t="str">
        <f t="shared" si="0"/>
        <v xml:space="preserve"> </v>
      </c>
      <c r="R53" s="45" t="str">
        <f t="shared" si="0"/>
        <v xml:space="preserve"> </v>
      </c>
      <c r="S53" s="45" t="str">
        <f t="shared" si="0"/>
        <v xml:space="preserve"> </v>
      </c>
      <c r="T53" s="45" t="str">
        <f t="shared" si="0"/>
        <v xml:space="preserve"> </v>
      </c>
      <c r="U53" s="45" t="str">
        <f t="shared" si="0"/>
        <v xml:space="preserve"> </v>
      </c>
      <c r="V53" s="45" t="str">
        <f t="shared" si="0"/>
        <v xml:space="preserve"> </v>
      </c>
      <c r="W53" s="45" t="str">
        <f t="shared" si="0"/>
        <v xml:space="preserve"> </v>
      </c>
      <c r="X53" s="45" t="str">
        <f t="shared" si="0"/>
        <v xml:space="preserve"> </v>
      </c>
      <c r="Y53" s="45" t="str">
        <f t="shared" si="0"/>
        <v xml:space="preserve"> </v>
      </c>
      <c r="Z53" s="45" t="str">
        <f t="shared" si="0"/>
        <v xml:space="preserve"> </v>
      </c>
      <c r="AA53" s="45" t="str">
        <f t="shared" si="0"/>
        <v xml:space="preserve"> </v>
      </c>
      <c r="AB53" s="45" t="str">
        <f t="shared" si="0"/>
        <v xml:space="preserve"> </v>
      </c>
      <c r="AC53" s="45" t="str">
        <f t="shared" si="0"/>
        <v xml:space="preserve"> </v>
      </c>
      <c r="AD53" s="45" t="str">
        <f t="shared" si="0"/>
        <v xml:space="preserve"> </v>
      </c>
      <c r="AE53" s="45" t="str">
        <f t="shared" si="0"/>
        <v xml:space="preserve"> </v>
      </c>
      <c r="AF53" s="45" t="str">
        <f t="shared" si="0"/>
        <v xml:space="preserve"> </v>
      </c>
      <c r="AG53" s="46" t="str">
        <f t="shared" si="0"/>
        <v xml:space="preserve"> </v>
      </c>
    </row>
    <row r="54" spans="2:55" s="42" customFormat="1" ht="15" customHeight="1">
      <c r="B54" s="47" t="s">
        <v>12</v>
      </c>
      <c r="C54" s="48">
        <f t="shared" ref="C54:AG54" si="1">MAX(C48:C52)-MIN(C48:C52)</f>
        <v>0</v>
      </c>
      <c r="D54" s="49">
        <f t="shared" si="1"/>
        <v>0</v>
      </c>
      <c r="E54" s="49">
        <f t="shared" si="1"/>
        <v>0</v>
      </c>
      <c r="F54" s="49">
        <f t="shared" si="1"/>
        <v>0</v>
      </c>
      <c r="G54" s="49">
        <f t="shared" si="1"/>
        <v>0</v>
      </c>
      <c r="H54" s="49">
        <f t="shared" si="1"/>
        <v>0</v>
      </c>
      <c r="I54" s="49">
        <f t="shared" si="1"/>
        <v>0</v>
      </c>
      <c r="J54" s="49">
        <f t="shared" si="1"/>
        <v>0</v>
      </c>
      <c r="K54" s="49">
        <f t="shared" si="1"/>
        <v>0</v>
      </c>
      <c r="L54" s="49">
        <f t="shared" si="1"/>
        <v>0</v>
      </c>
      <c r="M54" s="49">
        <f t="shared" si="1"/>
        <v>0</v>
      </c>
      <c r="N54" s="49">
        <f t="shared" si="1"/>
        <v>0</v>
      </c>
      <c r="O54" s="49">
        <f t="shared" si="1"/>
        <v>0</v>
      </c>
      <c r="P54" s="49">
        <f t="shared" si="1"/>
        <v>0</v>
      </c>
      <c r="Q54" s="49">
        <f t="shared" si="1"/>
        <v>0</v>
      </c>
      <c r="R54" s="115">
        <f t="shared" si="1"/>
        <v>0</v>
      </c>
      <c r="S54" s="115">
        <f t="shared" si="1"/>
        <v>0</v>
      </c>
      <c r="T54" s="115">
        <f t="shared" si="1"/>
        <v>0</v>
      </c>
      <c r="U54" s="115">
        <f t="shared" si="1"/>
        <v>0</v>
      </c>
      <c r="V54" s="115">
        <f t="shared" si="1"/>
        <v>0</v>
      </c>
      <c r="W54" s="115">
        <f t="shared" si="1"/>
        <v>0</v>
      </c>
      <c r="X54" s="115">
        <f t="shared" si="1"/>
        <v>0</v>
      </c>
      <c r="Y54" s="115">
        <f t="shared" si="1"/>
        <v>0</v>
      </c>
      <c r="Z54" s="115">
        <f t="shared" si="1"/>
        <v>0</v>
      </c>
      <c r="AA54" s="115">
        <f t="shared" si="1"/>
        <v>0</v>
      </c>
      <c r="AB54" s="115">
        <f t="shared" si="1"/>
        <v>0</v>
      </c>
      <c r="AC54" s="115">
        <f t="shared" si="1"/>
        <v>0</v>
      </c>
      <c r="AD54" s="115">
        <f t="shared" si="1"/>
        <v>0</v>
      </c>
      <c r="AE54" s="115">
        <f t="shared" si="1"/>
        <v>0</v>
      </c>
      <c r="AF54" s="115">
        <f t="shared" si="1"/>
        <v>0</v>
      </c>
      <c r="AG54" s="116">
        <f t="shared" si="1"/>
        <v>0</v>
      </c>
    </row>
    <row r="55" spans="2:55" s="42" customFormat="1" ht="20.100000000000001" customHeight="1">
      <c r="B55" s="50" t="s">
        <v>17</v>
      </c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9"/>
    </row>
    <row r="56" spans="2:55" s="42" customFormat="1" ht="26.25" thickBot="1">
      <c r="B56" s="136" t="str">
        <f>'P1 - Esp. Lado'!B56</f>
        <v>Visto do Líder / Sublíder</v>
      </c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2"/>
    </row>
    <row r="57" spans="2:55" s="31" customFormat="1" ht="20.100000000000001" customHeight="1">
      <c r="B57" s="171" t="s">
        <v>18</v>
      </c>
      <c r="C57" s="172"/>
      <c r="D57" s="172"/>
      <c r="E57" s="173"/>
      <c r="F57" s="51" t="s">
        <v>19</v>
      </c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8"/>
    </row>
    <row r="58" spans="2:55" s="31" customFormat="1" ht="20.100000000000001" customHeight="1">
      <c r="B58" s="52"/>
      <c r="C58" s="23" t="s">
        <v>20</v>
      </c>
      <c r="D58" s="23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1" customFormat="1" ht="20.100000000000001" customHeight="1">
      <c r="B59" s="174" t="s">
        <v>21</v>
      </c>
      <c r="C59" s="175"/>
      <c r="D59" s="175"/>
      <c r="E59" s="35"/>
      <c r="F59" s="1"/>
      <c r="G59" s="1"/>
      <c r="H59" s="1"/>
      <c r="I59" s="1"/>
      <c r="J59" s="1"/>
      <c r="K59" s="1"/>
      <c r="L59" s="1"/>
      <c r="M59" s="1"/>
      <c r="N59" s="1"/>
      <c r="O59" s="123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1" customFormat="1" ht="20.100000000000001" customHeight="1" thickBot="1">
      <c r="B60" s="53"/>
      <c r="C60" s="54" t="s">
        <v>16</v>
      </c>
      <c r="D60" s="40"/>
      <c r="E60" s="41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1" customFormat="1" ht="7.5" customHeight="1"/>
    <row r="62" spans="2:55" s="31" customFormat="1" ht="15.75">
      <c r="B62" s="176" t="s">
        <v>31</v>
      </c>
      <c r="C62" s="177"/>
      <c r="D62" s="177"/>
      <c r="E62" s="177"/>
      <c r="F62" s="177"/>
      <c r="G62" s="166" t="s">
        <v>22</v>
      </c>
      <c r="H62" s="166"/>
      <c r="I62" s="166"/>
      <c r="J62" s="166"/>
      <c r="K62" s="167"/>
      <c r="L62" s="166" t="s">
        <v>30</v>
      </c>
      <c r="M62" s="166"/>
      <c r="N62" s="166"/>
      <c r="O62" s="166"/>
      <c r="P62" s="166"/>
      <c r="Q62" s="166"/>
      <c r="R62" s="166"/>
      <c r="S62" s="177" t="s">
        <v>32</v>
      </c>
      <c r="T62" s="177"/>
      <c r="U62" s="177"/>
      <c r="V62" s="177"/>
      <c r="W62" s="180" t="s">
        <v>46</v>
      </c>
      <c r="X62" s="177"/>
      <c r="Y62" s="177"/>
      <c r="Z62" s="177"/>
      <c r="AA62" s="177"/>
      <c r="AB62" s="177"/>
      <c r="AC62" s="177" t="s">
        <v>22</v>
      </c>
      <c r="AD62" s="177"/>
      <c r="AE62" s="177"/>
      <c r="AF62" s="177"/>
      <c r="AG62" s="182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</row>
    <row r="63" spans="2:55" s="31" customFormat="1" ht="15.75">
      <c r="B63" s="178"/>
      <c r="C63" s="179"/>
      <c r="D63" s="179"/>
      <c r="E63" s="179"/>
      <c r="F63" s="179"/>
      <c r="G63" s="168"/>
      <c r="H63" s="168"/>
      <c r="I63" s="168"/>
      <c r="J63" s="168"/>
      <c r="K63" s="169"/>
      <c r="L63" s="168"/>
      <c r="M63" s="168"/>
      <c r="N63" s="168"/>
      <c r="O63" s="168"/>
      <c r="P63" s="168"/>
      <c r="Q63" s="168"/>
      <c r="R63" s="168"/>
      <c r="S63" s="179"/>
      <c r="T63" s="179"/>
      <c r="U63" s="179"/>
      <c r="V63" s="179"/>
      <c r="W63" s="181"/>
      <c r="X63" s="179"/>
      <c r="Y63" s="179"/>
      <c r="Z63" s="179"/>
      <c r="AA63" s="179"/>
      <c r="AB63" s="179"/>
      <c r="AC63" s="179"/>
      <c r="AD63" s="179"/>
      <c r="AE63" s="179"/>
      <c r="AF63" s="179"/>
      <c r="AG63" s="183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</row>
    <row r="64" spans="2:55" ht="14.25">
      <c r="B64" s="56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6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</row>
    <row r="65" spans="2:5">
      <c r="B65" s="10" t="s">
        <v>25</v>
      </c>
    </row>
    <row r="66" spans="2:5">
      <c r="B66" s="10" t="s">
        <v>23</v>
      </c>
      <c r="C66" s="58" t="e">
        <f>AVERAGE(C53:AG53)+0.577*C69</f>
        <v>#DIV/0!</v>
      </c>
    </row>
    <row r="67" spans="2:5">
      <c r="B67" s="10" t="s">
        <v>5</v>
      </c>
      <c r="C67" s="58" t="e">
        <f>AVERAGE(C53:AG53)</f>
        <v>#DIV/0!</v>
      </c>
      <c r="D67" s="59" t="s">
        <v>26</v>
      </c>
      <c r="E67" s="10" t="e">
        <f>STDEV(C48:AF52)</f>
        <v>#DIV/0!</v>
      </c>
    </row>
    <row r="68" spans="2:5">
      <c r="B68" s="10" t="s">
        <v>24</v>
      </c>
      <c r="C68" s="58" t="e">
        <f>C67-0.577*C69</f>
        <v>#DIV/0!</v>
      </c>
    </row>
    <row r="69" spans="2:5">
      <c r="B69" s="10" t="s">
        <v>12</v>
      </c>
      <c r="C69" s="58" t="e">
        <f>2.115*(SUM(C54:AG54)/COUNTIF(C54:AG54,"&lt;&gt;0"))</f>
        <v>#DIV/0!</v>
      </c>
    </row>
    <row r="71" spans="2:5">
      <c r="B71" s="10" t="s">
        <v>27</v>
      </c>
    </row>
    <row r="73" spans="2:5">
      <c r="B73" s="10" t="s">
        <v>28</v>
      </c>
      <c r="C73" s="58" t="e">
        <f>E7/(6*E67)</f>
        <v>#DIV/0!</v>
      </c>
    </row>
    <row r="74" spans="2:5">
      <c r="B74" s="10" t="s">
        <v>29</v>
      </c>
      <c r="C74" s="58" t="e">
        <f>MIN((E4-C67)/(3*E67),(C67-E6)/(3*E67))</f>
        <v>#DIV/0!</v>
      </c>
    </row>
    <row r="75" spans="2:5">
      <c r="C75" s="10">
        <f>COUNTIF(C10:AG10,"&gt;0")</f>
        <v>0</v>
      </c>
    </row>
  </sheetData>
  <sheetProtection sheet="1" objects="1" scenarios="1" selectLockedCells="1"/>
  <mergeCells count="29">
    <mergeCell ref="L62:R63"/>
    <mergeCell ref="S62:V63"/>
    <mergeCell ref="W62:AB63"/>
    <mergeCell ref="AC62:AG63"/>
    <mergeCell ref="AS64:BC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D4:AG5"/>
    <mergeCell ref="B13:B14"/>
    <mergeCell ref="B15:B16"/>
    <mergeCell ref="B17:B18"/>
    <mergeCell ref="B19:B20"/>
    <mergeCell ref="Z4:AC5"/>
    <mergeCell ref="B21:B22"/>
    <mergeCell ref="I2:J3"/>
    <mergeCell ref="K2:L3"/>
    <mergeCell ref="M2:Q3"/>
    <mergeCell ref="R2:T2"/>
    <mergeCell ref="R3:T3"/>
  </mergeCells>
  <conditionalFormatting sqref="C48:AG52">
    <cfRule type="expression" dxfId="21" priority="1">
      <formula>(C48&gt;$G$4)*(C48&lt;&gt;0)</formula>
    </cfRule>
    <cfRule type="expression" dxfId="20" priority="2">
      <formula>(C48&lt;$G$6)*(C48&lt;&gt;0)</formula>
    </cfRule>
  </conditionalFormatting>
  <dataValidations count="3">
    <dataValidation type="whole" showErrorMessage="1" errorTitle="Data" error="Digite apenas o dia entre 1 e 31" sqref="C10:D10" xr:uid="{00000000-0002-0000-0300-000000000000}">
      <formula1>1</formula1>
      <formula2>31</formula2>
    </dataValidation>
    <dataValidation type="whole" showInputMessage="1" showErrorMessage="1" errorTitle="Data" error="Digite apenas o dia entre 1 e 31" sqref="E10:AG10" xr:uid="{00000000-0002-0000-0300-000001000000}">
      <formula1>1</formula1>
      <formula2>31</formula2>
    </dataValidation>
    <dataValidation type="list" showErrorMessage="1" promptTitle="Turno" prompt="Escolha" sqref="C11:AG11" xr:uid="{00000000-0002-0000-03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16-088-03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04">
    <tabColor indexed="47"/>
    <pageSetUpPr fitToPage="1"/>
  </sheetPr>
  <dimension ref="B1:BC75"/>
  <sheetViews>
    <sheetView showZeros="0" topLeftCell="A12" zoomScaleNormal="100" workbookViewId="0">
      <selection activeCell="J49" sqref="J49"/>
    </sheetView>
  </sheetViews>
  <sheetFormatPr defaultColWidth="10.28515625" defaultRowHeight="12.75"/>
  <cols>
    <col min="1" max="1" width="1.5703125" style="10" customWidth="1"/>
    <col min="2" max="2" width="16.140625" style="10" customWidth="1"/>
    <col min="3" max="33" width="6.7109375" style="10" customWidth="1"/>
    <col min="34" max="34" width="3.140625" style="10" customWidth="1"/>
    <col min="35" max="55" width="6.7109375" style="10" customWidth="1"/>
    <col min="56" max="16384" width="10.28515625" style="10"/>
  </cols>
  <sheetData>
    <row r="1" spans="2:50" ht="21.75" thickBot="1">
      <c r="B1" s="80" t="s">
        <v>42</v>
      </c>
      <c r="C1" s="81"/>
      <c r="D1" s="81"/>
      <c r="E1" s="81"/>
      <c r="F1" s="82"/>
      <c r="G1" s="82"/>
      <c r="H1" s="83"/>
      <c r="I1" s="104" t="s">
        <v>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3"/>
      <c r="AX1" s="11"/>
    </row>
    <row r="2" spans="2:50" s="12" customFormat="1" ht="19.5" customHeight="1">
      <c r="B2" s="84" t="s">
        <v>43</v>
      </c>
      <c r="C2" s="85"/>
      <c r="D2" s="86"/>
      <c r="E2" s="86"/>
      <c r="F2" s="87"/>
      <c r="G2" s="87"/>
      <c r="H2" s="88"/>
      <c r="I2" s="139" t="s">
        <v>0</v>
      </c>
      <c r="J2" s="140"/>
      <c r="K2" s="143" t="str">
        <f>'P1 - Esp. Lado'!K2:L3</f>
        <v>UM-3</v>
      </c>
      <c r="L2" s="144"/>
      <c r="M2" s="147" t="s">
        <v>53</v>
      </c>
      <c r="N2" s="148"/>
      <c r="O2" s="148"/>
      <c r="P2" s="148"/>
      <c r="Q2" s="149"/>
      <c r="R2" s="153" t="s">
        <v>1</v>
      </c>
      <c r="S2" s="154"/>
      <c r="T2" s="155"/>
      <c r="U2" s="13" t="s">
        <v>47</v>
      </c>
      <c r="V2" s="14"/>
      <c r="W2" s="14"/>
      <c r="X2" s="14"/>
      <c r="Y2" s="14"/>
      <c r="Z2" s="15"/>
      <c r="AA2" s="15"/>
      <c r="AB2" s="15"/>
      <c r="AC2" s="15"/>
      <c r="AD2" s="15"/>
      <c r="AE2" s="89"/>
      <c r="AF2" s="89"/>
      <c r="AG2" s="90"/>
    </row>
    <row r="3" spans="2:50" ht="16.899999999999999" customHeight="1" thickBot="1">
      <c r="B3" s="64"/>
      <c r="I3" s="141"/>
      <c r="J3" s="142"/>
      <c r="K3" s="145"/>
      <c r="L3" s="146"/>
      <c r="M3" s="150"/>
      <c r="N3" s="151"/>
      <c r="O3" s="151"/>
      <c r="P3" s="151"/>
      <c r="Q3" s="152"/>
      <c r="R3" s="156" t="s">
        <v>2</v>
      </c>
      <c r="S3" s="157"/>
      <c r="T3" s="158"/>
      <c r="U3" s="16" t="s">
        <v>50</v>
      </c>
      <c r="V3" s="17"/>
      <c r="W3" s="17"/>
      <c r="X3" s="17"/>
      <c r="Y3" s="17"/>
      <c r="Z3" s="17"/>
      <c r="AA3" s="17"/>
      <c r="AB3" s="17"/>
      <c r="AC3" s="17"/>
      <c r="AD3" s="17"/>
      <c r="AE3" s="91"/>
      <c r="AF3" s="91"/>
      <c r="AG3" s="92"/>
    </row>
    <row r="4" spans="2:50" s="23" customFormat="1" ht="16.899999999999999" customHeight="1">
      <c r="B4" s="65" t="s">
        <v>3</v>
      </c>
      <c r="C4" s="18"/>
      <c r="D4" s="103" t="s">
        <v>4</v>
      </c>
      <c r="E4" s="102">
        <f>E5+E7/2</f>
        <v>0.5</v>
      </c>
      <c r="F4" s="105" t="s">
        <v>34</v>
      </c>
      <c r="G4" s="106">
        <f>G5+G7/2</f>
        <v>0.48000000000000004</v>
      </c>
      <c r="H4" s="107"/>
      <c r="I4" s="108"/>
      <c r="Z4" s="164" t="str">
        <f ca="1">'P1 - Esp. Fundo'!Z4:AC5</f>
        <v>MÊS: 03</v>
      </c>
      <c r="AA4" s="159"/>
      <c r="AB4" s="159"/>
      <c r="AC4" s="159"/>
      <c r="AD4" s="159" t="str">
        <f ca="1">'P1 - Esp. Fundo'!AD4:AG5</f>
        <v>ANO: 2022</v>
      </c>
      <c r="AE4" s="159"/>
      <c r="AF4" s="159"/>
      <c r="AG4" s="160"/>
    </row>
    <row r="5" spans="2:50" s="23" customFormat="1" ht="16.899999999999999" customHeight="1" thickBot="1">
      <c r="B5" s="66" t="str">
        <f>'P1 - Esp. Lado'!B5</f>
        <v>SJCPIL-I 16-013-XX</v>
      </c>
      <c r="C5" s="24" t="s">
        <v>5</v>
      </c>
      <c r="D5" s="101" t="s">
        <v>6</v>
      </c>
      <c r="E5" s="100">
        <v>0.4</v>
      </c>
      <c r="F5" s="109" t="s">
        <v>6</v>
      </c>
      <c r="G5" s="110">
        <f>E5</f>
        <v>0.4</v>
      </c>
      <c r="H5" s="107"/>
      <c r="I5" s="23" t="s">
        <v>33</v>
      </c>
      <c r="R5" s="23" t="s">
        <v>7</v>
      </c>
      <c r="Z5" s="165"/>
      <c r="AA5" s="161"/>
      <c r="AB5" s="161"/>
      <c r="AC5" s="161"/>
      <c r="AD5" s="161"/>
      <c r="AE5" s="161"/>
      <c r="AF5" s="161"/>
      <c r="AG5" s="162"/>
    </row>
    <row r="6" spans="2:50" s="23" customFormat="1" ht="16.899999999999999" customHeight="1">
      <c r="B6" s="67" t="s">
        <v>8</v>
      </c>
      <c r="C6" s="29"/>
      <c r="D6" s="101" t="s">
        <v>9</v>
      </c>
      <c r="E6" s="100">
        <f>E5-E7/2</f>
        <v>0.30000000000000004</v>
      </c>
      <c r="F6" s="109" t="s">
        <v>35</v>
      </c>
      <c r="G6" s="110">
        <f>G5-G7/2</f>
        <v>0.32</v>
      </c>
      <c r="H6" s="107"/>
      <c r="I6" s="23" t="s">
        <v>10</v>
      </c>
      <c r="R6" s="23" t="s">
        <v>11</v>
      </c>
      <c r="AC6" s="68"/>
      <c r="AD6" s="68"/>
      <c r="AG6" s="69"/>
    </row>
    <row r="7" spans="2:50" s="23" customFormat="1" ht="16.899999999999999" customHeight="1" thickBot="1">
      <c r="B7" s="70"/>
      <c r="C7" s="71" t="s">
        <v>12</v>
      </c>
      <c r="D7" s="99" t="s">
        <v>4</v>
      </c>
      <c r="E7" s="98">
        <v>0.2</v>
      </c>
      <c r="F7" s="111" t="s">
        <v>34</v>
      </c>
      <c r="G7" s="112">
        <v>0.16</v>
      </c>
      <c r="H7" s="113"/>
      <c r="I7" s="72" t="s">
        <v>13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3"/>
      <c r="AD7" s="73"/>
      <c r="AE7" s="72"/>
      <c r="AF7" s="72"/>
      <c r="AG7" s="74"/>
    </row>
    <row r="8" spans="2:50" s="23" customFormat="1" ht="4.5" customHeight="1" thickBot="1"/>
    <row r="9" spans="2:50" s="31" customFormat="1">
      <c r="B9" s="30" t="s">
        <v>14</v>
      </c>
      <c r="C9" s="60">
        <v>1</v>
      </c>
      <c r="D9" s="60">
        <v>2</v>
      </c>
      <c r="E9" s="60">
        <v>3</v>
      </c>
      <c r="F9" s="60">
        <v>4</v>
      </c>
      <c r="G9" s="60">
        <v>5</v>
      </c>
      <c r="H9" s="60">
        <v>6</v>
      </c>
      <c r="I9" s="60">
        <v>7</v>
      </c>
      <c r="J9" s="60">
        <v>8</v>
      </c>
      <c r="K9" s="60">
        <v>9</v>
      </c>
      <c r="L9" s="60">
        <v>10</v>
      </c>
      <c r="M9" s="60">
        <v>11</v>
      </c>
      <c r="N9" s="60">
        <v>12</v>
      </c>
      <c r="O9" s="60">
        <v>13</v>
      </c>
      <c r="P9" s="60">
        <v>14</v>
      </c>
      <c r="Q9" s="60">
        <v>15</v>
      </c>
      <c r="R9" s="60">
        <v>16</v>
      </c>
      <c r="S9" s="60">
        <v>17</v>
      </c>
      <c r="T9" s="60">
        <v>18</v>
      </c>
      <c r="U9" s="60">
        <v>19</v>
      </c>
      <c r="V9" s="60">
        <v>20</v>
      </c>
      <c r="W9" s="60">
        <v>21</v>
      </c>
      <c r="X9" s="60">
        <v>22</v>
      </c>
      <c r="Y9" s="60">
        <v>23</v>
      </c>
      <c r="Z9" s="60">
        <v>24</v>
      </c>
      <c r="AA9" s="60">
        <v>25</v>
      </c>
      <c r="AB9" s="60">
        <v>26</v>
      </c>
      <c r="AC9" s="60">
        <v>27</v>
      </c>
      <c r="AD9" s="60">
        <v>28</v>
      </c>
      <c r="AE9" s="60">
        <v>29</v>
      </c>
      <c r="AF9" s="60">
        <v>30</v>
      </c>
      <c r="AG9" s="61">
        <v>31</v>
      </c>
    </row>
    <row r="10" spans="2:50" s="31" customFormat="1" ht="14.1" customHeight="1">
      <c r="B10" s="32" t="s">
        <v>15</v>
      </c>
      <c r="C10" s="114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1" customFormat="1" ht="14.1" customHeight="1">
      <c r="B11" s="33" t="s">
        <v>37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1" customFormat="1" ht="12" customHeight="1">
      <c r="B12" s="34"/>
      <c r="AG12" s="35"/>
    </row>
    <row r="13" spans="2:50" s="31" customFormat="1" ht="12" customHeight="1">
      <c r="B13" s="163"/>
      <c r="AG13" s="35"/>
    </row>
    <row r="14" spans="2:50" s="31" customFormat="1" ht="12" customHeight="1">
      <c r="B14" s="163"/>
      <c r="AG14" s="35"/>
    </row>
    <row r="15" spans="2:50" s="31" customFormat="1" ht="12" customHeight="1">
      <c r="B15" s="138"/>
      <c r="AG15" s="35"/>
    </row>
    <row r="16" spans="2:50" s="31" customFormat="1" ht="12" customHeight="1">
      <c r="B16" s="138"/>
      <c r="AG16" s="35"/>
    </row>
    <row r="17" spans="2:33" s="31" customFormat="1" ht="12" customHeight="1">
      <c r="B17" s="138"/>
      <c r="AG17" s="35"/>
    </row>
    <row r="18" spans="2:33" s="31" customFormat="1" ht="12" customHeight="1">
      <c r="B18" s="138"/>
      <c r="AG18" s="35"/>
    </row>
    <row r="19" spans="2:33" s="31" customFormat="1" ht="12" customHeight="1">
      <c r="B19" s="138"/>
      <c r="AG19" s="35"/>
    </row>
    <row r="20" spans="2:33" s="31" customFormat="1" ht="12" customHeight="1">
      <c r="B20" s="138"/>
      <c r="AG20" s="35"/>
    </row>
    <row r="21" spans="2:33" s="31" customFormat="1" ht="12" customHeight="1">
      <c r="B21" s="138"/>
      <c r="AG21" s="35"/>
    </row>
    <row r="22" spans="2:33" s="31" customFormat="1" ht="12" customHeight="1">
      <c r="B22" s="138"/>
      <c r="AG22" s="35"/>
    </row>
    <row r="23" spans="2:33" s="31" customFormat="1" ht="12" customHeight="1">
      <c r="B23" s="163"/>
      <c r="AG23" s="35"/>
    </row>
    <row r="24" spans="2:33" s="31" customFormat="1" ht="12" customHeight="1">
      <c r="B24" s="163"/>
      <c r="AG24" s="35"/>
    </row>
    <row r="25" spans="2:33" s="31" customFormat="1" ht="12" customHeight="1">
      <c r="B25" s="138"/>
      <c r="AG25" s="35"/>
    </row>
    <row r="26" spans="2:33" s="31" customFormat="1" ht="12" customHeight="1">
      <c r="B26" s="138"/>
      <c r="AG26" s="35"/>
    </row>
    <row r="27" spans="2:33" s="31" customFormat="1" ht="12" customHeight="1">
      <c r="B27" s="138"/>
      <c r="AG27" s="35"/>
    </row>
    <row r="28" spans="2:33" s="31" customFormat="1" ht="12" customHeight="1">
      <c r="B28" s="138"/>
      <c r="AG28" s="35"/>
    </row>
    <row r="29" spans="2:33" s="31" customFormat="1" ht="12" customHeight="1">
      <c r="B29" s="138"/>
      <c r="AG29" s="35"/>
    </row>
    <row r="30" spans="2:33" s="31" customFormat="1" ht="12" customHeight="1">
      <c r="B30" s="138"/>
      <c r="AG30" s="35"/>
    </row>
    <row r="31" spans="2:33" s="31" customFormat="1" ht="12" customHeight="1">
      <c r="B31" s="138"/>
      <c r="AG31" s="35"/>
    </row>
    <row r="32" spans="2:33" s="31" customFormat="1" ht="12" customHeight="1">
      <c r="B32" s="138"/>
      <c r="AG32" s="35"/>
    </row>
    <row r="33" spans="2:33" s="31" customFormat="1" ht="12" customHeight="1">
      <c r="B33" s="163"/>
      <c r="AG33" s="35"/>
    </row>
    <row r="34" spans="2:33" s="31" customFormat="1" ht="12" customHeight="1">
      <c r="B34" s="163"/>
      <c r="AG34" s="35"/>
    </row>
    <row r="35" spans="2:33" s="31" customFormat="1" ht="12" customHeight="1" thickBot="1">
      <c r="B35" s="36"/>
      <c r="AG35" s="35"/>
    </row>
    <row r="36" spans="2:33" s="31" customFormat="1" ht="12" customHeight="1">
      <c r="B36" s="17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8"/>
    </row>
    <row r="37" spans="2:33" s="31" customFormat="1" ht="12" customHeight="1">
      <c r="B37" s="163"/>
      <c r="AG37" s="35"/>
    </row>
    <row r="38" spans="2:33" s="31" customFormat="1" ht="12" customHeight="1">
      <c r="B38" s="79"/>
      <c r="AG38" s="35"/>
    </row>
    <row r="39" spans="2:33" s="31" customFormat="1" ht="12" customHeight="1">
      <c r="B39" s="79"/>
      <c r="AG39" s="35"/>
    </row>
    <row r="40" spans="2:33" s="31" customFormat="1" ht="12" customHeight="1">
      <c r="B40" s="79"/>
      <c r="AG40" s="35"/>
    </row>
    <row r="41" spans="2:33" s="31" customFormat="1" ht="12" customHeight="1">
      <c r="B41" s="163"/>
      <c r="AG41" s="35"/>
    </row>
    <row r="42" spans="2:33" s="31" customFormat="1" ht="12" customHeight="1">
      <c r="B42" s="163"/>
      <c r="AG42" s="35"/>
    </row>
    <row r="43" spans="2:33" s="31" customFormat="1" ht="12" customHeight="1">
      <c r="B43" s="79"/>
      <c r="AG43" s="35"/>
    </row>
    <row r="44" spans="2:33" s="31" customFormat="1" ht="12" customHeight="1">
      <c r="B44" s="79"/>
      <c r="AG44" s="35"/>
    </row>
    <row r="45" spans="2:33" s="31" customFormat="1" ht="12" customHeight="1">
      <c r="B45" s="79"/>
      <c r="AG45" s="35"/>
    </row>
    <row r="46" spans="2:33" s="31" customFormat="1" ht="12" customHeight="1" thickBot="1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1"/>
    </row>
    <row r="47" spans="2:33" s="31" customFormat="1" ht="6" customHeight="1">
      <c r="B47" s="93"/>
      <c r="AG47" s="35"/>
    </row>
    <row r="48" spans="2:33" s="42" customFormat="1" ht="15" customHeight="1">
      <c r="B48" s="94">
        <v>1</v>
      </c>
      <c r="C48" s="95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7"/>
    </row>
    <row r="49" spans="2:55" s="42" customFormat="1" ht="15" customHeight="1">
      <c r="B49" s="43">
        <v>2</v>
      </c>
      <c r="C49" s="7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9"/>
    </row>
    <row r="50" spans="2:55" s="42" customFormat="1" ht="15" customHeight="1">
      <c r="B50" s="43">
        <v>3</v>
      </c>
      <c r="C50" s="7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9"/>
    </row>
    <row r="51" spans="2:55" s="42" customFormat="1" ht="15" customHeight="1">
      <c r="B51" s="43">
        <v>4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9"/>
    </row>
    <row r="52" spans="2:55" s="42" customFormat="1" ht="15" customHeight="1">
      <c r="B52" s="47">
        <v>5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9"/>
    </row>
    <row r="53" spans="2:55" s="42" customFormat="1" ht="15" customHeight="1">
      <c r="B53" s="47" t="s">
        <v>16</v>
      </c>
      <c r="C53" s="44" t="str">
        <f t="shared" ref="C53:AG53" si="0">IF(ISERR(AVERAGE(C48:C52))," ",AVERAGE(C48:C52))</f>
        <v xml:space="preserve"> </v>
      </c>
      <c r="D53" s="45" t="str">
        <f t="shared" si="0"/>
        <v xml:space="preserve"> </v>
      </c>
      <c r="E53" s="45" t="str">
        <f t="shared" si="0"/>
        <v xml:space="preserve"> </v>
      </c>
      <c r="F53" s="45" t="str">
        <f t="shared" si="0"/>
        <v xml:space="preserve"> </v>
      </c>
      <c r="G53" s="45" t="str">
        <f t="shared" si="0"/>
        <v xml:space="preserve"> </v>
      </c>
      <c r="H53" s="45" t="str">
        <f t="shared" si="0"/>
        <v xml:space="preserve"> </v>
      </c>
      <c r="I53" s="45" t="str">
        <f t="shared" si="0"/>
        <v xml:space="preserve"> </v>
      </c>
      <c r="J53" s="45" t="str">
        <f t="shared" si="0"/>
        <v xml:space="preserve"> </v>
      </c>
      <c r="K53" s="45" t="str">
        <f t="shared" si="0"/>
        <v xml:space="preserve"> </v>
      </c>
      <c r="L53" s="45" t="str">
        <f t="shared" si="0"/>
        <v xml:space="preserve"> </v>
      </c>
      <c r="M53" s="45" t="str">
        <f t="shared" si="0"/>
        <v xml:space="preserve"> </v>
      </c>
      <c r="N53" s="45" t="str">
        <f t="shared" si="0"/>
        <v xml:space="preserve"> </v>
      </c>
      <c r="O53" s="45" t="str">
        <f t="shared" si="0"/>
        <v xml:space="preserve"> </v>
      </c>
      <c r="P53" s="45" t="str">
        <f t="shared" si="0"/>
        <v xml:space="preserve"> </v>
      </c>
      <c r="Q53" s="45" t="str">
        <f t="shared" si="0"/>
        <v xml:space="preserve"> </v>
      </c>
      <c r="R53" s="45" t="str">
        <f t="shared" si="0"/>
        <v xml:space="preserve"> </v>
      </c>
      <c r="S53" s="45" t="str">
        <f t="shared" si="0"/>
        <v xml:space="preserve"> </v>
      </c>
      <c r="T53" s="45" t="str">
        <f t="shared" si="0"/>
        <v xml:space="preserve"> </v>
      </c>
      <c r="U53" s="45" t="str">
        <f t="shared" si="0"/>
        <v xml:space="preserve"> </v>
      </c>
      <c r="V53" s="45" t="str">
        <f t="shared" si="0"/>
        <v xml:space="preserve"> </v>
      </c>
      <c r="W53" s="45" t="str">
        <f t="shared" si="0"/>
        <v xml:space="preserve"> </v>
      </c>
      <c r="X53" s="45" t="str">
        <f t="shared" si="0"/>
        <v xml:space="preserve"> </v>
      </c>
      <c r="Y53" s="45" t="str">
        <f t="shared" si="0"/>
        <v xml:space="preserve"> </v>
      </c>
      <c r="Z53" s="45" t="str">
        <f t="shared" si="0"/>
        <v xml:space="preserve"> </v>
      </c>
      <c r="AA53" s="45" t="str">
        <f t="shared" si="0"/>
        <v xml:space="preserve"> </v>
      </c>
      <c r="AB53" s="45" t="str">
        <f t="shared" si="0"/>
        <v xml:space="preserve"> </v>
      </c>
      <c r="AC53" s="45" t="str">
        <f t="shared" si="0"/>
        <v xml:space="preserve"> </v>
      </c>
      <c r="AD53" s="45" t="str">
        <f t="shared" si="0"/>
        <v xml:space="preserve"> </v>
      </c>
      <c r="AE53" s="45" t="str">
        <f t="shared" si="0"/>
        <v xml:space="preserve"> </v>
      </c>
      <c r="AF53" s="45" t="str">
        <f t="shared" si="0"/>
        <v xml:space="preserve"> </v>
      </c>
      <c r="AG53" s="46" t="str">
        <f t="shared" si="0"/>
        <v xml:space="preserve"> </v>
      </c>
    </row>
    <row r="54" spans="2:55" s="42" customFormat="1" ht="15" customHeight="1">
      <c r="B54" s="47" t="s">
        <v>12</v>
      </c>
      <c r="C54" s="48">
        <f t="shared" ref="C54:AG54" si="1">MAX(C48:C52)-MIN(C48:C52)</f>
        <v>0</v>
      </c>
      <c r="D54" s="49">
        <f t="shared" si="1"/>
        <v>0</v>
      </c>
      <c r="E54" s="49">
        <f t="shared" si="1"/>
        <v>0</v>
      </c>
      <c r="F54" s="49">
        <f t="shared" si="1"/>
        <v>0</v>
      </c>
      <c r="G54" s="49">
        <f t="shared" si="1"/>
        <v>0</v>
      </c>
      <c r="H54" s="49">
        <f t="shared" si="1"/>
        <v>0</v>
      </c>
      <c r="I54" s="49">
        <f t="shared" si="1"/>
        <v>0</v>
      </c>
      <c r="J54" s="49">
        <f t="shared" si="1"/>
        <v>0</v>
      </c>
      <c r="K54" s="49">
        <f t="shared" si="1"/>
        <v>0</v>
      </c>
      <c r="L54" s="49">
        <f t="shared" si="1"/>
        <v>0</v>
      </c>
      <c r="M54" s="49">
        <f t="shared" si="1"/>
        <v>0</v>
      </c>
      <c r="N54" s="49">
        <f t="shared" si="1"/>
        <v>0</v>
      </c>
      <c r="O54" s="49">
        <f t="shared" si="1"/>
        <v>0</v>
      </c>
      <c r="P54" s="49">
        <f t="shared" si="1"/>
        <v>0</v>
      </c>
      <c r="Q54" s="49">
        <f t="shared" si="1"/>
        <v>0</v>
      </c>
      <c r="R54" s="115">
        <f t="shared" si="1"/>
        <v>0</v>
      </c>
      <c r="S54" s="115">
        <f t="shared" si="1"/>
        <v>0</v>
      </c>
      <c r="T54" s="115">
        <f t="shared" si="1"/>
        <v>0</v>
      </c>
      <c r="U54" s="115">
        <f t="shared" si="1"/>
        <v>0</v>
      </c>
      <c r="V54" s="115">
        <f t="shared" si="1"/>
        <v>0</v>
      </c>
      <c r="W54" s="115">
        <f t="shared" si="1"/>
        <v>0</v>
      </c>
      <c r="X54" s="115">
        <f t="shared" si="1"/>
        <v>0</v>
      </c>
      <c r="Y54" s="115">
        <f t="shared" si="1"/>
        <v>0</v>
      </c>
      <c r="Z54" s="115">
        <f t="shared" si="1"/>
        <v>0</v>
      </c>
      <c r="AA54" s="115">
        <f t="shared" si="1"/>
        <v>0</v>
      </c>
      <c r="AB54" s="115">
        <f t="shared" si="1"/>
        <v>0</v>
      </c>
      <c r="AC54" s="115">
        <f t="shared" si="1"/>
        <v>0</v>
      </c>
      <c r="AD54" s="115">
        <f t="shared" si="1"/>
        <v>0</v>
      </c>
      <c r="AE54" s="115">
        <f t="shared" si="1"/>
        <v>0</v>
      </c>
      <c r="AF54" s="115">
        <f t="shared" si="1"/>
        <v>0</v>
      </c>
      <c r="AG54" s="116">
        <f t="shared" si="1"/>
        <v>0</v>
      </c>
    </row>
    <row r="55" spans="2:55" s="42" customFormat="1" ht="20.100000000000001" customHeight="1">
      <c r="B55" s="50" t="s">
        <v>17</v>
      </c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9"/>
    </row>
    <row r="56" spans="2:55" s="42" customFormat="1" ht="26.25" thickBot="1">
      <c r="B56" s="136" t="str">
        <f>'P1 - Esp. Lado'!B56</f>
        <v>Visto do Líder / Sublíder</v>
      </c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2"/>
    </row>
    <row r="57" spans="2:55" s="31" customFormat="1" ht="20.100000000000001" customHeight="1">
      <c r="B57" s="171" t="s">
        <v>18</v>
      </c>
      <c r="C57" s="172"/>
      <c r="D57" s="172"/>
      <c r="E57" s="173"/>
      <c r="F57" s="51" t="s">
        <v>19</v>
      </c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8"/>
    </row>
    <row r="58" spans="2:55" s="31" customFormat="1" ht="20.100000000000001" customHeight="1">
      <c r="B58" s="52"/>
      <c r="C58" s="23" t="s">
        <v>20</v>
      </c>
      <c r="D58" s="23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1" customFormat="1" ht="20.100000000000001" customHeight="1">
      <c r="B59" s="174" t="s">
        <v>21</v>
      </c>
      <c r="C59" s="175"/>
      <c r="D59" s="175"/>
      <c r="E59" s="35"/>
      <c r="F59" s="1"/>
      <c r="G59" s="1"/>
      <c r="H59" s="1"/>
      <c r="I59" s="1"/>
      <c r="J59" s="1"/>
      <c r="K59" s="1"/>
      <c r="L59" s="1"/>
      <c r="M59" s="1"/>
      <c r="N59" s="1"/>
      <c r="O59" s="123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1" customFormat="1" ht="20.100000000000001" customHeight="1" thickBot="1">
      <c r="B60" s="53"/>
      <c r="C60" s="54" t="s">
        <v>16</v>
      </c>
      <c r="D60" s="40"/>
      <c r="E60" s="41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1" customFormat="1" ht="7.5" customHeight="1"/>
    <row r="62" spans="2:55" s="31" customFormat="1" ht="15.75">
      <c r="B62" s="176" t="s">
        <v>31</v>
      </c>
      <c r="C62" s="177"/>
      <c r="D62" s="177"/>
      <c r="E62" s="177"/>
      <c r="F62" s="177"/>
      <c r="G62" s="166" t="s">
        <v>22</v>
      </c>
      <c r="H62" s="166"/>
      <c r="I62" s="166"/>
      <c r="J62" s="166"/>
      <c r="K62" s="167"/>
      <c r="L62" s="166" t="s">
        <v>30</v>
      </c>
      <c r="M62" s="166"/>
      <c r="N62" s="166"/>
      <c r="O62" s="166"/>
      <c r="P62" s="166"/>
      <c r="Q62" s="166"/>
      <c r="R62" s="166"/>
      <c r="S62" s="177" t="s">
        <v>32</v>
      </c>
      <c r="T62" s="177"/>
      <c r="U62" s="177"/>
      <c r="V62" s="177"/>
      <c r="W62" s="180" t="s">
        <v>46</v>
      </c>
      <c r="X62" s="177"/>
      <c r="Y62" s="177"/>
      <c r="Z62" s="177"/>
      <c r="AA62" s="177"/>
      <c r="AB62" s="177"/>
      <c r="AC62" s="177" t="s">
        <v>22</v>
      </c>
      <c r="AD62" s="177"/>
      <c r="AE62" s="177"/>
      <c r="AF62" s="177"/>
      <c r="AG62" s="182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</row>
    <row r="63" spans="2:55" s="31" customFormat="1" ht="15.75">
      <c r="B63" s="178"/>
      <c r="C63" s="179"/>
      <c r="D63" s="179"/>
      <c r="E63" s="179"/>
      <c r="F63" s="179"/>
      <c r="G63" s="168"/>
      <c r="H63" s="168"/>
      <c r="I63" s="168"/>
      <c r="J63" s="168"/>
      <c r="K63" s="169"/>
      <c r="L63" s="168"/>
      <c r="M63" s="168"/>
      <c r="N63" s="168"/>
      <c r="O63" s="168"/>
      <c r="P63" s="168"/>
      <c r="Q63" s="168"/>
      <c r="R63" s="168"/>
      <c r="S63" s="179"/>
      <c r="T63" s="179"/>
      <c r="U63" s="179"/>
      <c r="V63" s="179"/>
      <c r="W63" s="181"/>
      <c r="X63" s="179"/>
      <c r="Y63" s="179"/>
      <c r="Z63" s="179"/>
      <c r="AA63" s="179"/>
      <c r="AB63" s="179"/>
      <c r="AC63" s="179"/>
      <c r="AD63" s="179"/>
      <c r="AE63" s="179"/>
      <c r="AF63" s="179"/>
      <c r="AG63" s="183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</row>
    <row r="64" spans="2:55" ht="14.25">
      <c r="B64" s="56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6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</row>
    <row r="65" spans="2:5">
      <c r="B65" s="10" t="s">
        <v>25</v>
      </c>
    </row>
    <row r="66" spans="2:5">
      <c r="B66" s="10" t="s">
        <v>23</v>
      </c>
      <c r="C66" s="58" t="e">
        <f>AVERAGE(C53:AG53)+0.577*C69</f>
        <v>#DIV/0!</v>
      </c>
    </row>
    <row r="67" spans="2:5">
      <c r="B67" s="10" t="s">
        <v>5</v>
      </c>
      <c r="C67" s="58" t="e">
        <f>AVERAGE(C53:AG53)</f>
        <v>#DIV/0!</v>
      </c>
      <c r="D67" s="59" t="s">
        <v>26</v>
      </c>
      <c r="E67" s="10" t="e">
        <f>STDEV(C48:AF52)</f>
        <v>#DIV/0!</v>
      </c>
    </row>
    <row r="68" spans="2:5">
      <c r="B68" s="10" t="s">
        <v>24</v>
      </c>
      <c r="C68" s="58" t="e">
        <f>C67-0.577*C69</f>
        <v>#DIV/0!</v>
      </c>
    </row>
    <row r="69" spans="2:5">
      <c r="B69" s="10" t="s">
        <v>12</v>
      </c>
      <c r="C69" s="58" t="e">
        <f>2.115*(SUM(C54:AG54)/COUNTIF(C54:AG54,"&lt;&gt;0"))</f>
        <v>#DIV/0!</v>
      </c>
    </row>
    <row r="71" spans="2:5">
      <c r="B71" s="10" t="s">
        <v>27</v>
      </c>
    </row>
    <row r="73" spans="2:5">
      <c r="B73" s="10" t="s">
        <v>28</v>
      </c>
      <c r="C73" s="58" t="e">
        <f>E7/(6*E67)</f>
        <v>#DIV/0!</v>
      </c>
    </row>
    <row r="74" spans="2:5">
      <c r="B74" s="10" t="s">
        <v>29</v>
      </c>
      <c r="C74" s="58" t="e">
        <f>MIN((E4-C67)/(3*E67),(C67-E6)/(3*E67))</f>
        <v>#DIV/0!</v>
      </c>
    </row>
    <row r="75" spans="2:5">
      <c r="C75" s="10">
        <f>COUNTIF(C10:AG10,"&gt;0")</f>
        <v>0</v>
      </c>
    </row>
  </sheetData>
  <sheetProtection sheet="1" objects="1" scenarios="1" selectLockedCells="1"/>
  <mergeCells count="29">
    <mergeCell ref="L62:R63"/>
    <mergeCell ref="S62:V63"/>
    <mergeCell ref="W62:AB63"/>
    <mergeCell ref="AC62:AG63"/>
    <mergeCell ref="AS64:BC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D4:AG5"/>
    <mergeCell ref="B13:B14"/>
    <mergeCell ref="B15:B16"/>
    <mergeCell ref="B17:B18"/>
    <mergeCell ref="B19:B20"/>
    <mergeCell ref="Z4:AC5"/>
    <mergeCell ref="B21:B22"/>
    <mergeCell ref="I2:J3"/>
    <mergeCell ref="K2:L3"/>
    <mergeCell ref="M2:Q3"/>
    <mergeCell ref="R2:T2"/>
    <mergeCell ref="R3:T3"/>
  </mergeCells>
  <conditionalFormatting sqref="C48:AG52">
    <cfRule type="expression" dxfId="19" priority="1">
      <formula>(C48&gt;$G$4)*(C48&lt;&gt;0)</formula>
    </cfRule>
    <cfRule type="expression" dxfId="18" priority="2">
      <formula>(C48&lt;$G$6)*(C48&lt;&gt;0)</formula>
    </cfRule>
  </conditionalFormatting>
  <dataValidations count="3">
    <dataValidation type="whole" showInputMessage="1" showErrorMessage="1" errorTitle="Data" error="Digite apenas o dia entre 1 e 31" sqref="E10:AG10" xr:uid="{00000000-0002-0000-0400-000000000000}">
      <formula1>1</formula1>
      <formula2>31</formula2>
    </dataValidation>
    <dataValidation type="whole" showErrorMessage="1" errorTitle="Data" error="Digite apenas o dia entre 1 e 31" sqref="C10:D10" xr:uid="{00000000-0002-0000-0400-000001000000}">
      <formula1>1</formula1>
      <formula2>31</formula2>
    </dataValidation>
    <dataValidation type="list" showErrorMessage="1" promptTitle="Turno" prompt="Escolha" sqref="C11:AG11" xr:uid="{00000000-0002-0000-04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16-089-02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05">
    <tabColor indexed="47"/>
    <pageSetUpPr fitToPage="1"/>
  </sheetPr>
  <dimension ref="B1:BC85"/>
  <sheetViews>
    <sheetView showZeros="0" topLeftCell="A19" zoomScaleNormal="100" workbookViewId="0">
      <selection activeCell="C55" sqref="C55"/>
    </sheetView>
  </sheetViews>
  <sheetFormatPr defaultColWidth="10.28515625" defaultRowHeight="12.75"/>
  <cols>
    <col min="1" max="1" width="1.5703125" style="10" customWidth="1"/>
    <col min="2" max="2" width="16.140625" style="10" customWidth="1"/>
    <col min="3" max="33" width="6.7109375" style="10" customWidth="1"/>
    <col min="34" max="34" width="3.140625" style="10" customWidth="1"/>
    <col min="35" max="55" width="6.7109375" style="10" customWidth="1"/>
    <col min="56" max="16384" width="10.28515625" style="10"/>
  </cols>
  <sheetData>
    <row r="1" spans="2:50" ht="21.75" thickBot="1">
      <c r="B1" s="80" t="s">
        <v>42</v>
      </c>
      <c r="C1" s="81"/>
      <c r="D1" s="81"/>
      <c r="E1" s="81"/>
      <c r="F1" s="82"/>
      <c r="G1" s="82"/>
      <c r="H1" s="83"/>
      <c r="I1" s="104" t="s">
        <v>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3"/>
      <c r="AX1" s="11"/>
    </row>
    <row r="2" spans="2:50" s="12" customFormat="1" ht="19.5" customHeight="1">
      <c r="B2" s="84" t="s">
        <v>43</v>
      </c>
      <c r="C2" s="85"/>
      <c r="D2" s="86"/>
      <c r="E2" s="86"/>
      <c r="F2" s="87"/>
      <c r="G2" s="87"/>
      <c r="H2" s="88"/>
      <c r="I2" s="139" t="s">
        <v>0</v>
      </c>
      <c r="J2" s="140"/>
      <c r="K2" s="143" t="str">
        <f>'P1 - Esp. Lado'!K2:L3</f>
        <v>UM-3</v>
      </c>
      <c r="L2" s="144"/>
      <c r="M2" s="147" t="s">
        <v>53</v>
      </c>
      <c r="N2" s="148"/>
      <c r="O2" s="148"/>
      <c r="P2" s="148"/>
      <c r="Q2" s="149"/>
      <c r="R2" s="153" t="s">
        <v>1</v>
      </c>
      <c r="S2" s="154"/>
      <c r="T2" s="155"/>
      <c r="U2" s="13" t="s">
        <v>48</v>
      </c>
      <c r="V2" s="14"/>
      <c r="W2" s="14"/>
      <c r="X2" s="14"/>
      <c r="Y2" s="14"/>
      <c r="Z2" s="15"/>
      <c r="AA2" s="15"/>
      <c r="AB2" s="15"/>
      <c r="AC2" s="15"/>
      <c r="AD2" s="15"/>
      <c r="AE2" s="89"/>
      <c r="AF2" s="89"/>
      <c r="AG2" s="90"/>
    </row>
    <row r="3" spans="2:50" ht="16.899999999999999" customHeight="1" thickBot="1">
      <c r="B3" s="64"/>
      <c r="I3" s="141"/>
      <c r="J3" s="142"/>
      <c r="K3" s="145"/>
      <c r="L3" s="146"/>
      <c r="M3" s="150"/>
      <c r="N3" s="151"/>
      <c r="O3" s="151"/>
      <c r="P3" s="151"/>
      <c r="Q3" s="152"/>
      <c r="R3" s="156" t="s">
        <v>2</v>
      </c>
      <c r="S3" s="157"/>
      <c r="T3" s="158"/>
      <c r="U3" s="16" t="s">
        <v>45</v>
      </c>
      <c r="V3" s="17"/>
      <c r="W3" s="17"/>
      <c r="X3" s="17"/>
      <c r="Y3" s="17"/>
      <c r="Z3" s="17"/>
      <c r="AA3" s="17"/>
      <c r="AB3" s="17"/>
      <c r="AC3" s="17"/>
      <c r="AD3" s="17"/>
      <c r="AE3" s="91"/>
      <c r="AF3" s="91"/>
      <c r="AG3" s="92"/>
    </row>
    <row r="4" spans="2:50" s="23" customFormat="1" ht="16.899999999999999" customHeight="1">
      <c r="B4" s="65" t="s">
        <v>3</v>
      </c>
      <c r="C4" s="18"/>
      <c r="D4" s="103" t="s">
        <v>4</v>
      </c>
      <c r="E4" s="102">
        <f>E5+E7/2</f>
        <v>0.25</v>
      </c>
      <c r="F4" s="105" t="s">
        <v>34</v>
      </c>
      <c r="G4" s="106">
        <f>G5+G7/2</f>
        <v>0.24</v>
      </c>
      <c r="H4" s="107"/>
      <c r="I4" s="108"/>
      <c r="Z4" s="164" t="str">
        <f ca="1">'P1 - Esp. Lado'!Z4:AC5</f>
        <v>MÊS: 03</v>
      </c>
      <c r="AA4" s="159"/>
      <c r="AB4" s="159"/>
      <c r="AC4" s="159"/>
      <c r="AD4" s="159" t="s">
        <v>51</v>
      </c>
      <c r="AE4" s="159"/>
      <c r="AF4" s="159"/>
      <c r="AG4" s="160"/>
    </row>
    <row r="5" spans="2:50" s="23" customFormat="1" ht="16.899999999999999" customHeight="1" thickBot="1">
      <c r="B5" s="66" t="str">
        <f>'P1 - Esp. Lado'!B5</f>
        <v>SJCPIL-I 16-013-XX</v>
      </c>
      <c r="C5" s="24" t="s">
        <v>5</v>
      </c>
      <c r="D5" s="101" t="s">
        <v>6</v>
      </c>
      <c r="E5" s="100">
        <f>'P1 - Esp. Lado'!$E$5</f>
        <v>0.22</v>
      </c>
      <c r="F5" s="109" t="s">
        <v>6</v>
      </c>
      <c r="G5" s="110">
        <f>E5</f>
        <v>0.22</v>
      </c>
      <c r="H5" s="107"/>
      <c r="I5" s="23" t="s">
        <v>33</v>
      </c>
      <c r="R5" s="23" t="s">
        <v>7</v>
      </c>
      <c r="Z5" s="165"/>
      <c r="AA5" s="161"/>
      <c r="AB5" s="161"/>
      <c r="AC5" s="161"/>
      <c r="AD5" s="161"/>
      <c r="AE5" s="161"/>
      <c r="AF5" s="161"/>
      <c r="AG5" s="162"/>
    </row>
    <row r="6" spans="2:50" s="23" customFormat="1" ht="16.899999999999999" customHeight="1">
      <c r="B6" s="67" t="s">
        <v>8</v>
      </c>
      <c r="C6" s="29"/>
      <c r="D6" s="101" t="s">
        <v>9</v>
      </c>
      <c r="E6" s="100">
        <f>E5-E7/2</f>
        <v>0.19</v>
      </c>
      <c r="F6" s="109" t="s">
        <v>35</v>
      </c>
      <c r="G6" s="110">
        <f>G5-G7/2</f>
        <v>0.2</v>
      </c>
      <c r="H6" s="107"/>
      <c r="I6" s="23" t="s">
        <v>10</v>
      </c>
      <c r="R6" s="23" t="s">
        <v>11</v>
      </c>
      <c r="AC6" s="68"/>
      <c r="AD6" s="68"/>
      <c r="AG6" s="69"/>
    </row>
    <row r="7" spans="2:50" s="23" customFormat="1" ht="16.899999999999999" customHeight="1" thickBot="1">
      <c r="B7" s="70"/>
      <c r="C7" s="71" t="s">
        <v>12</v>
      </c>
      <c r="D7" s="99" t="s">
        <v>4</v>
      </c>
      <c r="E7" s="98">
        <v>0.06</v>
      </c>
      <c r="F7" s="111" t="s">
        <v>34</v>
      </c>
      <c r="G7" s="112">
        <v>0.04</v>
      </c>
      <c r="H7" s="113"/>
      <c r="I7" s="72" t="s">
        <v>13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3"/>
      <c r="AD7" s="73"/>
      <c r="AE7" s="72"/>
      <c r="AF7" s="72"/>
      <c r="AG7" s="74"/>
    </row>
    <row r="8" spans="2:50" s="23" customFormat="1" ht="4.5" customHeight="1" thickBot="1"/>
    <row r="9" spans="2:50" s="31" customFormat="1">
      <c r="B9" s="30" t="s">
        <v>14</v>
      </c>
      <c r="C9" s="60">
        <v>1</v>
      </c>
      <c r="D9" s="60">
        <v>2</v>
      </c>
      <c r="E9" s="60">
        <v>3</v>
      </c>
      <c r="F9" s="60">
        <v>4</v>
      </c>
      <c r="G9" s="60">
        <v>5</v>
      </c>
      <c r="H9" s="60">
        <v>6</v>
      </c>
      <c r="I9" s="60">
        <v>7</v>
      </c>
      <c r="J9" s="60">
        <v>8</v>
      </c>
      <c r="K9" s="60">
        <v>9</v>
      </c>
      <c r="L9" s="60">
        <v>10</v>
      </c>
      <c r="M9" s="60">
        <v>11</v>
      </c>
      <c r="N9" s="60">
        <v>12</v>
      </c>
      <c r="O9" s="60">
        <v>13</v>
      </c>
      <c r="P9" s="60">
        <v>14</v>
      </c>
      <c r="Q9" s="60">
        <v>15</v>
      </c>
      <c r="R9" s="60">
        <v>16</v>
      </c>
      <c r="S9" s="60">
        <v>17</v>
      </c>
      <c r="T9" s="60">
        <v>18</v>
      </c>
      <c r="U9" s="60">
        <v>19</v>
      </c>
      <c r="V9" s="60">
        <v>20</v>
      </c>
      <c r="W9" s="60">
        <v>21</v>
      </c>
      <c r="X9" s="60">
        <v>22</v>
      </c>
      <c r="Y9" s="60">
        <v>23</v>
      </c>
      <c r="Z9" s="60">
        <v>24</v>
      </c>
      <c r="AA9" s="60">
        <v>25</v>
      </c>
      <c r="AB9" s="60">
        <v>26</v>
      </c>
      <c r="AC9" s="60">
        <v>27</v>
      </c>
      <c r="AD9" s="60">
        <v>28</v>
      </c>
      <c r="AE9" s="60">
        <v>29</v>
      </c>
      <c r="AF9" s="60">
        <v>30</v>
      </c>
      <c r="AG9" s="61">
        <v>31</v>
      </c>
    </row>
    <row r="10" spans="2:50" s="31" customFormat="1" ht="14.1" customHeight="1">
      <c r="B10" s="32" t="s">
        <v>15</v>
      </c>
      <c r="C10" s="114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1" customFormat="1" ht="14.1" customHeight="1">
      <c r="B11" s="33" t="s">
        <v>37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1" customFormat="1" ht="12" customHeight="1">
      <c r="B12" s="34"/>
      <c r="AG12" s="35"/>
    </row>
    <row r="13" spans="2:50" s="31" customFormat="1" ht="12" customHeight="1">
      <c r="B13" s="163"/>
      <c r="AG13" s="35"/>
    </row>
    <row r="14" spans="2:50" s="31" customFormat="1" ht="12" customHeight="1">
      <c r="B14" s="163"/>
      <c r="AG14" s="35"/>
    </row>
    <row r="15" spans="2:50" s="31" customFormat="1" ht="12" customHeight="1">
      <c r="B15" s="138"/>
      <c r="AG15" s="35"/>
    </row>
    <row r="16" spans="2:50" s="31" customFormat="1" ht="12" customHeight="1">
      <c r="B16" s="138"/>
      <c r="AG16" s="35"/>
    </row>
    <row r="17" spans="2:33" s="31" customFormat="1" ht="12" customHeight="1">
      <c r="B17" s="138"/>
      <c r="AG17" s="35"/>
    </row>
    <row r="18" spans="2:33" s="31" customFormat="1" ht="12" customHeight="1">
      <c r="B18" s="138"/>
      <c r="AG18" s="35"/>
    </row>
    <row r="19" spans="2:33" s="31" customFormat="1" ht="12" customHeight="1">
      <c r="B19" s="138"/>
      <c r="AG19" s="35"/>
    </row>
    <row r="20" spans="2:33" s="31" customFormat="1" ht="12" customHeight="1">
      <c r="B20" s="138"/>
      <c r="AG20" s="35"/>
    </row>
    <row r="21" spans="2:33" s="31" customFormat="1" ht="12" customHeight="1">
      <c r="B21" s="138"/>
      <c r="AG21" s="35"/>
    </row>
    <row r="22" spans="2:33" s="31" customFormat="1" ht="12" customHeight="1">
      <c r="B22" s="138"/>
      <c r="AG22" s="35"/>
    </row>
    <row r="23" spans="2:33" s="31" customFormat="1" ht="12" customHeight="1">
      <c r="B23" s="163"/>
      <c r="AG23" s="35"/>
    </row>
    <row r="24" spans="2:33" s="31" customFormat="1" ht="12" customHeight="1">
      <c r="B24" s="163"/>
      <c r="AG24" s="35"/>
    </row>
    <row r="25" spans="2:33" s="31" customFormat="1" ht="12" customHeight="1">
      <c r="B25" s="138"/>
      <c r="AG25" s="35"/>
    </row>
    <row r="26" spans="2:33" s="31" customFormat="1" ht="12" customHeight="1">
      <c r="B26" s="138"/>
      <c r="AG26" s="35"/>
    </row>
    <row r="27" spans="2:33" s="31" customFormat="1" ht="12" customHeight="1">
      <c r="B27" s="138"/>
      <c r="AG27" s="35"/>
    </row>
    <row r="28" spans="2:33" s="31" customFormat="1" ht="12" customHeight="1">
      <c r="B28" s="138"/>
      <c r="AG28" s="35"/>
    </row>
    <row r="29" spans="2:33" s="31" customFormat="1" ht="12" customHeight="1">
      <c r="B29" s="138"/>
      <c r="AG29" s="35"/>
    </row>
    <row r="30" spans="2:33" s="31" customFormat="1" ht="12" customHeight="1">
      <c r="B30" s="138"/>
      <c r="AG30" s="35"/>
    </row>
    <row r="31" spans="2:33" s="31" customFormat="1" ht="12" customHeight="1">
      <c r="B31" s="138"/>
      <c r="AG31" s="35"/>
    </row>
    <row r="32" spans="2:33" s="31" customFormat="1" ht="12" customHeight="1">
      <c r="B32" s="138"/>
      <c r="AG32" s="35"/>
    </row>
    <row r="33" spans="2:33" s="31" customFormat="1" ht="12" customHeight="1">
      <c r="B33" s="163"/>
      <c r="AG33" s="35"/>
    </row>
    <row r="34" spans="2:33" s="31" customFormat="1" ht="12" customHeight="1">
      <c r="B34" s="163"/>
      <c r="AG34" s="35"/>
    </row>
    <row r="35" spans="2:33" s="31" customFormat="1" ht="12" customHeight="1" thickBot="1">
      <c r="B35" s="36"/>
      <c r="AG35" s="35"/>
    </row>
    <row r="36" spans="2:33" s="31" customFormat="1" ht="12" customHeight="1">
      <c r="B36" s="17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8"/>
    </row>
    <row r="37" spans="2:33" s="31" customFormat="1" ht="12" customHeight="1">
      <c r="B37" s="163"/>
      <c r="AG37" s="35"/>
    </row>
    <row r="38" spans="2:33" s="31" customFormat="1" ht="12" customHeight="1">
      <c r="B38" s="79"/>
      <c r="AG38" s="35"/>
    </row>
    <row r="39" spans="2:33" s="31" customFormat="1" ht="12" customHeight="1">
      <c r="B39" s="79"/>
      <c r="AG39" s="35"/>
    </row>
    <row r="40" spans="2:33" s="31" customFormat="1" ht="12" customHeight="1">
      <c r="B40" s="79"/>
      <c r="AG40" s="35"/>
    </row>
    <row r="41" spans="2:33" s="31" customFormat="1" ht="12" customHeight="1">
      <c r="B41" s="163"/>
      <c r="AG41" s="35"/>
    </row>
    <row r="42" spans="2:33" s="31" customFormat="1" ht="12" customHeight="1">
      <c r="B42" s="163"/>
      <c r="AG42" s="35"/>
    </row>
    <row r="43" spans="2:33" s="31" customFormat="1" ht="12" customHeight="1">
      <c r="B43" s="79"/>
      <c r="AG43" s="35"/>
    </row>
    <row r="44" spans="2:33" s="31" customFormat="1" ht="12" customHeight="1">
      <c r="B44" s="79"/>
      <c r="AG44" s="35"/>
    </row>
    <row r="45" spans="2:33" s="31" customFormat="1" ht="12" customHeight="1">
      <c r="B45" s="79"/>
      <c r="AG45" s="35"/>
    </row>
    <row r="46" spans="2:33" s="31" customFormat="1" ht="12" customHeight="1" thickBot="1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1"/>
    </row>
    <row r="47" spans="2:33" s="31" customFormat="1" ht="6" customHeight="1">
      <c r="B47" s="93"/>
      <c r="AG47" s="35"/>
    </row>
    <row r="48" spans="2:33" s="42" customFormat="1" ht="15" customHeight="1">
      <c r="B48" s="94">
        <v>1</v>
      </c>
      <c r="C48" s="95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7"/>
    </row>
    <row r="49" spans="2:55" s="42" customFormat="1" ht="15" customHeight="1">
      <c r="B49" s="43">
        <v>2</v>
      </c>
      <c r="C49" s="7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9"/>
    </row>
    <row r="50" spans="2:55" s="42" customFormat="1" ht="15" customHeight="1">
      <c r="B50" s="43">
        <v>3</v>
      </c>
      <c r="C50" s="7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9"/>
    </row>
    <row r="51" spans="2:55" s="42" customFormat="1" ht="15" customHeight="1">
      <c r="B51" s="43">
        <v>4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9"/>
    </row>
    <row r="52" spans="2:55" s="42" customFormat="1" ht="15" customHeight="1">
      <c r="B52" s="47">
        <v>5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9"/>
    </row>
    <row r="53" spans="2:55" s="42" customFormat="1" ht="15" customHeight="1">
      <c r="B53" s="47" t="s">
        <v>16</v>
      </c>
      <c r="C53" s="44" t="str">
        <f t="shared" ref="C53:AG53" si="0">IF(ISERR(AVERAGE(C48:C52))," ",AVERAGE(C48:C52))</f>
        <v xml:space="preserve"> </v>
      </c>
      <c r="D53" s="45" t="str">
        <f t="shared" si="0"/>
        <v xml:space="preserve"> </v>
      </c>
      <c r="E53" s="45" t="str">
        <f t="shared" si="0"/>
        <v xml:space="preserve"> </v>
      </c>
      <c r="F53" s="45" t="str">
        <f t="shared" si="0"/>
        <v xml:space="preserve"> </v>
      </c>
      <c r="G53" s="45" t="str">
        <f t="shared" si="0"/>
        <v xml:space="preserve"> </v>
      </c>
      <c r="H53" s="45" t="str">
        <f t="shared" si="0"/>
        <v xml:space="preserve"> </v>
      </c>
      <c r="I53" s="45" t="str">
        <f t="shared" si="0"/>
        <v xml:space="preserve"> </v>
      </c>
      <c r="J53" s="45" t="str">
        <f t="shared" si="0"/>
        <v xml:space="preserve"> </v>
      </c>
      <c r="K53" s="45" t="str">
        <f t="shared" si="0"/>
        <v xml:space="preserve"> </v>
      </c>
      <c r="L53" s="45" t="str">
        <f t="shared" si="0"/>
        <v xml:space="preserve"> </v>
      </c>
      <c r="M53" s="45" t="str">
        <f t="shared" si="0"/>
        <v xml:space="preserve"> </v>
      </c>
      <c r="N53" s="45" t="str">
        <f t="shared" si="0"/>
        <v xml:space="preserve"> </v>
      </c>
      <c r="O53" s="45" t="str">
        <f t="shared" si="0"/>
        <v xml:space="preserve"> </v>
      </c>
      <c r="P53" s="45" t="str">
        <f t="shared" si="0"/>
        <v xml:space="preserve"> </v>
      </c>
      <c r="Q53" s="45" t="str">
        <f t="shared" si="0"/>
        <v xml:space="preserve"> </v>
      </c>
      <c r="R53" s="45" t="str">
        <f t="shared" si="0"/>
        <v xml:space="preserve"> </v>
      </c>
      <c r="S53" s="45" t="str">
        <f t="shared" si="0"/>
        <v xml:space="preserve"> </v>
      </c>
      <c r="T53" s="45" t="str">
        <f t="shared" si="0"/>
        <v xml:space="preserve"> </v>
      </c>
      <c r="U53" s="45" t="str">
        <f t="shared" si="0"/>
        <v xml:space="preserve"> </v>
      </c>
      <c r="V53" s="45" t="str">
        <f t="shared" si="0"/>
        <v xml:space="preserve"> </v>
      </c>
      <c r="W53" s="45" t="str">
        <f t="shared" si="0"/>
        <v xml:space="preserve"> </v>
      </c>
      <c r="X53" s="45" t="str">
        <f t="shared" si="0"/>
        <v xml:space="preserve"> </v>
      </c>
      <c r="Y53" s="45" t="str">
        <f t="shared" si="0"/>
        <v xml:space="preserve"> </v>
      </c>
      <c r="Z53" s="45" t="str">
        <f t="shared" si="0"/>
        <v xml:space="preserve"> </v>
      </c>
      <c r="AA53" s="45" t="str">
        <f t="shared" si="0"/>
        <v xml:space="preserve"> </v>
      </c>
      <c r="AB53" s="45" t="str">
        <f t="shared" si="0"/>
        <v xml:space="preserve"> </v>
      </c>
      <c r="AC53" s="45" t="str">
        <f t="shared" si="0"/>
        <v xml:space="preserve"> </v>
      </c>
      <c r="AD53" s="45" t="str">
        <f t="shared" si="0"/>
        <v xml:space="preserve"> </v>
      </c>
      <c r="AE53" s="45" t="str">
        <f t="shared" si="0"/>
        <v xml:space="preserve"> </v>
      </c>
      <c r="AF53" s="45" t="str">
        <f t="shared" si="0"/>
        <v xml:space="preserve"> </v>
      </c>
      <c r="AG53" s="46" t="str">
        <f t="shared" si="0"/>
        <v xml:space="preserve"> </v>
      </c>
    </row>
    <row r="54" spans="2:55" s="42" customFormat="1" ht="15" customHeight="1">
      <c r="B54" s="47" t="s">
        <v>12</v>
      </c>
      <c r="C54" s="48">
        <f t="shared" ref="C54:AG54" si="1">MAX(C48:C52)-MIN(C48:C52)</f>
        <v>0</v>
      </c>
      <c r="D54" s="49">
        <f t="shared" si="1"/>
        <v>0</v>
      </c>
      <c r="E54" s="49">
        <f t="shared" si="1"/>
        <v>0</v>
      </c>
      <c r="F54" s="49">
        <f t="shared" si="1"/>
        <v>0</v>
      </c>
      <c r="G54" s="49">
        <f t="shared" si="1"/>
        <v>0</v>
      </c>
      <c r="H54" s="49">
        <f t="shared" si="1"/>
        <v>0</v>
      </c>
      <c r="I54" s="49">
        <f t="shared" si="1"/>
        <v>0</v>
      </c>
      <c r="J54" s="49">
        <f t="shared" si="1"/>
        <v>0</v>
      </c>
      <c r="K54" s="49">
        <f t="shared" si="1"/>
        <v>0</v>
      </c>
      <c r="L54" s="49">
        <f t="shared" si="1"/>
        <v>0</v>
      </c>
      <c r="M54" s="49">
        <f t="shared" si="1"/>
        <v>0</v>
      </c>
      <c r="N54" s="49">
        <f t="shared" si="1"/>
        <v>0</v>
      </c>
      <c r="O54" s="49">
        <f t="shared" si="1"/>
        <v>0</v>
      </c>
      <c r="P54" s="49">
        <f t="shared" si="1"/>
        <v>0</v>
      </c>
      <c r="Q54" s="49">
        <f t="shared" si="1"/>
        <v>0</v>
      </c>
      <c r="R54" s="115">
        <f t="shared" si="1"/>
        <v>0</v>
      </c>
      <c r="S54" s="115">
        <f t="shared" si="1"/>
        <v>0</v>
      </c>
      <c r="T54" s="115">
        <f t="shared" si="1"/>
        <v>0</v>
      </c>
      <c r="U54" s="115">
        <f t="shared" si="1"/>
        <v>0</v>
      </c>
      <c r="V54" s="115">
        <f t="shared" si="1"/>
        <v>0</v>
      </c>
      <c r="W54" s="115">
        <f t="shared" si="1"/>
        <v>0</v>
      </c>
      <c r="X54" s="115">
        <f t="shared" si="1"/>
        <v>0</v>
      </c>
      <c r="Y54" s="115">
        <f t="shared" si="1"/>
        <v>0</v>
      </c>
      <c r="Z54" s="115">
        <f t="shared" si="1"/>
        <v>0</v>
      </c>
      <c r="AA54" s="115">
        <f t="shared" si="1"/>
        <v>0</v>
      </c>
      <c r="AB54" s="115">
        <f t="shared" si="1"/>
        <v>0</v>
      </c>
      <c r="AC54" s="115">
        <f t="shared" si="1"/>
        <v>0</v>
      </c>
      <c r="AD54" s="115">
        <f t="shared" si="1"/>
        <v>0</v>
      </c>
      <c r="AE54" s="115">
        <f t="shared" si="1"/>
        <v>0</v>
      </c>
      <c r="AF54" s="115">
        <f t="shared" si="1"/>
        <v>0</v>
      </c>
      <c r="AG54" s="116">
        <f t="shared" si="1"/>
        <v>0</v>
      </c>
    </row>
    <row r="55" spans="2:55" s="42" customFormat="1" ht="20.100000000000001" customHeight="1">
      <c r="B55" s="50" t="s">
        <v>17</v>
      </c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9"/>
    </row>
    <row r="56" spans="2:55" s="42" customFormat="1" ht="26.25" thickBot="1">
      <c r="B56" s="136" t="str">
        <f>'P1 - Esp. Lado'!B56</f>
        <v>Visto do Líder / Sublíder</v>
      </c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2"/>
    </row>
    <row r="57" spans="2:55" s="31" customFormat="1" ht="20.100000000000001" customHeight="1">
      <c r="B57" s="171" t="s">
        <v>18</v>
      </c>
      <c r="C57" s="172"/>
      <c r="D57" s="172"/>
      <c r="E57" s="173"/>
      <c r="F57" s="51" t="s">
        <v>19</v>
      </c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8"/>
    </row>
    <row r="58" spans="2:55" s="31" customFormat="1" ht="20.100000000000001" customHeight="1">
      <c r="B58" s="52"/>
      <c r="C58" s="23" t="s">
        <v>20</v>
      </c>
      <c r="D58" s="23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1" customFormat="1" ht="20.100000000000001" customHeight="1">
      <c r="B59" s="174" t="s">
        <v>21</v>
      </c>
      <c r="C59" s="175"/>
      <c r="D59" s="175"/>
      <c r="E59" s="35"/>
      <c r="F59" s="1"/>
      <c r="G59" s="1"/>
      <c r="H59" s="1"/>
      <c r="I59" s="1"/>
      <c r="J59" s="1"/>
      <c r="K59" s="1"/>
      <c r="L59" s="1"/>
      <c r="M59" s="1"/>
      <c r="N59" s="1"/>
      <c r="O59" s="123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1" customFormat="1" ht="20.100000000000001" customHeight="1" thickBot="1">
      <c r="B60" s="53"/>
      <c r="C60" s="54" t="s">
        <v>16</v>
      </c>
      <c r="D60" s="40"/>
      <c r="E60" s="41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1" customFormat="1" ht="7.5" customHeight="1"/>
    <row r="62" spans="2:55" s="31" customFormat="1" ht="15.75">
      <c r="B62" s="176" t="s">
        <v>31</v>
      </c>
      <c r="C62" s="177"/>
      <c r="D62" s="177"/>
      <c r="E62" s="177"/>
      <c r="F62" s="177"/>
      <c r="G62" s="166" t="s">
        <v>22</v>
      </c>
      <c r="H62" s="166"/>
      <c r="I62" s="166"/>
      <c r="J62" s="166"/>
      <c r="K62" s="167"/>
      <c r="L62" s="166" t="s">
        <v>30</v>
      </c>
      <c r="M62" s="166"/>
      <c r="N62" s="166"/>
      <c r="O62" s="166"/>
      <c r="P62" s="166"/>
      <c r="Q62" s="166"/>
      <c r="R62" s="166"/>
      <c r="S62" s="177" t="s">
        <v>32</v>
      </c>
      <c r="T62" s="177"/>
      <c r="U62" s="177"/>
      <c r="V62" s="177"/>
      <c r="W62" s="180" t="s">
        <v>46</v>
      </c>
      <c r="X62" s="177"/>
      <c r="Y62" s="177"/>
      <c r="Z62" s="177"/>
      <c r="AA62" s="177"/>
      <c r="AB62" s="177"/>
      <c r="AC62" s="177" t="s">
        <v>22</v>
      </c>
      <c r="AD62" s="177"/>
      <c r="AE62" s="177"/>
      <c r="AF62" s="177"/>
      <c r="AG62" s="182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</row>
    <row r="63" spans="2:55" s="31" customFormat="1" ht="15.75">
      <c r="B63" s="178"/>
      <c r="C63" s="179"/>
      <c r="D63" s="179"/>
      <c r="E63" s="179"/>
      <c r="F63" s="179"/>
      <c r="G63" s="168"/>
      <c r="H63" s="168"/>
      <c r="I63" s="168"/>
      <c r="J63" s="168"/>
      <c r="K63" s="169"/>
      <c r="L63" s="168"/>
      <c r="M63" s="168"/>
      <c r="N63" s="168"/>
      <c r="O63" s="168"/>
      <c r="P63" s="168"/>
      <c r="Q63" s="168"/>
      <c r="R63" s="168"/>
      <c r="S63" s="179"/>
      <c r="T63" s="179"/>
      <c r="U63" s="179"/>
      <c r="V63" s="179"/>
      <c r="W63" s="181"/>
      <c r="X63" s="179"/>
      <c r="Y63" s="179"/>
      <c r="Z63" s="179"/>
      <c r="AA63" s="179"/>
      <c r="AB63" s="179"/>
      <c r="AC63" s="179"/>
      <c r="AD63" s="179"/>
      <c r="AE63" s="179"/>
      <c r="AF63" s="179"/>
      <c r="AG63" s="183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</row>
    <row r="64" spans="2:55" ht="14.25">
      <c r="B64" s="56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6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</row>
    <row r="65" spans="2:5">
      <c r="B65" s="10" t="s">
        <v>25</v>
      </c>
    </row>
    <row r="66" spans="2:5">
      <c r="B66" s="10" t="s">
        <v>23</v>
      </c>
      <c r="C66" s="58" t="e">
        <f>AVERAGE(C53:AG53)+0.577*C69</f>
        <v>#DIV/0!</v>
      </c>
    </row>
    <row r="67" spans="2:5">
      <c r="B67" s="10" t="s">
        <v>5</v>
      </c>
      <c r="C67" s="58" t="e">
        <f>AVERAGE(C53:AG53)</f>
        <v>#DIV/0!</v>
      </c>
      <c r="D67" s="59" t="s">
        <v>26</v>
      </c>
      <c r="E67" s="10" t="e">
        <f>STDEV(C48:AF52)</f>
        <v>#DIV/0!</v>
      </c>
    </row>
    <row r="68" spans="2:5">
      <c r="B68" s="10" t="s">
        <v>24</v>
      </c>
      <c r="C68" s="58" t="e">
        <f>C67-0.577*C69</f>
        <v>#DIV/0!</v>
      </c>
    </row>
    <row r="69" spans="2:5">
      <c r="B69" s="10" t="s">
        <v>12</v>
      </c>
      <c r="C69" s="58" t="e">
        <f>2.115*(SUM(C54:AG54)/COUNTIF(C54:AG54,"&lt;&gt;0"))</f>
        <v>#DIV/0!</v>
      </c>
    </row>
    <row r="71" spans="2:5">
      <c r="B71" s="10" t="s">
        <v>27</v>
      </c>
    </row>
    <row r="73" spans="2:5">
      <c r="B73" s="10" t="s">
        <v>28</v>
      </c>
      <c r="C73" s="58" t="e">
        <f>E7/(6*E67)</f>
        <v>#DIV/0!</v>
      </c>
    </row>
    <row r="74" spans="2:5">
      <c r="B74" s="10" t="s">
        <v>29</v>
      </c>
      <c r="C74" s="58" t="e">
        <f>MIN(($E$4-$C$67)/(3*$E$67),($C$67-$E$6)/(3*$E$67))</f>
        <v>#DIV/0!</v>
      </c>
    </row>
    <row r="75" spans="2:5">
      <c r="C75" s="10">
        <f>COUNTIF(C10:AG10,"&gt;0")</f>
        <v>0</v>
      </c>
    </row>
    <row r="79" spans="2:5" ht="13.5" thickBot="1"/>
    <row r="80" spans="2:5">
      <c r="B80" s="124" t="s">
        <v>59</v>
      </c>
      <c r="C80" s="125"/>
    </row>
    <row r="81" spans="2:3">
      <c r="B81" s="126" t="s">
        <v>60</v>
      </c>
      <c r="C81" s="128" t="e">
        <f>AVERAGE(Mediçao_Lado_P1,Medição_lado_P2,Medição_lado_P3)</f>
        <v>#DIV/0!</v>
      </c>
    </row>
    <row r="82" spans="2:3">
      <c r="B82" s="64" t="s">
        <v>61</v>
      </c>
      <c r="C82" s="128" t="e">
        <f>_xlfn.STDEV.S(Mediçao_Lado_P1,Medição_lado_P2,Medição_lado_P3)</f>
        <v>#DIV/0!</v>
      </c>
    </row>
    <row r="83" spans="2:3">
      <c r="B83" s="64"/>
      <c r="C83" s="127"/>
    </row>
    <row r="84" spans="2:3">
      <c r="B84" s="64" t="s">
        <v>28</v>
      </c>
      <c r="C84" s="128" t="e">
        <f>E7/(6*C82)</f>
        <v>#DIV/0!</v>
      </c>
    </row>
    <row r="85" spans="2:3" ht="13.5" thickBot="1">
      <c r="B85" s="129" t="s">
        <v>29</v>
      </c>
      <c r="C85" s="130" t="e">
        <f>MIN(($E$4-$C$81)/(3*$C$82),($C$81-$E$6)/(3*$C$82))</f>
        <v>#DIV/0!</v>
      </c>
    </row>
  </sheetData>
  <sheetProtection sheet="1" objects="1" scenarios="1" selectLockedCells="1"/>
  <mergeCells count="29">
    <mergeCell ref="L62:R63"/>
    <mergeCell ref="S62:V63"/>
    <mergeCell ref="W62:AB63"/>
    <mergeCell ref="AC62:AG63"/>
    <mergeCell ref="AS64:BC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D4:AG5"/>
    <mergeCell ref="B13:B14"/>
    <mergeCell ref="B15:B16"/>
    <mergeCell ref="B17:B18"/>
    <mergeCell ref="B19:B20"/>
    <mergeCell ref="Z4:AC5"/>
    <mergeCell ref="B21:B22"/>
    <mergeCell ref="I2:J3"/>
    <mergeCell ref="K2:L3"/>
    <mergeCell ref="M2:Q3"/>
    <mergeCell ref="R2:T2"/>
    <mergeCell ref="R3:T3"/>
  </mergeCells>
  <conditionalFormatting sqref="C48:AG52">
    <cfRule type="expression" dxfId="17" priority="1">
      <formula>(C48&gt;$G$4)*(C48&lt;&gt;0)</formula>
    </cfRule>
    <cfRule type="expression" dxfId="16" priority="2">
      <formula>(C48&lt;$G$6)*(C48&lt;&gt;0)</formula>
    </cfRule>
  </conditionalFormatting>
  <dataValidations count="3">
    <dataValidation type="whole" showInputMessage="1" showErrorMessage="1" errorTitle="Data" error="Digite apenas o dia entre 1 e 31" sqref="E10:AG10" xr:uid="{00000000-0002-0000-0500-000000000000}">
      <formula1>1</formula1>
      <formula2>31</formula2>
    </dataValidation>
    <dataValidation type="whole" showErrorMessage="1" errorTitle="Data" error="Digite apenas o dia entre 1 e 31" sqref="C10:D10" xr:uid="{00000000-0002-0000-0500-000001000000}">
      <formula1>1</formula1>
      <formula2>31</formula2>
    </dataValidation>
    <dataValidation type="list" showErrorMessage="1" promptTitle="Turno" prompt="Escolha" sqref="C11:AG11" xr:uid="{00000000-0002-0000-05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16-088-03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06">
    <tabColor indexed="47"/>
    <pageSetUpPr fitToPage="1"/>
  </sheetPr>
  <dimension ref="B1:BC75"/>
  <sheetViews>
    <sheetView showZeros="0" topLeftCell="A19" zoomScaleNormal="100" workbookViewId="0">
      <selection activeCell="C55" sqref="C55"/>
    </sheetView>
  </sheetViews>
  <sheetFormatPr defaultColWidth="10.28515625" defaultRowHeight="12.75"/>
  <cols>
    <col min="1" max="1" width="1.5703125" style="10" customWidth="1"/>
    <col min="2" max="2" width="16.140625" style="10" customWidth="1"/>
    <col min="3" max="33" width="6.7109375" style="10" customWidth="1"/>
    <col min="34" max="34" width="3.140625" style="10" customWidth="1"/>
    <col min="35" max="55" width="6.7109375" style="10" customWidth="1"/>
    <col min="56" max="16384" width="10.28515625" style="10"/>
  </cols>
  <sheetData>
    <row r="1" spans="2:50" ht="21.75" thickBot="1">
      <c r="B1" s="80" t="s">
        <v>42</v>
      </c>
      <c r="C1" s="81"/>
      <c r="D1" s="81"/>
      <c r="E1" s="81"/>
      <c r="F1" s="82"/>
      <c r="G1" s="82"/>
      <c r="H1" s="83"/>
      <c r="I1" s="104" t="s">
        <v>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3"/>
      <c r="AX1" s="11"/>
    </row>
    <row r="2" spans="2:50" s="12" customFormat="1" ht="19.5" customHeight="1">
      <c r="B2" s="84" t="s">
        <v>43</v>
      </c>
      <c r="C2" s="85"/>
      <c r="D2" s="86"/>
      <c r="E2" s="86"/>
      <c r="F2" s="87"/>
      <c r="G2" s="87"/>
      <c r="H2" s="88"/>
      <c r="I2" s="139" t="s">
        <v>0</v>
      </c>
      <c r="J2" s="140"/>
      <c r="K2" s="143" t="str">
        <f>'P1 - Esp. Lado'!K2:L3</f>
        <v>UM-3</v>
      </c>
      <c r="L2" s="144"/>
      <c r="M2" s="147" t="s">
        <v>53</v>
      </c>
      <c r="N2" s="148"/>
      <c r="O2" s="148"/>
      <c r="P2" s="148"/>
      <c r="Q2" s="149"/>
      <c r="R2" s="153" t="s">
        <v>1</v>
      </c>
      <c r="S2" s="154"/>
      <c r="T2" s="155"/>
      <c r="U2" s="13" t="s">
        <v>48</v>
      </c>
      <c r="V2" s="14"/>
      <c r="W2" s="14"/>
      <c r="X2" s="14"/>
      <c r="Y2" s="14"/>
      <c r="Z2" s="15"/>
      <c r="AA2" s="15"/>
      <c r="AB2" s="15"/>
      <c r="AC2" s="15"/>
      <c r="AD2" s="15"/>
      <c r="AE2" s="89"/>
      <c r="AF2" s="89"/>
      <c r="AG2" s="90"/>
    </row>
    <row r="3" spans="2:50" ht="16.899999999999999" customHeight="1" thickBot="1">
      <c r="B3" s="64"/>
      <c r="I3" s="141"/>
      <c r="J3" s="142"/>
      <c r="K3" s="145"/>
      <c r="L3" s="146"/>
      <c r="M3" s="150"/>
      <c r="N3" s="151"/>
      <c r="O3" s="151"/>
      <c r="P3" s="151"/>
      <c r="Q3" s="152"/>
      <c r="R3" s="156" t="s">
        <v>2</v>
      </c>
      <c r="S3" s="157"/>
      <c r="T3" s="158"/>
      <c r="U3" s="16" t="s">
        <v>50</v>
      </c>
      <c r="V3" s="17"/>
      <c r="W3" s="17"/>
      <c r="X3" s="17"/>
      <c r="Y3" s="17"/>
      <c r="Z3" s="17"/>
      <c r="AA3" s="17"/>
      <c r="AB3" s="17"/>
      <c r="AC3" s="17"/>
      <c r="AD3" s="17"/>
      <c r="AE3" s="91"/>
      <c r="AF3" s="91"/>
      <c r="AG3" s="92"/>
    </row>
    <row r="4" spans="2:50" s="23" customFormat="1" ht="16.899999999999999" customHeight="1">
      <c r="B4" s="65" t="s">
        <v>3</v>
      </c>
      <c r="C4" s="18"/>
      <c r="D4" s="103" t="s">
        <v>4</v>
      </c>
      <c r="E4" s="102">
        <f>E5+E7/2</f>
        <v>0.5</v>
      </c>
      <c r="F4" s="105" t="s">
        <v>34</v>
      </c>
      <c r="G4" s="106">
        <f>G5+G7/2</f>
        <v>0.48000000000000004</v>
      </c>
      <c r="H4" s="107"/>
      <c r="I4" s="108"/>
      <c r="Z4" s="164" t="str">
        <f ca="1">'P1 - Esp. Fundo'!Z4:AC5</f>
        <v>MÊS: 03</v>
      </c>
      <c r="AA4" s="159"/>
      <c r="AB4" s="159"/>
      <c r="AC4" s="159"/>
      <c r="AD4" s="159" t="str">
        <f ca="1">'P1 - Esp. Fundo'!AD4:AG5</f>
        <v>ANO: 2022</v>
      </c>
      <c r="AE4" s="159"/>
      <c r="AF4" s="159"/>
      <c r="AG4" s="160"/>
    </row>
    <row r="5" spans="2:50" s="23" customFormat="1" ht="16.899999999999999" customHeight="1" thickBot="1">
      <c r="B5" s="66" t="str">
        <f>'P1 - Esp. Lado'!B5</f>
        <v>SJCPIL-I 16-013-XX</v>
      </c>
      <c r="C5" s="24" t="s">
        <v>5</v>
      </c>
      <c r="D5" s="101" t="s">
        <v>6</v>
      </c>
      <c r="E5" s="100">
        <v>0.4</v>
      </c>
      <c r="F5" s="109" t="s">
        <v>6</v>
      </c>
      <c r="G5" s="110">
        <f>E5</f>
        <v>0.4</v>
      </c>
      <c r="H5" s="107"/>
      <c r="I5" s="23" t="s">
        <v>33</v>
      </c>
      <c r="R5" s="23" t="s">
        <v>7</v>
      </c>
      <c r="Z5" s="165"/>
      <c r="AA5" s="161"/>
      <c r="AB5" s="161"/>
      <c r="AC5" s="161"/>
      <c r="AD5" s="161"/>
      <c r="AE5" s="161"/>
      <c r="AF5" s="161"/>
      <c r="AG5" s="162"/>
    </row>
    <row r="6" spans="2:50" s="23" customFormat="1" ht="16.899999999999999" customHeight="1">
      <c r="B6" s="67" t="s">
        <v>8</v>
      </c>
      <c r="C6" s="29"/>
      <c r="D6" s="101" t="s">
        <v>9</v>
      </c>
      <c r="E6" s="100">
        <f>E5-E7/2</f>
        <v>0.30000000000000004</v>
      </c>
      <c r="F6" s="109" t="s">
        <v>35</v>
      </c>
      <c r="G6" s="110">
        <f>G5-G7/2</f>
        <v>0.32</v>
      </c>
      <c r="H6" s="107"/>
      <c r="I6" s="23" t="s">
        <v>10</v>
      </c>
      <c r="R6" s="23" t="s">
        <v>11</v>
      </c>
      <c r="AC6" s="68"/>
      <c r="AD6" s="68"/>
      <c r="AG6" s="69"/>
    </row>
    <row r="7" spans="2:50" s="23" customFormat="1" ht="16.899999999999999" customHeight="1" thickBot="1">
      <c r="B7" s="70"/>
      <c r="C7" s="71" t="s">
        <v>12</v>
      </c>
      <c r="D7" s="99" t="s">
        <v>4</v>
      </c>
      <c r="E7" s="98">
        <v>0.2</v>
      </c>
      <c r="F7" s="111" t="s">
        <v>34</v>
      </c>
      <c r="G7" s="112">
        <v>0.16</v>
      </c>
      <c r="H7" s="113"/>
      <c r="I7" s="72" t="s">
        <v>13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3"/>
      <c r="AD7" s="73"/>
      <c r="AE7" s="72"/>
      <c r="AF7" s="72"/>
      <c r="AG7" s="74"/>
    </row>
    <row r="8" spans="2:50" s="23" customFormat="1" ht="4.5" customHeight="1" thickBot="1"/>
    <row r="9" spans="2:50" s="31" customFormat="1">
      <c r="B9" s="30" t="s">
        <v>14</v>
      </c>
      <c r="C9" s="60">
        <v>1</v>
      </c>
      <c r="D9" s="60">
        <v>2</v>
      </c>
      <c r="E9" s="60">
        <v>3</v>
      </c>
      <c r="F9" s="60">
        <v>4</v>
      </c>
      <c r="G9" s="60">
        <v>5</v>
      </c>
      <c r="H9" s="60">
        <v>6</v>
      </c>
      <c r="I9" s="60">
        <v>7</v>
      </c>
      <c r="J9" s="60">
        <v>8</v>
      </c>
      <c r="K9" s="60">
        <v>9</v>
      </c>
      <c r="L9" s="60">
        <v>10</v>
      </c>
      <c r="M9" s="60">
        <v>11</v>
      </c>
      <c r="N9" s="60">
        <v>12</v>
      </c>
      <c r="O9" s="60">
        <v>13</v>
      </c>
      <c r="P9" s="60">
        <v>14</v>
      </c>
      <c r="Q9" s="60">
        <v>15</v>
      </c>
      <c r="R9" s="60">
        <v>16</v>
      </c>
      <c r="S9" s="60">
        <v>17</v>
      </c>
      <c r="T9" s="60">
        <v>18</v>
      </c>
      <c r="U9" s="60">
        <v>19</v>
      </c>
      <c r="V9" s="60">
        <v>20</v>
      </c>
      <c r="W9" s="60">
        <v>21</v>
      </c>
      <c r="X9" s="60">
        <v>22</v>
      </c>
      <c r="Y9" s="60">
        <v>23</v>
      </c>
      <c r="Z9" s="60">
        <v>24</v>
      </c>
      <c r="AA9" s="60">
        <v>25</v>
      </c>
      <c r="AB9" s="60">
        <v>26</v>
      </c>
      <c r="AC9" s="60">
        <v>27</v>
      </c>
      <c r="AD9" s="60">
        <v>28</v>
      </c>
      <c r="AE9" s="60">
        <v>29</v>
      </c>
      <c r="AF9" s="60">
        <v>30</v>
      </c>
      <c r="AG9" s="61">
        <v>31</v>
      </c>
    </row>
    <row r="10" spans="2:50" s="31" customFormat="1" ht="14.1" customHeight="1">
      <c r="B10" s="32" t="s">
        <v>15</v>
      </c>
      <c r="C10" s="114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1" customFormat="1" ht="14.1" customHeight="1">
      <c r="B11" s="33" t="s">
        <v>37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1" customFormat="1" ht="12" customHeight="1">
      <c r="B12" s="34"/>
      <c r="AG12" s="35"/>
    </row>
    <row r="13" spans="2:50" s="31" customFormat="1" ht="12" customHeight="1">
      <c r="B13" s="163"/>
      <c r="AG13" s="35"/>
    </row>
    <row r="14" spans="2:50" s="31" customFormat="1" ht="12" customHeight="1">
      <c r="B14" s="163"/>
      <c r="AG14" s="35"/>
    </row>
    <row r="15" spans="2:50" s="31" customFormat="1" ht="12" customHeight="1">
      <c r="B15" s="138"/>
      <c r="AG15" s="35"/>
    </row>
    <row r="16" spans="2:50" s="31" customFormat="1" ht="12" customHeight="1">
      <c r="B16" s="138"/>
      <c r="AG16" s="35"/>
    </row>
    <row r="17" spans="2:33" s="31" customFormat="1" ht="12" customHeight="1">
      <c r="B17" s="138"/>
      <c r="AG17" s="35"/>
    </row>
    <row r="18" spans="2:33" s="31" customFormat="1" ht="12" customHeight="1">
      <c r="B18" s="138"/>
      <c r="AG18" s="35"/>
    </row>
    <row r="19" spans="2:33" s="31" customFormat="1" ht="12" customHeight="1">
      <c r="B19" s="138"/>
      <c r="AG19" s="35"/>
    </row>
    <row r="20" spans="2:33" s="31" customFormat="1" ht="12" customHeight="1">
      <c r="B20" s="138"/>
      <c r="AG20" s="35"/>
    </row>
    <row r="21" spans="2:33" s="31" customFormat="1" ht="12" customHeight="1">
      <c r="B21" s="138"/>
      <c r="AG21" s="35"/>
    </row>
    <row r="22" spans="2:33" s="31" customFormat="1" ht="12" customHeight="1">
      <c r="B22" s="138"/>
      <c r="AG22" s="35"/>
    </row>
    <row r="23" spans="2:33" s="31" customFormat="1" ht="12" customHeight="1">
      <c r="B23" s="163"/>
      <c r="AG23" s="35"/>
    </row>
    <row r="24" spans="2:33" s="31" customFormat="1" ht="12" customHeight="1">
      <c r="B24" s="163"/>
      <c r="AG24" s="35"/>
    </row>
    <row r="25" spans="2:33" s="31" customFormat="1" ht="12" customHeight="1">
      <c r="B25" s="138"/>
      <c r="AG25" s="35"/>
    </row>
    <row r="26" spans="2:33" s="31" customFormat="1" ht="12" customHeight="1">
      <c r="B26" s="138"/>
      <c r="AG26" s="35"/>
    </row>
    <row r="27" spans="2:33" s="31" customFormat="1" ht="12" customHeight="1">
      <c r="B27" s="138"/>
      <c r="AG27" s="35"/>
    </row>
    <row r="28" spans="2:33" s="31" customFormat="1" ht="12" customHeight="1">
      <c r="B28" s="138"/>
      <c r="AG28" s="35"/>
    </row>
    <row r="29" spans="2:33" s="31" customFormat="1" ht="12" customHeight="1">
      <c r="B29" s="138"/>
      <c r="AG29" s="35"/>
    </row>
    <row r="30" spans="2:33" s="31" customFormat="1" ht="12" customHeight="1">
      <c r="B30" s="138"/>
      <c r="AG30" s="35"/>
    </row>
    <row r="31" spans="2:33" s="31" customFormat="1" ht="12" customHeight="1">
      <c r="B31" s="138"/>
      <c r="AG31" s="35"/>
    </row>
    <row r="32" spans="2:33" s="31" customFormat="1" ht="12" customHeight="1">
      <c r="B32" s="138"/>
      <c r="AG32" s="35"/>
    </row>
    <row r="33" spans="2:33" s="31" customFormat="1" ht="12" customHeight="1">
      <c r="B33" s="163"/>
      <c r="AG33" s="35"/>
    </row>
    <row r="34" spans="2:33" s="31" customFormat="1" ht="12" customHeight="1">
      <c r="B34" s="163"/>
      <c r="AG34" s="35"/>
    </row>
    <row r="35" spans="2:33" s="31" customFormat="1" ht="12" customHeight="1" thickBot="1">
      <c r="B35" s="36"/>
      <c r="AG35" s="35"/>
    </row>
    <row r="36" spans="2:33" s="31" customFormat="1" ht="12" customHeight="1">
      <c r="B36" s="17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8"/>
    </row>
    <row r="37" spans="2:33" s="31" customFormat="1" ht="12" customHeight="1">
      <c r="B37" s="163"/>
      <c r="AG37" s="35"/>
    </row>
    <row r="38" spans="2:33" s="31" customFormat="1" ht="12" customHeight="1">
      <c r="B38" s="79"/>
      <c r="AG38" s="35"/>
    </row>
    <row r="39" spans="2:33" s="31" customFormat="1" ht="12" customHeight="1">
      <c r="B39" s="79"/>
      <c r="AG39" s="35"/>
    </row>
    <row r="40" spans="2:33" s="31" customFormat="1" ht="12" customHeight="1">
      <c r="B40" s="79"/>
      <c r="AG40" s="35"/>
    </row>
    <row r="41" spans="2:33" s="31" customFormat="1" ht="12" customHeight="1">
      <c r="B41" s="163"/>
      <c r="AG41" s="35"/>
    </row>
    <row r="42" spans="2:33" s="31" customFormat="1" ht="12" customHeight="1">
      <c r="B42" s="163"/>
      <c r="AG42" s="35"/>
    </row>
    <row r="43" spans="2:33" s="31" customFormat="1" ht="12" customHeight="1">
      <c r="B43" s="79"/>
      <c r="AG43" s="35"/>
    </row>
    <row r="44" spans="2:33" s="31" customFormat="1" ht="12" customHeight="1">
      <c r="B44" s="79"/>
      <c r="AG44" s="35"/>
    </row>
    <row r="45" spans="2:33" s="31" customFormat="1" ht="12" customHeight="1">
      <c r="B45" s="79"/>
      <c r="AG45" s="35"/>
    </row>
    <row r="46" spans="2:33" s="31" customFormat="1" ht="12" customHeight="1" thickBot="1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1"/>
    </row>
    <row r="47" spans="2:33" s="31" customFormat="1" ht="6" customHeight="1">
      <c r="B47" s="93"/>
      <c r="AG47" s="35"/>
    </row>
    <row r="48" spans="2:33" s="42" customFormat="1" ht="15" customHeight="1">
      <c r="B48" s="94">
        <v>1</v>
      </c>
      <c r="C48" s="95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7"/>
    </row>
    <row r="49" spans="2:55" s="42" customFormat="1" ht="15" customHeight="1">
      <c r="B49" s="43">
        <v>2</v>
      </c>
      <c r="C49" s="7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9"/>
    </row>
    <row r="50" spans="2:55" s="42" customFormat="1" ht="15" customHeight="1">
      <c r="B50" s="43">
        <v>3</v>
      </c>
      <c r="C50" s="7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9"/>
    </row>
    <row r="51" spans="2:55" s="42" customFormat="1" ht="15" customHeight="1">
      <c r="B51" s="43">
        <v>4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9"/>
    </row>
    <row r="52" spans="2:55" s="42" customFormat="1" ht="15" customHeight="1">
      <c r="B52" s="47">
        <v>5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9"/>
    </row>
    <row r="53" spans="2:55" s="42" customFormat="1" ht="15" customHeight="1">
      <c r="B53" s="47" t="s">
        <v>16</v>
      </c>
      <c r="C53" s="44" t="str">
        <f t="shared" ref="C53:AG53" si="0">IF(ISERR(AVERAGE(C48:C52))," ",AVERAGE(C48:C52))</f>
        <v xml:space="preserve"> </v>
      </c>
      <c r="D53" s="45" t="str">
        <f t="shared" si="0"/>
        <v xml:space="preserve"> </v>
      </c>
      <c r="E53" s="45" t="str">
        <f t="shared" si="0"/>
        <v xml:space="preserve"> </v>
      </c>
      <c r="F53" s="45" t="str">
        <f t="shared" si="0"/>
        <v xml:space="preserve"> </v>
      </c>
      <c r="G53" s="45" t="str">
        <f t="shared" si="0"/>
        <v xml:space="preserve"> </v>
      </c>
      <c r="H53" s="45" t="str">
        <f t="shared" si="0"/>
        <v xml:space="preserve"> </v>
      </c>
      <c r="I53" s="45" t="str">
        <f t="shared" si="0"/>
        <v xml:space="preserve"> </v>
      </c>
      <c r="J53" s="45" t="str">
        <f t="shared" si="0"/>
        <v xml:space="preserve"> </v>
      </c>
      <c r="K53" s="45" t="str">
        <f t="shared" si="0"/>
        <v xml:space="preserve"> </v>
      </c>
      <c r="L53" s="45" t="str">
        <f t="shared" si="0"/>
        <v xml:space="preserve"> </v>
      </c>
      <c r="M53" s="45" t="str">
        <f t="shared" si="0"/>
        <v xml:space="preserve"> </v>
      </c>
      <c r="N53" s="45" t="str">
        <f t="shared" si="0"/>
        <v xml:space="preserve"> </v>
      </c>
      <c r="O53" s="45" t="str">
        <f t="shared" si="0"/>
        <v xml:space="preserve"> </v>
      </c>
      <c r="P53" s="45" t="str">
        <f t="shared" si="0"/>
        <v xml:space="preserve"> </v>
      </c>
      <c r="Q53" s="45" t="str">
        <f t="shared" si="0"/>
        <v xml:space="preserve"> </v>
      </c>
      <c r="R53" s="45" t="str">
        <f t="shared" si="0"/>
        <v xml:space="preserve"> </v>
      </c>
      <c r="S53" s="45" t="str">
        <f t="shared" si="0"/>
        <v xml:space="preserve"> </v>
      </c>
      <c r="T53" s="45" t="str">
        <f t="shared" si="0"/>
        <v xml:space="preserve"> </v>
      </c>
      <c r="U53" s="45" t="str">
        <f t="shared" si="0"/>
        <v xml:space="preserve"> </v>
      </c>
      <c r="V53" s="45" t="str">
        <f t="shared" si="0"/>
        <v xml:space="preserve"> </v>
      </c>
      <c r="W53" s="45" t="str">
        <f t="shared" si="0"/>
        <v xml:space="preserve"> </v>
      </c>
      <c r="X53" s="45" t="str">
        <f t="shared" si="0"/>
        <v xml:space="preserve"> </v>
      </c>
      <c r="Y53" s="45" t="str">
        <f t="shared" si="0"/>
        <v xml:space="preserve"> </v>
      </c>
      <c r="Z53" s="45" t="str">
        <f t="shared" si="0"/>
        <v xml:space="preserve"> </v>
      </c>
      <c r="AA53" s="45" t="str">
        <f t="shared" si="0"/>
        <v xml:space="preserve"> </v>
      </c>
      <c r="AB53" s="45" t="str">
        <f t="shared" si="0"/>
        <v xml:space="preserve"> </v>
      </c>
      <c r="AC53" s="45" t="str">
        <f t="shared" si="0"/>
        <v xml:space="preserve"> </v>
      </c>
      <c r="AD53" s="45" t="str">
        <f t="shared" si="0"/>
        <v xml:space="preserve"> </v>
      </c>
      <c r="AE53" s="45" t="str">
        <f t="shared" si="0"/>
        <v xml:space="preserve"> </v>
      </c>
      <c r="AF53" s="45" t="str">
        <f t="shared" si="0"/>
        <v xml:space="preserve"> </v>
      </c>
      <c r="AG53" s="46" t="str">
        <f t="shared" si="0"/>
        <v xml:space="preserve"> </v>
      </c>
    </row>
    <row r="54" spans="2:55" s="42" customFormat="1" ht="15" customHeight="1">
      <c r="B54" s="47" t="s">
        <v>12</v>
      </c>
      <c r="C54" s="48">
        <f t="shared" ref="C54:AG54" si="1">MAX(C48:C52)-MIN(C48:C52)</f>
        <v>0</v>
      </c>
      <c r="D54" s="49">
        <f t="shared" si="1"/>
        <v>0</v>
      </c>
      <c r="E54" s="49">
        <f t="shared" si="1"/>
        <v>0</v>
      </c>
      <c r="F54" s="49">
        <f t="shared" si="1"/>
        <v>0</v>
      </c>
      <c r="G54" s="49">
        <f t="shared" si="1"/>
        <v>0</v>
      </c>
      <c r="H54" s="49">
        <f t="shared" si="1"/>
        <v>0</v>
      </c>
      <c r="I54" s="49">
        <f t="shared" si="1"/>
        <v>0</v>
      </c>
      <c r="J54" s="49">
        <f t="shared" si="1"/>
        <v>0</v>
      </c>
      <c r="K54" s="49">
        <f t="shared" si="1"/>
        <v>0</v>
      </c>
      <c r="L54" s="49">
        <f t="shared" si="1"/>
        <v>0</v>
      </c>
      <c r="M54" s="49">
        <f t="shared" si="1"/>
        <v>0</v>
      </c>
      <c r="N54" s="49">
        <f t="shared" si="1"/>
        <v>0</v>
      </c>
      <c r="O54" s="49">
        <f t="shared" si="1"/>
        <v>0</v>
      </c>
      <c r="P54" s="49">
        <f t="shared" si="1"/>
        <v>0</v>
      </c>
      <c r="Q54" s="49">
        <f t="shared" si="1"/>
        <v>0</v>
      </c>
      <c r="R54" s="115">
        <f t="shared" si="1"/>
        <v>0</v>
      </c>
      <c r="S54" s="115">
        <f t="shared" si="1"/>
        <v>0</v>
      </c>
      <c r="T54" s="115">
        <f t="shared" si="1"/>
        <v>0</v>
      </c>
      <c r="U54" s="115">
        <f t="shared" si="1"/>
        <v>0</v>
      </c>
      <c r="V54" s="115">
        <f t="shared" si="1"/>
        <v>0</v>
      </c>
      <c r="W54" s="115">
        <f t="shared" si="1"/>
        <v>0</v>
      </c>
      <c r="X54" s="115">
        <f t="shared" si="1"/>
        <v>0</v>
      </c>
      <c r="Y54" s="115">
        <f t="shared" si="1"/>
        <v>0</v>
      </c>
      <c r="Z54" s="115">
        <f t="shared" si="1"/>
        <v>0</v>
      </c>
      <c r="AA54" s="115">
        <f t="shared" si="1"/>
        <v>0</v>
      </c>
      <c r="AB54" s="115">
        <f t="shared" si="1"/>
        <v>0</v>
      </c>
      <c r="AC54" s="115">
        <f t="shared" si="1"/>
        <v>0</v>
      </c>
      <c r="AD54" s="115">
        <f t="shared" si="1"/>
        <v>0</v>
      </c>
      <c r="AE54" s="115">
        <f t="shared" si="1"/>
        <v>0</v>
      </c>
      <c r="AF54" s="115">
        <f t="shared" si="1"/>
        <v>0</v>
      </c>
      <c r="AG54" s="116">
        <f t="shared" si="1"/>
        <v>0</v>
      </c>
    </row>
    <row r="55" spans="2:55" s="42" customFormat="1" ht="20.100000000000001" customHeight="1">
      <c r="B55" s="50" t="s">
        <v>17</v>
      </c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9"/>
    </row>
    <row r="56" spans="2:55" s="42" customFormat="1" ht="26.25" thickBot="1">
      <c r="B56" s="136" t="str">
        <f>'P1 - Esp. Lado'!B56</f>
        <v>Visto do Líder / Sublíder</v>
      </c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2"/>
    </row>
    <row r="57" spans="2:55" s="31" customFormat="1" ht="20.100000000000001" customHeight="1">
      <c r="B57" s="171" t="s">
        <v>18</v>
      </c>
      <c r="C57" s="172"/>
      <c r="D57" s="172"/>
      <c r="E57" s="173"/>
      <c r="F57" s="51" t="s">
        <v>19</v>
      </c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8"/>
    </row>
    <row r="58" spans="2:55" s="31" customFormat="1" ht="20.100000000000001" customHeight="1">
      <c r="B58" s="52"/>
      <c r="C58" s="23" t="s">
        <v>20</v>
      </c>
      <c r="D58" s="23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1" customFormat="1" ht="20.100000000000001" customHeight="1">
      <c r="B59" s="174" t="s">
        <v>21</v>
      </c>
      <c r="C59" s="175"/>
      <c r="D59" s="175"/>
      <c r="E59" s="35"/>
      <c r="F59" s="1"/>
      <c r="G59" s="1"/>
      <c r="H59" s="1"/>
      <c r="I59" s="1"/>
      <c r="J59" s="1"/>
      <c r="K59" s="1"/>
      <c r="L59" s="1"/>
      <c r="M59" s="1"/>
      <c r="N59" s="1"/>
      <c r="O59" s="123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1" customFormat="1" ht="20.100000000000001" customHeight="1" thickBot="1">
      <c r="B60" s="53"/>
      <c r="C60" s="54" t="s">
        <v>16</v>
      </c>
      <c r="D60" s="40"/>
      <c r="E60" s="41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1" customFormat="1" ht="7.5" customHeight="1"/>
    <row r="62" spans="2:55" s="31" customFormat="1" ht="15.75">
      <c r="B62" s="176" t="s">
        <v>31</v>
      </c>
      <c r="C62" s="177"/>
      <c r="D62" s="177"/>
      <c r="E62" s="177"/>
      <c r="F62" s="177"/>
      <c r="G62" s="166" t="s">
        <v>22</v>
      </c>
      <c r="H62" s="166"/>
      <c r="I62" s="166"/>
      <c r="J62" s="166"/>
      <c r="K62" s="167"/>
      <c r="L62" s="166" t="s">
        <v>30</v>
      </c>
      <c r="M62" s="166"/>
      <c r="N62" s="166"/>
      <c r="O62" s="166"/>
      <c r="P62" s="166"/>
      <c r="Q62" s="166"/>
      <c r="R62" s="166"/>
      <c r="S62" s="177" t="s">
        <v>32</v>
      </c>
      <c r="T62" s="177"/>
      <c r="U62" s="177"/>
      <c r="V62" s="177"/>
      <c r="W62" s="180" t="s">
        <v>46</v>
      </c>
      <c r="X62" s="177"/>
      <c r="Y62" s="177"/>
      <c r="Z62" s="177"/>
      <c r="AA62" s="177"/>
      <c r="AB62" s="177"/>
      <c r="AC62" s="177" t="s">
        <v>22</v>
      </c>
      <c r="AD62" s="177"/>
      <c r="AE62" s="177"/>
      <c r="AF62" s="177"/>
      <c r="AG62" s="182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</row>
    <row r="63" spans="2:55" s="31" customFormat="1" ht="15.75">
      <c r="B63" s="178"/>
      <c r="C63" s="179"/>
      <c r="D63" s="179"/>
      <c r="E63" s="179"/>
      <c r="F63" s="179"/>
      <c r="G63" s="168"/>
      <c r="H63" s="168"/>
      <c r="I63" s="168"/>
      <c r="J63" s="168"/>
      <c r="K63" s="169"/>
      <c r="L63" s="168"/>
      <c r="M63" s="168"/>
      <c r="N63" s="168"/>
      <c r="O63" s="168"/>
      <c r="P63" s="168"/>
      <c r="Q63" s="168"/>
      <c r="R63" s="168"/>
      <c r="S63" s="179"/>
      <c r="T63" s="179"/>
      <c r="U63" s="179"/>
      <c r="V63" s="179"/>
      <c r="W63" s="181"/>
      <c r="X63" s="179"/>
      <c r="Y63" s="179"/>
      <c r="Z63" s="179"/>
      <c r="AA63" s="179"/>
      <c r="AB63" s="179"/>
      <c r="AC63" s="179"/>
      <c r="AD63" s="179"/>
      <c r="AE63" s="179"/>
      <c r="AF63" s="179"/>
      <c r="AG63" s="183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</row>
    <row r="64" spans="2:55" ht="14.25">
      <c r="B64" s="56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6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</row>
    <row r="65" spans="2:5">
      <c r="B65" s="10" t="s">
        <v>25</v>
      </c>
    </row>
    <row r="66" spans="2:5">
      <c r="B66" s="10" t="s">
        <v>23</v>
      </c>
      <c r="C66" s="58" t="e">
        <f>AVERAGE(C53:AG53)+0.577*C69</f>
        <v>#DIV/0!</v>
      </c>
    </row>
    <row r="67" spans="2:5">
      <c r="B67" s="10" t="s">
        <v>5</v>
      </c>
      <c r="C67" s="58" t="e">
        <f>AVERAGE(C53:AG53)</f>
        <v>#DIV/0!</v>
      </c>
      <c r="D67" s="59" t="s">
        <v>26</v>
      </c>
      <c r="E67" s="10" t="e">
        <f>STDEV(C48:AF52)</f>
        <v>#DIV/0!</v>
      </c>
    </row>
    <row r="68" spans="2:5">
      <c r="B68" s="10" t="s">
        <v>24</v>
      </c>
      <c r="C68" s="58" t="e">
        <f>C67-0.577*C69</f>
        <v>#DIV/0!</v>
      </c>
    </row>
    <row r="69" spans="2:5">
      <c r="B69" s="10" t="s">
        <v>12</v>
      </c>
      <c r="C69" s="58" t="e">
        <f>2.115*(SUM(C54:AG54)/COUNTIF(C54:AG54,"&lt;&gt;0"))</f>
        <v>#DIV/0!</v>
      </c>
    </row>
    <row r="71" spans="2:5">
      <c r="B71" s="10" t="s">
        <v>27</v>
      </c>
    </row>
    <row r="73" spans="2:5">
      <c r="B73" s="10" t="s">
        <v>28</v>
      </c>
      <c r="C73" s="58" t="e">
        <f>E7/(6*E67)</f>
        <v>#DIV/0!</v>
      </c>
    </row>
    <row r="74" spans="2:5">
      <c r="B74" s="10" t="s">
        <v>29</v>
      </c>
      <c r="C74" s="58" t="e">
        <f>MIN((E4-C67)/(3*E67),(C67-E6)/(3*E67))</f>
        <v>#DIV/0!</v>
      </c>
    </row>
    <row r="75" spans="2:5">
      <c r="C75" s="10">
        <f>COUNTIF(C10:AG10,"&gt;0")</f>
        <v>0</v>
      </c>
    </row>
  </sheetData>
  <sheetProtection sheet="1" objects="1" scenarios="1" selectLockedCells="1"/>
  <mergeCells count="29">
    <mergeCell ref="L62:R63"/>
    <mergeCell ref="S62:V63"/>
    <mergeCell ref="W62:AB63"/>
    <mergeCell ref="AC62:AG63"/>
    <mergeCell ref="AS64:BC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D4:AG5"/>
    <mergeCell ref="B13:B14"/>
    <mergeCell ref="B15:B16"/>
    <mergeCell ref="B17:B18"/>
    <mergeCell ref="B19:B20"/>
    <mergeCell ref="Z4:AC5"/>
    <mergeCell ref="B21:B22"/>
    <mergeCell ref="I2:J3"/>
    <mergeCell ref="K2:L3"/>
    <mergeCell ref="M2:Q3"/>
    <mergeCell ref="R2:T2"/>
    <mergeCell ref="R3:T3"/>
  </mergeCells>
  <conditionalFormatting sqref="C48:AG52">
    <cfRule type="expression" dxfId="15" priority="1">
      <formula>(C48&gt;$G$4)*(C48&lt;&gt;0)</formula>
    </cfRule>
    <cfRule type="expression" dxfId="14" priority="2">
      <formula>(C48&lt;$G$6)*(C48&lt;&gt;0)</formula>
    </cfRule>
  </conditionalFormatting>
  <dataValidations count="3">
    <dataValidation type="whole" showErrorMessage="1" errorTitle="Data" error="Digite apenas o dia entre 1 e 31" sqref="C10:D10" xr:uid="{00000000-0002-0000-0600-000000000000}">
      <formula1>1</formula1>
      <formula2>31</formula2>
    </dataValidation>
    <dataValidation type="whole" showInputMessage="1" showErrorMessage="1" errorTitle="Data" error="Digite apenas o dia entre 1 e 31" sqref="E10:AG10" xr:uid="{00000000-0002-0000-0600-000001000000}">
      <formula1>1</formula1>
      <formula2>31</formula2>
    </dataValidation>
    <dataValidation type="list" showErrorMessage="1" promptTitle="Turno" prompt="Escolha" sqref="C11:AG11" xr:uid="{00000000-0002-0000-06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16-089-02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07">
    <tabColor indexed="47"/>
    <pageSetUpPr fitToPage="1"/>
  </sheetPr>
  <dimension ref="B1:BC75"/>
  <sheetViews>
    <sheetView showZeros="0" topLeftCell="A6" zoomScaleNormal="100" workbookViewId="0">
      <selection activeCell="W55" sqref="W55"/>
    </sheetView>
  </sheetViews>
  <sheetFormatPr defaultColWidth="10.28515625" defaultRowHeight="12.75"/>
  <cols>
    <col min="1" max="1" width="1.5703125" style="10" customWidth="1"/>
    <col min="2" max="2" width="16.140625" style="10" customWidth="1"/>
    <col min="3" max="33" width="6.7109375" style="10" customWidth="1"/>
    <col min="34" max="34" width="3.140625" style="10" customWidth="1"/>
    <col min="35" max="55" width="6.7109375" style="10" customWidth="1"/>
    <col min="56" max="16384" width="10.28515625" style="10"/>
  </cols>
  <sheetData>
    <row r="1" spans="2:50" ht="21.75" thickBot="1">
      <c r="B1" s="80" t="s">
        <v>42</v>
      </c>
      <c r="C1" s="81"/>
      <c r="D1" s="81"/>
      <c r="E1" s="81"/>
      <c r="F1" s="82"/>
      <c r="G1" s="82"/>
      <c r="H1" s="83"/>
      <c r="I1" s="104" t="s">
        <v>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3"/>
      <c r="AX1" s="11"/>
    </row>
    <row r="2" spans="2:50" s="12" customFormat="1" ht="19.5" customHeight="1">
      <c r="B2" s="84" t="s">
        <v>43</v>
      </c>
      <c r="C2" s="85"/>
      <c r="D2" s="86"/>
      <c r="E2" s="86"/>
      <c r="F2" s="87"/>
      <c r="G2" s="87"/>
      <c r="H2" s="88"/>
      <c r="I2" s="139" t="s">
        <v>0</v>
      </c>
      <c r="J2" s="140"/>
      <c r="K2" s="143" t="str">
        <f>'P1 - Esp. Lado'!K2:L3</f>
        <v>UM-3</v>
      </c>
      <c r="L2" s="144"/>
      <c r="M2" s="147" t="s">
        <v>53</v>
      </c>
      <c r="N2" s="148"/>
      <c r="O2" s="148"/>
      <c r="P2" s="148"/>
      <c r="Q2" s="149"/>
      <c r="R2" s="153" t="s">
        <v>1</v>
      </c>
      <c r="S2" s="154"/>
      <c r="T2" s="155"/>
      <c r="U2" s="13" t="s">
        <v>49</v>
      </c>
      <c r="V2" s="14"/>
      <c r="W2" s="14"/>
      <c r="X2" s="14"/>
      <c r="Y2" s="14"/>
      <c r="Z2" s="15"/>
      <c r="AA2" s="15"/>
      <c r="AB2" s="15"/>
      <c r="AC2" s="15"/>
      <c r="AD2" s="15"/>
      <c r="AE2" s="89"/>
      <c r="AF2" s="89"/>
      <c r="AG2" s="90"/>
    </row>
    <row r="3" spans="2:50" ht="16.899999999999999" customHeight="1" thickBot="1">
      <c r="B3" s="64"/>
      <c r="I3" s="141"/>
      <c r="J3" s="142"/>
      <c r="K3" s="145"/>
      <c r="L3" s="146"/>
      <c r="M3" s="150"/>
      <c r="N3" s="151"/>
      <c r="O3" s="151"/>
      <c r="P3" s="151"/>
      <c r="Q3" s="152"/>
      <c r="R3" s="156" t="s">
        <v>2</v>
      </c>
      <c r="S3" s="157"/>
      <c r="T3" s="158"/>
      <c r="U3" s="16" t="s">
        <v>45</v>
      </c>
      <c r="V3" s="17"/>
      <c r="W3" s="17"/>
      <c r="X3" s="17"/>
      <c r="Y3" s="17"/>
      <c r="Z3" s="17"/>
      <c r="AA3" s="17"/>
      <c r="AB3" s="17"/>
      <c r="AC3" s="17"/>
      <c r="AD3" s="17"/>
      <c r="AE3" s="91"/>
      <c r="AF3" s="91"/>
      <c r="AG3" s="92"/>
    </row>
    <row r="4" spans="2:50" s="23" customFormat="1" ht="16.899999999999999" customHeight="1">
      <c r="B4" s="65" t="s">
        <v>3</v>
      </c>
      <c r="C4" s="18"/>
      <c r="D4" s="103" t="s">
        <v>4</v>
      </c>
      <c r="E4" s="102">
        <f>E5+E7/2</f>
        <v>0.25</v>
      </c>
      <c r="F4" s="105" t="s">
        <v>34</v>
      </c>
      <c r="G4" s="106">
        <f>G5+G7/2</f>
        <v>0.24</v>
      </c>
      <c r="H4" s="107"/>
      <c r="I4" s="108"/>
      <c r="Z4" s="164" t="str">
        <f ca="1">'P1 - Esp. Lado'!Z4:AC5</f>
        <v>MÊS: 03</v>
      </c>
      <c r="AA4" s="159"/>
      <c r="AB4" s="159"/>
      <c r="AC4" s="159"/>
      <c r="AD4" s="159" t="s">
        <v>51</v>
      </c>
      <c r="AE4" s="159"/>
      <c r="AF4" s="159"/>
      <c r="AG4" s="160"/>
    </row>
    <row r="5" spans="2:50" s="23" customFormat="1" ht="16.899999999999999" customHeight="1" thickBot="1">
      <c r="B5" s="66" t="str">
        <f>'P1 - Esp. Lado'!B5</f>
        <v>SJCPIL-I 16-013-XX</v>
      </c>
      <c r="C5" s="24" t="s">
        <v>5</v>
      </c>
      <c r="D5" s="101" t="s">
        <v>6</v>
      </c>
      <c r="E5" s="100">
        <f>'P1 - Esp. Lado'!$E$5</f>
        <v>0.22</v>
      </c>
      <c r="F5" s="109" t="s">
        <v>6</v>
      </c>
      <c r="G5" s="110">
        <f>E5</f>
        <v>0.22</v>
      </c>
      <c r="H5" s="107"/>
      <c r="I5" s="23" t="s">
        <v>33</v>
      </c>
      <c r="R5" s="23" t="s">
        <v>7</v>
      </c>
      <c r="Z5" s="165"/>
      <c r="AA5" s="161"/>
      <c r="AB5" s="161"/>
      <c r="AC5" s="161"/>
      <c r="AD5" s="161"/>
      <c r="AE5" s="161"/>
      <c r="AF5" s="161"/>
      <c r="AG5" s="162"/>
    </row>
    <row r="6" spans="2:50" s="23" customFormat="1" ht="16.899999999999999" customHeight="1">
      <c r="B6" s="67" t="s">
        <v>8</v>
      </c>
      <c r="C6" s="29"/>
      <c r="D6" s="101" t="s">
        <v>9</v>
      </c>
      <c r="E6" s="100">
        <f>E5-E7/2</f>
        <v>0.19</v>
      </c>
      <c r="F6" s="109" t="s">
        <v>35</v>
      </c>
      <c r="G6" s="110">
        <f>G5-G7/2</f>
        <v>0.2</v>
      </c>
      <c r="H6" s="107"/>
      <c r="I6" s="23" t="s">
        <v>10</v>
      </c>
      <c r="R6" s="23" t="s">
        <v>11</v>
      </c>
      <c r="AC6" s="68"/>
      <c r="AD6" s="68"/>
      <c r="AG6" s="69"/>
    </row>
    <row r="7" spans="2:50" s="23" customFormat="1" ht="16.899999999999999" customHeight="1" thickBot="1">
      <c r="B7" s="70"/>
      <c r="C7" s="71" t="s">
        <v>12</v>
      </c>
      <c r="D7" s="99" t="s">
        <v>4</v>
      </c>
      <c r="E7" s="98">
        <v>0.06</v>
      </c>
      <c r="F7" s="111" t="s">
        <v>34</v>
      </c>
      <c r="G7" s="112">
        <v>0.04</v>
      </c>
      <c r="H7" s="113"/>
      <c r="I7" s="72" t="s">
        <v>13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3"/>
      <c r="AD7" s="73"/>
      <c r="AE7" s="72"/>
      <c r="AF7" s="72"/>
      <c r="AG7" s="74"/>
    </row>
    <row r="8" spans="2:50" s="23" customFormat="1" ht="4.5" customHeight="1" thickBot="1"/>
    <row r="9" spans="2:50" s="31" customFormat="1">
      <c r="B9" s="30" t="s">
        <v>14</v>
      </c>
      <c r="C9" s="60">
        <v>1</v>
      </c>
      <c r="D9" s="60">
        <v>2</v>
      </c>
      <c r="E9" s="60">
        <v>3</v>
      </c>
      <c r="F9" s="60">
        <v>4</v>
      </c>
      <c r="G9" s="60">
        <v>5</v>
      </c>
      <c r="H9" s="60">
        <v>6</v>
      </c>
      <c r="I9" s="60">
        <v>7</v>
      </c>
      <c r="J9" s="60">
        <v>8</v>
      </c>
      <c r="K9" s="60">
        <v>9</v>
      </c>
      <c r="L9" s="60">
        <v>10</v>
      </c>
      <c r="M9" s="60">
        <v>11</v>
      </c>
      <c r="N9" s="60">
        <v>12</v>
      </c>
      <c r="O9" s="60">
        <v>13</v>
      </c>
      <c r="P9" s="60">
        <v>14</v>
      </c>
      <c r="Q9" s="60">
        <v>15</v>
      </c>
      <c r="R9" s="60">
        <v>16</v>
      </c>
      <c r="S9" s="60">
        <v>17</v>
      </c>
      <c r="T9" s="60">
        <v>18</v>
      </c>
      <c r="U9" s="60">
        <v>19</v>
      </c>
      <c r="V9" s="60">
        <v>20</v>
      </c>
      <c r="W9" s="60">
        <v>21</v>
      </c>
      <c r="X9" s="60">
        <v>22</v>
      </c>
      <c r="Y9" s="60">
        <v>23</v>
      </c>
      <c r="Z9" s="60">
        <v>24</v>
      </c>
      <c r="AA9" s="60">
        <v>25</v>
      </c>
      <c r="AB9" s="60">
        <v>26</v>
      </c>
      <c r="AC9" s="60">
        <v>27</v>
      </c>
      <c r="AD9" s="60">
        <v>28</v>
      </c>
      <c r="AE9" s="60">
        <v>29</v>
      </c>
      <c r="AF9" s="60">
        <v>30</v>
      </c>
      <c r="AG9" s="61">
        <v>31</v>
      </c>
    </row>
    <row r="10" spans="2:50" s="31" customFormat="1" ht="14.1" customHeight="1">
      <c r="B10" s="32" t="s">
        <v>15</v>
      </c>
      <c r="C10" s="114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1" customFormat="1" ht="14.1" customHeight="1">
      <c r="B11" s="33" t="s">
        <v>37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1" customFormat="1" ht="12" customHeight="1">
      <c r="B12" s="34"/>
      <c r="AG12" s="35"/>
    </row>
    <row r="13" spans="2:50" s="31" customFormat="1" ht="12" customHeight="1">
      <c r="B13" s="163"/>
      <c r="AG13" s="35"/>
    </row>
    <row r="14" spans="2:50" s="31" customFormat="1" ht="12" customHeight="1">
      <c r="B14" s="163"/>
      <c r="AG14" s="35"/>
    </row>
    <row r="15" spans="2:50" s="31" customFormat="1" ht="12" customHeight="1">
      <c r="B15" s="138"/>
      <c r="AG15" s="35"/>
    </row>
    <row r="16" spans="2:50" s="31" customFormat="1" ht="12" customHeight="1">
      <c r="B16" s="138"/>
      <c r="AG16" s="35"/>
    </row>
    <row r="17" spans="2:33" s="31" customFormat="1" ht="12" customHeight="1">
      <c r="B17" s="138"/>
      <c r="AG17" s="35"/>
    </row>
    <row r="18" spans="2:33" s="31" customFormat="1" ht="12" customHeight="1">
      <c r="B18" s="138"/>
      <c r="AG18" s="35"/>
    </row>
    <row r="19" spans="2:33" s="31" customFormat="1" ht="12" customHeight="1">
      <c r="B19" s="138"/>
      <c r="AG19" s="35"/>
    </row>
    <row r="20" spans="2:33" s="31" customFormat="1" ht="12" customHeight="1">
      <c r="B20" s="138"/>
      <c r="AG20" s="35"/>
    </row>
    <row r="21" spans="2:33" s="31" customFormat="1" ht="12" customHeight="1">
      <c r="B21" s="138"/>
      <c r="AG21" s="35"/>
    </row>
    <row r="22" spans="2:33" s="31" customFormat="1" ht="12" customHeight="1">
      <c r="B22" s="138"/>
      <c r="AG22" s="35"/>
    </row>
    <row r="23" spans="2:33" s="31" customFormat="1" ht="12" customHeight="1">
      <c r="B23" s="163"/>
      <c r="AG23" s="35"/>
    </row>
    <row r="24" spans="2:33" s="31" customFormat="1" ht="12" customHeight="1">
      <c r="B24" s="163"/>
      <c r="AG24" s="35"/>
    </row>
    <row r="25" spans="2:33" s="31" customFormat="1" ht="12" customHeight="1">
      <c r="B25" s="138"/>
      <c r="AG25" s="35"/>
    </row>
    <row r="26" spans="2:33" s="31" customFormat="1" ht="12" customHeight="1">
      <c r="B26" s="138"/>
      <c r="AG26" s="35"/>
    </row>
    <row r="27" spans="2:33" s="31" customFormat="1" ht="12" customHeight="1">
      <c r="B27" s="138"/>
      <c r="AG27" s="35"/>
    </row>
    <row r="28" spans="2:33" s="31" customFormat="1" ht="12" customHeight="1">
      <c r="B28" s="138"/>
      <c r="AG28" s="35"/>
    </row>
    <row r="29" spans="2:33" s="31" customFormat="1" ht="12" customHeight="1">
      <c r="B29" s="138"/>
      <c r="AG29" s="35"/>
    </row>
    <row r="30" spans="2:33" s="31" customFormat="1" ht="12" customHeight="1">
      <c r="B30" s="138"/>
      <c r="AG30" s="35"/>
    </row>
    <row r="31" spans="2:33" s="31" customFormat="1" ht="12" customHeight="1">
      <c r="B31" s="138"/>
      <c r="AG31" s="35"/>
    </row>
    <row r="32" spans="2:33" s="31" customFormat="1" ht="12" customHeight="1">
      <c r="B32" s="138"/>
      <c r="AG32" s="35"/>
    </row>
    <row r="33" spans="2:33" s="31" customFormat="1" ht="12" customHeight="1">
      <c r="B33" s="163"/>
      <c r="AG33" s="35"/>
    </row>
    <row r="34" spans="2:33" s="31" customFormat="1" ht="12" customHeight="1">
      <c r="B34" s="163"/>
      <c r="AG34" s="35"/>
    </row>
    <row r="35" spans="2:33" s="31" customFormat="1" ht="12" customHeight="1" thickBot="1">
      <c r="B35" s="36"/>
      <c r="AG35" s="35"/>
    </row>
    <row r="36" spans="2:33" s="31" customFormat="1" ht="12" customHeight="1">
      <c r="B36" s="17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8"/>
    </row>
    <row r="37" spans="2:33" s="31" customFormat="1" ht="12" customHeight="1">
      <c r="B37" s="163"/>
      <c r="AG37" s="35"/>
    </row>
    <row r="38" spans="2:33" s="31" customFormat="1" ht="12" customHeight="1">
      <c r="B38" s="79"/>
      <c r="AG38" s="35"/>
    </row>
    <row r="39" spans="2:33" s="31" customFormat="1" ht="12" customHeight="1">
      <c r="B39" s="79"/>
      <c r="AG39" s="35"/>
    </row>
    <row r="40" spans="2:33" s="31" customFormat="1" ht="12" customHeight="1">
      <c r="B40" s="79"/>
      <c r="AG40" s="35"/>
    </row>
    <row r="41" spans="2:33" s="31" customFormat="1" ht="12" customHeight="1">
      <c r="B41" s="163"/>
      <c r="AG41" s="35"/>
    </row>
    <row r="42" spans="2:33" s="31" customFormat="1" ht="12" customHeight="1">
      <c r="B42" s="163"/>
      <c r="AG42" s="35"/>
    </row>
    <row r="43" spans="2:33" s="31" customFormat="1" ht="12" customHeight="1">
      <c r="B43" s="79"/>
      <c r="AG43" s="35"/>
    </row>
    <row r="44" spans="2:33" s="31" customFormat="1" ht="12" customHeight="1">
      <c r="B44" s="79"/>
      <c r="AG44" s="35"/>
    </row>
    <row r="45" spans="2:33" s="31" customFormat="1" ht="12" customHeight="1">
      <c r="B45" s="79"/>
      <c r="AG45" s="35"/>
    </row>
    <row r="46" spans="2:33" s="31" customFormat="1" ht="12" customHeight="1" thickBot="1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1"/>
    </row>
    <row r="47" spans="2:33" s="31" customFormat="1" ht="6" customHeight="1">
      <c r="B47" s="93"/>
      <c r="AG47" s="35"/>
    </row>
    <row r="48" spans="2:33" s="42" customFormat="1" ht="15" customHeight="1">
      <c r="B48" s="94">
        <v>1</v>
      </c>
      <c r="C48" s="95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7"/>
    </row>
    <row r="49" spans="2:55" s="42" customFormat="1" ht="15" customHeight="1">
      <c r="B49" s="43">
        <v>2</v>
      </c>
      <c r="C49" s="7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9"/>
    </row>
    <row r="50" spans="2:55" s="42" customFormat="1" ht="15" customHeight="1">
      <c r="B50" s="43">
        <v>3</v>
      </c>
      <c r="C50" s="7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9"/>
    </row>
    <row r="51" spans="2:55" s="42" customFormat="1" ht="15" customHeight="1">
      <c r="B51" s="43">
        <v>4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9"/>
    </row>
    <row r="52" spans="2:55" s="42" customFormat="1" ht="15" customHeight="1">
      <c r="B52" s="47">
        <v>5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9"/>
    </row>
    <row r="53" spans="2:55" s="42" customFormat="1" ht="15" customHeight="1">
      <c r="B53" s="47" t="s">
        <v>16</v>
      </c>
      <c r="C53" s="44" t="str">
        <f t="shared" ref="C53:AG53" si="0">IF(ISERR(AVERAGE(C48:C52))," ",AVERAGE(C48:C52))</f>
        <v xml:space="preserve"> </v>
      </c>
      <c r="D53" s="45" t="str">
        <f t="shared" si="0"/>
        <v xml:space="preserve"> </v>
      </c>
      <c r="E53" s="45" t="str">
        <f t="shared" si="0"/>
        <v xml:space="preserve"> </v>
      </c>
      <c r="F53" s="45" t="str">
        <f t="shared" si="0"/>
        <v xml:space="preserve"> </v>
      </c>
      <c r="G53" s="45" t="str">
        <f t="shared" si="0"/>
        <v xml:space="preserve"> </v>
      </c>
      <c r="H53" s="45" t="str">
        <f t="shared" si="0"/>
        <v xml:space="preserve"> </v>
      </c>
      <c r="I53" s="45" t="str">
        <f t="shared" si="0"/>
        <v xml:space="preserve"> </v>
      </c>
      <c r="J53" s="45" t="str">
        <f t="shared" si="0"/>
        <v xml:space="preserve"> </v>
      </c>
      <c r="K53" s="45" t="str">
        <f t="shared" si="0"/>
        <v xml:space="preserve"> </v>
      </c>
      <c r="L53" s="45" t="str">
        <f t="shared" si="0"/>
        <v xml:space="preserve"> </v>
      </c>
      <c r="M53" s="45" t="str">
        <f t="shared" si="0"/>
        <v xml:space="preserve"> </v>
      </c>
      <c r="N53" s="45" t="str">
        <f t="shared" si="0"/>
        <v xml:space="preserve"> </v>
      </c>
      <c r="O53" s="45" t="str">
        <f t="shared" si="0"/>
        <v xml:space="preserve"> </v>
      </c>
      <c r="P53" s="45" t="str">
        <f t="shared" si="0"/>
        <v xml:space="preserve"> </v>
      </c>
      <c r="Q53" s="45" t="str">
        <f t="shared" si="0"/>
        <v xml:space="preserve"> </v>
      </c>
      <c r="R53" s="45" t="str">
        <f t="shared" si="0"/>
        <v xml:space="preserve"> </v>
      </c>
      <c r="S53" s="45" t="str">
        <f t="shared" si="0"/>
        <v xml:space="preserve"> </v>
      </c>
      <c r="T53" s="45" t="str">
        <f t="shared" si="0"/>
        <v xml:space="preserve"> </v>
      </c>
      <c r="U53" s="45" t="str">
        <f t="shared" si="0"/>
        <v xml:space="preserve"> </v>
      </c>
      <c r="V53" s="45" t="str">
        <f t="shared" si="0"/>
        <v xml:space="preserve"> </v>
      </c>
      <c r="W53" s="45" t="str">
        <f t="shared" si="0"/>
        <v xml:space="preserve"> </v>
      </c>
      <c r="X53" s="45" t="str">
        <f t="shared" si="0"/>
        <v xml:space="preserve"> </v>
      </c>
      <c r="Y53" s="45" t="str">
        <f t="shared" si="0"/>
        <v xml:space="preserve"> </v>
      </c>
      <c r="Z53" s="45" t="str">
        <f t="shared" si="0"/>
        <v xml:space="preserve"> </v>
      </c>
      <c r="AA53" s="45" t="str">
        <f t="shared" si="0"/>
        <v xml:space="preserve"> </v>
      </c>
      <c r="AB53" s="45" t="str">
        <f t="shared" si="0"/>
        <v xml:space="preserve"> </v>
      </c>
      <c r="AC53" s="45" t="str">
        <f t="shared" si="0"/>
        <v xml:space="preserve"> </v>
      </c>
      <c r="AD53" s="45" t="str">
        <f t="shared" si="0"/>
        <v xml:space="preserve"> </v>
      </c>
      <c r="AE53" s="45" t="str">
        <f t="shared" si="0"/>
        <v xml:space="preserve"> </v>
      </c>
      <c r="AF53" s="45" t="str">
        <f t="shared" si="0"/>
        <v xml:space="preserve"> </v>
      </c>
      <c r="AG53" s="46" t="str">
        <f t="shared" si="0"/>
        <v xml:space="preserve"> </v>
      </c>
    </row>
    <row r="54" spans="2:55" s="42" customFormat="1" ht="15" customHeight="1">
      <c r="B54" s="47" t="s">
        <v>12</v>
      </c>
      <c r="C54" s="48">
        <f t="shared" ref="C54:AG54" si="1">MAX(C48:C52)-MIN(C48:C52)</f>
        <v>0</v>
      </c>
      <c r="D54" s="49">
        <f t="shared" si="1"/>
        <v>0</v>
      </c>
      <c r="E54" s="49">
        <f t="shared" si="1"/>
        <v>0</v>
      </c>
      <c r="F54" s="49">
        <f t="shared" si="1"/>
        <v>0</v>
      </c>
      <c r="G54" s="49">
        <f t="shared" si="1"/>
        <v>0</v>
      </c>
      <c r="H54" s="49">
        <f t="shared" si="1"/>
        <v>0</v>
      </c>
      <c r="I54" s="49">
        <f t="shared" si="1"/>
        <v>0</v>
      </c>
      <c r="J54" s="49">
        <f t="shared" si="1"/>
        <v>0</v>
      </c>
      <c r="K54" s="49">
        <f t="shared" si="1"/>
        <v>0</v>
      </c>
      <c r="L54" s="49">
        <f t="shared" si="1"/>
        <v>0</v>
      </c>
      <c r="M54" s="49">
        <f t="shared" si="1"/>
        <v>0</v>
      </c>
      <c r="N54" s="49">
        <f t="shared" si="1"/>
        <v>0</v>
      </c>
      <c r="O54" s="49">
        <f t="shared" si="1"/>
        <v>0</v>
      </c>
      <c r="P54" s="49">
        <f t="shared" si="1"/>
        <v>0</v>
      </c>
      <c r="Q54" s="49">
        <f t="shared" si="1"/>
        <v>0</v>
      </c>
      <c r="R54" s="115">
        <f t="shared" si="1"/>
        <v>0</v>
      </c>
      <c r="S54" s="115">
        <f t="shared" si="1"/>
        <v>0</v>
      </c>
      <c r="T54" s="115">
        <f t="shared" si="1"/>
        <v>0</v>
      </c>
      <c r="U54" s="115">
        <f t="shared" si="1"/>
        <v>0</v>
      </c>
      <c r="V54" s="115">
        <f t="shared" si="1"/>
        <v>0</v>
      </c>
      <c r="W54" s="115">
        <f t="shared" si="1"/>
        <v>0</v>
      </c>
      <c r="X54" s="115">
        <f t="shared" si="1"/>
        <v>0</v>
      </c>
      <c r="Y54" s="115">
        <f t="shared" si="1"/>
        <v>0</v>
      </c>
      <c r="Z54" s="115">
        <f t="shared" si="1"/>
        <v>0</v>
      </c>
      <c r="AA54" s="115">
        <f t="shared" si="1"/>
        <v>0</v>
      </c>
      <c r="AB54" s="115">
        <f t="shared" si="1"/>
        <v>0</v>
      </c>
      <c r="AC54" s="115">
        <f t="shared" si="1"/>
        <v>0</v>
      </c>
      <c r="AD54" s="115">
        <f t="shared" si="1"/>
        <v>0</v>
      </c>
      <c r="AE54" s="115">
        <f t="shared" si="1"/>
        <v>0</v>
      </c>
      <c r="AF54" s="115">
        <f t="shared" si="1"/>
        <v>0</v>
      </c>
      <c r="AG54" s="116">
        <f t="shared" si="1"/>
        <v>0</v>
      </c>
    </row>
    <row r="55" spans="2:55" s="42" customFormat="1" ht="20.100000000000001" customHeight="1">
      <c r="B55" s="50" t="s">
        <v>17</v>
      </c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 t="s">
        <v>57</v>
      </c>
      <c r="AA55" s="118"/>
      <c r="AB55" s="118"/>
      <c r="AC55" s="118"/>
      <c r="AD55" s="118"/>
      <c r="AE55" s="118"/>
      <c r="AF55" s="118"/>
      <c r="AG55" s="119"/>
    </row>
    <row r="56" spans="2:55" s="42" customFormat="1" ht="26.25" thickBot="1">
      <c r="B56" s="136" t="str">
        <f>'P1 - Esp. Lado'!B56</f>
        <v>Visto do Líder / Sublíder</v>
      </c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2"/>
    </row>
    <row r="57" spans="2:55" s="31" customFormat="1" ht="20.100000000000001" customHeight="1">
      <c r="B57" s="171" t="s">
        <v>18</v>
      </c>
      <c r="C57" s="172"/>
      <c r="D57" s="172"/>
      <c r="E57" s="173"/>
      <c r="F57" s="51" t="s">
        <v>19</v>
      </c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8"/>
    </row>
    <row r="58" spans="2:55" s="31" customFormat="1" ht="20.100000000000001" customHeight="1">
      <c r="B58" s="52"/>
      <c r="C58" s="23" t="s">
        <v>20</v>
      </c>
      <c r="D58" s="23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1" customFormat="1" ht="20.100000000000001" customHeight="1">
      <c r="B59" s="174" t="s">
        <v>21</v>
      </c>
      <c r="C59" s="175"/>
      <c r="D59" s="175"/>
      <c r="E59" s="35"/>
      <c r="F59" s="1"/>
      <c r="G59" s="1"/>
      <c r="H59" s="1"/>
      <c r="I59" s="1"/>
      <c r="J59" s="1"/>
      <c r="K59" s="1"/>
      <c r="L59" s="1"/>
      <c r="M59" s="1"/>
      <c r="N59" s="1"/>
      <c r="O59" s="123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1" customFormat="1" ht="20.100000000000001" customHeight="1" thickBot="1">
      <c r="B60" s="53"/>
      <c r="C60" s="54" t="s">
        <v>16</v>
      </c>
      <c r="D60" s="40"/>
      <c r="E60" s="41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1" customFormat="1" ht="7.5" customHeight="1"/>
    <row r="62" spans="2:55" s="31" customFormat="1" ht="15.75">
      <c r="B62" s="176" t="s">
        <v>31</v>
      </c>
      <c r="C62" s="177"/>
      <c r="D62" s="177"/>
      <c r="E62" s="177"/>
      <c r="F62" s="177"/>
      <c r="G62" s="166" t="s">
        <v>22</v>
      </c>
      <c r="H62" s="166"/>
      <c r="I62" s="166"/>
      <c r="J62" s="166"/>
      <c r="K62" s="167"/>
      <c r="L62" s="166" t="s">
        <v>30</v>
      </c>
      <c r="M62" s="166"/>
      <c r="N62" s="166"/>
      <c r="O62" s="166"/>
      <c r="P62" s="166"/>
      <c r="Q62" s="166"/>
      <c r="R62" s="166"/>
      <c r="S62" s="177" t="s">
        <v>32</v>
      </c>
      <c r="T62" s="177"/>
      <c r="U62" s="177"/>
      <c r="V62" s="177"/>
      <c r="W62" s="180" t="s">
        <v>46</v>
      </c>
      <c r="X62" s="177"/>
      <c r="Y62" s="177"/>
      <c r="Z62" s="177"/>
      <c r="AA62" s="177"/>
      <c r="AB62" s="177"/>
      <c r="AC62" s="177" t="s">
        <v>22</v>
      </c>
      <c r="AD62" s="177"/>
      <c r="AE62" s="177"/>
      <c r="AF62" s="177"/>
      <c r="AG62" s="182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</row>
    <row r="63" spans="2:55" s="31" customFormat="1" ht="15.75">
      <c r="B63" s="178"/>
      <c r="C63" s="179"/>
      <c r="D63" s="179"/>
      <c r="E63" s="179"/>
      <c r="F63" s="179"/>
      <c r="G63" s="168"/>
      <c r="H63" s="168"/>
      <c r="I63" s="168"/>
      <c r="J63" s="168"/>
      <c r="K63" s="169"/>
      <c r="L63" s="168"/>
      <c r="M63" s="168"/>
      <c r="N63" s="168"/>
      <c r="O63" s="168"/>
      <c r="P63" s="168"/>
      <c r="Q63" s="168"/>
      <c r="R63" s="168"/>
      <c r="S63" s="179"/>
      <c r="T63" s="179"/>
      <c r="U63" s="179"/>
      <c r="V63" s="179"/>
      <c r="W63" s="181"/>
      <c r="X63" s="179"/>
      <c r="Y63" s="179"/>
      <c r="Z63" s="179"/>
      <c r="AA63" s="179"/>
      <c r="AB63" s="179"/>
      <c r="AC63" s="179"/>
      <c r="AD63" s="179"/>
      <c r="AE63" s="179"/>
      <c r="AF63" s="179"/>
      <c r="AG63" s="183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</row>
    <row r="64" spans="2:55" ht="14.25">
      <c r="B64" s="56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6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</row>
    <row r="65" spans="2:5">
      <c r="B65" s="10" t="s">
        <v>25</v>
      </c>
    </row>
    <row r="66" spans="2:5">
      <c r="B66" s="10" t="s">
        <v>23</v>
      </c>
      <c r="C66" s="58" t="e">
        <f>AVERAGE(C53:AG53)+0.577*C69</f>
        <v>#DIV/0!</v>
      </c>
    </row>
    <row r="67" spans="2:5">
      <c r="B67" s="10" t="s">
        <v>5</v>
      </c>
      <c r="C67" s="58" t="e">
        <f>AVERAGE(C53:AG53)</f>
        <v>#DIV/0!</v>
      </c>
      <c r="D67" s="59" t="s">
        <v>26</v>
      </c>
      <c r="E67" s="10" t="e">
        <f>STDEV(C48:AF52)</f>
        <v>#DIV/0!</v>
      </c>
    </row>
    <row r="68" spans="2:5">
      <c r="B68" s="10" t="s">
        <v>24</v>
      </c>
      <c r="C68" s="58" t="e">
        <f>C67-0.577*C69</f>
        <v>#DIV/0!</v>
      </c>
    </row>
    <row r="69" spans="2:5">
      <c r="B69" s="10" t="s">
        <v>12</v>
      </c>
      <c r="C69" s="58" t="e">
        <f>2.115*(SUM(C54:AG54)/COUNTIF(C54:AG54,"&lt;&gt;0"))</f>
        <v>#DIV/0!</v>
      </c>
    </row>
    <row r="71" spans="2:5">
      <c r="B71" s="10" t="s">
        <v>27</v>
      </c>
    </row>
    <row r="73" spans="2:5">
      <c r="B73" s="10" t="s">
        <v>28</v>
      </c>
      <c r="C73" s="58" t="e">
        <f>E7/(6*E67)</f>
        <v>#DIV/0!</v>
      </c>
    </row>
    <row r="74" spans="2:5">
      <c r="B74" s="10" t="s">
        <v>29</v>
      </c>
      <c r="C74" s="58" t="e">
        <f>MIN((E4-C67)/(3*E67),(C67-E6)/(3*E67))</f>
        <v>#DIV/0!</v>
      </c>
    </row>
    <row r="75" spans="2:5">
      <c r="C75" s="10">
        <f>COUNTIF(C10:AG10,"&gt;0")</f>
        <v>0</v>
      </c>
    </row>
  </sheetData>
  <sheetProtection sheet="1" objects="1" scenarios="1" selectLockedCells="1"/>
  <mergeCells count="29">
    <mergeCell ref="L62:R63"/>
    <mergeCell ref="S62:V63"/>
    <mergeCell ref="W62:AB63"/>
    <mergeCell ref="AC62:AG63"/>
    <mergeCell ref="AS64:BC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D4:AG5"/>
    <mergeCell ref="B13:B14"/>
    <mergeCell ref="B15:B16"/>
    <mergeCell ref="B17:B18"/>
    <mergeCell ref="B19:B20"/>
    <mergeCell ref="Z4:AC5"/>
    <mergeCell ref="B21:B22"/>
    <mergeCell ref="I2:J3"/>
    <mergeCell ref="K2:L3"/>
    <mergeCell ref="M2:Q3"/>
    <mergeCell ref="R2:T2"/>
    <mergeCell ref="R3:T3"/>
  </mergeCells>
  <conditionalFormatting sqref="C48:AG52">
    <cfRule type="expression" dxfId="13" priority="1">
      <formula>(C48&gt;$G$4)*(C48&lt;&gt;0)</formula>
    </cfRule>
    <cfRule type="expression" dxfId="12" priority="2">
      <formula>(C48&lt;$G$6)*(C48&lt;&gt;0)</formula>
    </cfRule>
  </conditionalFormatting>
  <dataValidations count="3">
    <dataValidation type="whole" showInputMessage="1" showErrorMessage="1" errorTitle="Data" error="Digite apenas o dia entre 1 e 31" sqref="E10:AG10" xr:uid="{00000000-0002-0000-0700-000000000000}">
      <formula1>1</formula1>
      <formula2>31</formula2>
    </dataValidation>
    <dataValidation type="whole" showErrorMessage="1" errorTitle="Data" error="Digite apenas o dia entre 1 e 31" sqref="D10" xr:uid="{00000000-0002-0000-0700-000001000000}">
      <formula1>1</formula1>
      <formula2>31</formula2>
    </dataValidation>
    <dataValidation type="list" showErrorMessage="1" promptTitle="Turno" prompt="Escolha" sqref="C11:AG11" xr:uid="{00000000-0002-0000-07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16-088-03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08">
    <tabColor indexed="47"/>
    <pageSetUpPr fitToPage="1"/>
  </sheetPr>
  <dimension ref="B1:BC75"/>
  <sheetViews>
    <sheetView showZeros="0" topLeftCell="A12" zoomScaleNormal="100" workbookViewId="0">
      <selection activeCell="W55" sqref="W55"/>
    </sheetView>
  </sheetViews>
  <sheetFormatPr defaultColWidth="10.28515625" defaultRowHeight="12.75"/>
  <cols>
    <col min="1" max="1" width="1.5703125" style="10" customWidth="1"/>
    <col min="2" max="2" width="16.140625" style="10" customWidth="1"/>
    <col min="3" max="33" width="6.7109375" style="10" customWidth="1"/>
    <col min="34" max="34" width="3.140625" style="10" customWidth="1"/>
    <col min="35" max="55" width="6.7109375" style="10" customWidth="1"/>
    <col min="56" max="16384" width="10.28515625" style="10"/>
  </cols>
  <sheetData>
    <row r="1" spans="2:50" ht="21.75" thickBot="1">
      <c r="B1" s="80" t="s">
        <v>42</v>
      </c>
      <c r="C1" s="81"/>
      <c r="D1" s="81"/>
      <c r="E1" s="81"/>
      <c r="F1" s="82"/>
      <c r="G1" s="82"/>
      <c r="H1" s="83"/>
      <c r="I1" s="104" t="s">
        <v>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3"/>
      <c r="AX1" s="11"/>
    </row>
    <row r="2" spans="2:50" s="12" customFormat="1" ht="19.5" customHeight="1">
      <c r="B2" s="84" t="s">
        <v>43</v>
      </c>
      <c r="C2" s="85"/>
      <c r="D2" s="86"/>
      <c r="E2" s="86"/>
      <c r="F2" s="87"/>
      <c r="G2" s="87"/>
      <c r="H2" s="88"/>
      <c r="I2" s="139" t="s">
        <v>0</v>
      </c>
      <c r="J2" s="140"/>
      <c r="K2" s="143" t="str">
        <f>'P1 - Esp. Lado'!K2:L3</f>
        <v>UM-3</v>
      </c>
      <c r="L2" s="144"/>
      <c r="M2" s="147" t="s">
        <v>53</v>
      </c>
      <c r="N2" s="148"/>
      <c r="O2" s="148"/>
      <c r="P2" s="148"/>
      <c r="Q2" s="149"/>
      <c r="R2" s="153" t="s">
        <v>1</v>
      </c>
      <c r="S2" s="154"/>
      <c r="T2" s="155"/>
      <c r="U2" s="13" t="s">
        <v>49</v>
      </c>
      <c r="V2" s="14"/>
      <c r="W2" s="14"/>
      <c r="X2" s="14"/>
      <c r="Y2" s="14"/>
      <c r="Z2" s="15"/>
      <c r="AA2" s="15"/>
      <c r="AB2" s="15"/>
      <c r="AC2" s="15"/>
      <c r="AD2" s="15"/>
      <c r="AE2" s="89"/>
      <c r="AF2" s="89"/>
      <c r="AG2" s="90"/>
    </row>
    <row r="3" spans="2:50" ht="16.899999999999999" customHeight="1" thickBot="1">
      <c r="B3" s="64"/>
      <c r="I3" s="141"/>
      <c r="J3" s="142"/>
      <c r="K3" s="145"/>
      <c r="L3" s="146"/>
      <c r="M3" s="150"/>
      <c r="N3" s="151"/>
      <c r="O3" s="151"/>
      <c r="P3" s="151"/>
      <c r="Q3" s="152"/>
      <c r="R3" s="156" t="s">
        <v>2</v>
      </c>
      <c r="S3" s="157"/>
      <c r="T3" s="158"/>
      <c r="U3" s="16" t="s">
        <v>50</v>
      </c>
      <c r="V3" s="17"/>
      <c r="W3" s="17"/>
      <c r="X3" s="17"/>
      <c r="Y3" s="17"/>
      <c r="Z3" s="17"/>
      <c r="AA3" s="17"/>
      <c r="AB3" s="17"/>
      <c r="AC3" s="17"/>
      <c r="AD3" s="17"/>
      <c r="AE3" s="91"/>
      <c r="AF3" s="91"/>
      <c r="AG3" s="92"/>
    </row>
    <row r="4" spans="2:50" s="23" customFormat="1" ht="16.899999999999999" customHeight="1">
      <c r="B4" s="65" t="s">
        <v>3</v>
      </c>
      <c r="C4" s="18"/>
      <c r="D4" s="103" t="s">
        <v>4</v>
      </c>
      <c r="E4" s="102">
        <f>E5+E7/2</f>
        <v>0.5</v>
      </c>
      <c r="F4" s="105" t="s">
        <v>34</v>
      </c>
      <c r="G4" s="106">
        <f>G5+G7/2</f>
        <v>0.48000000000000004</v>
      </c>
      <c r="H4" s="107"/>
      <c r="I4" s="108"/>
      <c r="Z4" s="164" t="str">
        <f ca="1">'P1 - Esp. Fundo'!Z4:AC5</f>
        <v>MÊS: 03</v>
      </c>
      <c r="AA4" s="159"/>
      <c r="AB4" s="159"/>
      <c r="AC4" s="159"/>
      <c r="AD4" s="159" t="str">
        <f ca="1">'P1 - Esp. Fundo'!AD4:AG5</f>
        <v>ANO: 2022</v>
      </c>
      <c r="AE4" s="159"/>
      <c r="AF4" s="159"/>
      <c r="AG4" s="160"/>
    </row>
    <row r="5" spans="2:50" s="23" customFormat="1" ht="16.899999999999999" customHeight="1" thickBot="1">
      <c r="B5" s="66" t="str">
        <f>'P1 - Esp. Lado'!B5</f>
        <v>SJCPIL-I 16-013-XX</v>
      </c>
      <c r="C5" s="24" t="s">
        <v>5</v>
      </c>
      <c r="D5" s="101" t="s">
        <v>6</v>
      </c>
      <c r="E5" s="100">
        <v>0.4</v>
      </c>
      <c r="F5" s="109" t="s">
        <v>6</v>
      </c>
      <c r="G5" s="110">
        <f>E5</f>
        <v>0.4</v>
      </c>
      <c r="H5" s="107"/>
      <c r="I5" s="23" t="s">
        <v>33</v>
      </c>
      <c r="R5" s="23" t="s">
        <v>7</v>
      </c>
      <c r="Z5" s="165"/>
      <c r="AA5" s="161"/>
      <c r="AB5" s="161"/>
      <c r="AC5" s="161"/>
      <c r="AD5" s="161"/>
      <c r="AE5" s="161"/>
      <c r="AF5" s="161"/>
      <c r="AG5" s="162"/>
    </row>
    <row r="6" spans="2:50" s="23" customFormat="1" ht="16.899999999999999" customHeight="1">
      <c r="B6" s="67" t="s">
        <v>8</v>
      </c>
      <c r="C6" s="29"/>
      <c r="D6" s="101" t="s">
        <v>9</v>
      </c>
      <c r="E6" s="100">
        <f>E5-E7/2</f>
        <v>0.30000000000000004</v>
      </c>
      <c r="F6" s="109" t="s">
        <v>35</v>
      </c>
      <c r="G6" s="110">
        <f>G5-G7/2</f>
        <v>0.32</v>
      </c>
      <c r="H6" s="107"/>
      <c r="I6" s="23" t="s">
        <v>10</v>
      </c>
      <c r="R6" s="23" t="s">
        <v>11</v>
      </c>
      <c r="AC6" s="68"/>
      <c r="AD6" s="68"/>
      <c r="AG6" s="69"/>
    </row>
    <row r="7" spans="2:50" s="23" customFormat="1" ht="16.899999999999999" customHeight="1" thickBot="1">
      <c r="B7" s="70"/>
      <c r="C7" s="71" t="s">
        <v>12</v>
      </c>
      <c r="D7" s="99" t="s">
        <v>4</v>
      </c>
      <c r="E7" s="98">
        <v>0.2</v>
      </c>
      <c r="F7" s="111" t="s">
        <v>34</v>
      </c>
      <c r="G7" s="112">
        <v>0.16</v>
      </c>
      <c r="H7" s="113"/>
      <c r="I7" s="72" t="s">
        <v>13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3"/>
      <c r="AD7" s="73"/>
      <c r="AE7" s="72"/>
      <c r="AF7" s="72"/>
      <c r="AG7" s="74"/>
    </row>
    <row r="8" spans="2:50" s="23" customFormat="1" ht="4.5" customHeight="1" thickBot="1"/>
    <row r="9" spans="2:50" s="31" customFormat="1">
      <c r="B9" s="30" t="s">
        <v>14</v>
      </c>
      <c r="C9" s="60">
        <v>1</v>
      </c>
      <c r="D9" s="60">
        <v>2</v>
      </c>
      <c r="E9" s="60">
        <v>3</v>
      </c>
      <c r="F9" s="60">
        <v>4</v>
      </c>
      <c r="G9" s="60">
        <v>5</v>
      </c>
      <c r="H9" s="60">
        <v>6</v>
      </c>
      <c r="I9" s="60">
        <v>7</v>
      </c>
      <c r="J9" s="60">
        <v>8</v>
      </c>
      <c r="K9" s="60">
        <v>9</v>
      </c>
      <c r="L9" s="60">
        <v>10</v>
      </c>
      <c r="M9" s="60">
        <v>11</v>
      </c>
      <c r="N9" s="60">
        <v>12</v>
      </c>
      <c r="O9" s="60">
        <v>13</v>
      </c>
      <c r="P9" s="60">
        <v>14</v>
      </c>
      <c r="Q9" s="60">
        <v>15</v>
      </c>
      <c r="R9" s="60">
        <v>16</v>
      </c>
      <c r="S9" s="60">
        <v>17</v>
      </c>
      <c r="T9" s="60">
        <v>18</v>
      </c>
      <c r="U9" s="60">
        <v>19</v>
      </c>
      <c r="V9" s="60">
        <v>20</v>
      </c>
      <c r="W9" s="60">
        <v>21</v>
      </c>
      <c r="X9" s="60">
        <v>22</v>
      </c>
      <c r="Y9" s="60">
        <v>23</v>
      </c>
      <c r="Z9" s="60">
        <v>24</v>
      </c>
      <c r="AA9" s="60">
        <v>25</v>
      </c>
      <c r="AB9" s="60">
        <v>26</v>
      </c>
      <c r="AC9" s="60">
        <v>27</v>
      </c>
      <c r="AD9" s="60">
        <v>28</v>
      </c>
      <c r="AE9" s="60">
        <v>29</v>
      </c>
      <c r="AF9" s="60">
        <v>30</v>
      </c>
      <c r="AG9" s="61">
        <v>31</v>
      </c>
    </row>
    <row r="10" spans="2:50" s="31" customFormat="1" ht="14.1" customHeight="1">
      <c r="B10" s="32" t="s">
        <v>15</v>
      </c>
      <c r="C10" s="114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1" customFormat="1" ht="14.1" customHeight="1">
      <c r="B11" s="33" t="s">
        <v>37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1" customFormat="1" ht="12" customHeight="1">
      <c r="B12" s="34"/>
      <c r="AG12" s="35"/>
    </row>
    <row r="13" spans="2:50" s="31" customFormat="1" ht="12" customHeight="1">
      <c r="B13" s="163"/>
      <c r="AG13" s="35"/>
    </row>
    <row r="14" spans="2:50" s="31" customFormat="1" ht="12" customHeight="1">
      <c r="B14" s="163"/>
      <c r="AG14" s="35"/>
    </row>
    <row r="15" spans="2:50" s="31" customFormat="1" ht="12" customHeight="1">
      <c r="B15" s="138"/>
      <c r="AG15" s="35"/>
    </row>
    <row r="16" spans="2:50" s="31" customFormat="1" ht="12" customHeight="1">
      <c r="B16" s="138"/>
      <c r="AG16" s="35"/>
    </row>
    <row r="17" spans="2:33" s="31" customFormat="1" ht="12" customHeight="1">
      <c r="B17" s="138"/>
      <c r="AG17" s="35"/>
    </row>
    <row r="18" spans="2:33" s="31" customFormat="1" ht="12" customHeight="1">
      <c r="B18" s="138"/>
      <c r="AG18" s="35"/>
    </row>
    <row r="19" spans="2:33" s="31" customFormat="1" ht="12" customHeight="1">
      <c r="B19" s="138"/>
      <c r="AG19" s="35"/>
    </row>
    <row r="20" spans="2:33" s="31" customFormat="1" ht="12" customHeight="1">
      <c r="B20" s="138"/>
      <c r="AG20" s="35"/>
    </row>
    <row r="21" spans="2:33" s="31" customFormat="1" ht="12" customHeight="1">
      <c r="B21" s="138"/>
      <c r="AG21" s="35"/>
    </row>
    <row r="22" spans="2:33" s="31" customFormat="1" ht="12" customHeight="1">
      <c r="B22" s="138"/>
      <c r="AG22" s="35"/>
    </row>
    <row r="23" spans="2:33" s="31" customFormat="1" ht="12" customHeight="1">
      <c r="B23" s="163"/>
      <c r="AG23" s="35"/>
    </row>
    <row r="24" spans="2:33" s="31" customFormat="1" ht="12" customHeight="1">
      <c r="B24" s="163"/>
      <c r="AG24" s="35"/>
    </row>
    <row r="25" spans="2:33" s="31" customFormat="1" ht="12" customHeight="1">
      <c r="B25" s="138"/>
      <c r="AG25" s="35"/>
    </row>
    <row r="26" spans="2:33" s="31" customFormat="1" ht="12" customHeight="1">
      <c r="B26" s="138"/>
      <c r="AG26" s="35"/>
    </row>
    <row r="27" spans="2:33" s="31" customFormat="1" ht="12" customHeight="1">
      <c r="B27" s="138"/>
      <c r="AG27" s="35"/>
    </row>
    <row r="28" spans="2:33" s="31" customFormat="1" ht="12" customHeight="1">
      <c r="B28" s="138"/>
      <c r="AG28" s="35"/>
    </row>
    <row r="29" spans="2:33" s="31" customFormat="1" ht="12" customHeight="1">
      <c r="B29" s="138"/>
      <c r="AG29" s="35"/>
    </row>
    <row r="30" spans="2:33" s="31" customFormat="1" ht="12" customHeight="1">
      <c r="B30" s="138"/>
      <c r="AG30" s="35"/>
    </row>
    <row r="31" spans="2:33" s="31" customFormat="1" ht="12" customHeight="1">
      <c r="B31" s="138"/>
      <c r="AG31" s="35"/>
    </row>
    <row r="32" spans="2:33" s="31" customFormat="1" ht="12" customHeight="1">
      <c r="B32" s="138"/>
      <c r="AG32" s="35"/>
    </row>
    <row r="33" spans="2:33" s="31" customFormat="1" ht="12" customHeight="1">
      <c r="B33" s="163"/>
      <c r="AG33" s="35"/>
    </row>
    <row r="34" spans="2:33" s="31" customFormat="1" ht="12" customHeight="1">
      <c r="B34" s="163"/>
      <c r="AG34" s="35"/>
    </row>
    <row r="35" spans="2:33" s="31" customFormat="1" ht="12" customHeight="1" thickBot="1">
      <c r="B35" s="36"/>
      <c r="AG35" s="35"/>
    </row>
    <row r="36" spans="2:33" s="31" customFormat="1" ht="12" customHeight="1">
      <c r="B36" s="17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8"/>
    </row>
    <row r="37" spans="2:33" s="31" customFormat="1" ht="12" customHeight="1">
      <c r="B37" s="163"/>
      <c r="AG37" s="35"/>
    </row>
    <row r="38" spans="2:33" s="31" customFormat="1" ht="12" customHeight="1">
      <c r="B38" s="79"/>
      <c r="AG38" s="35"/>
    </row>
    <row r="39" spans="2:33" s="31" customFormat="1" ht="12" customHeight="1">
      <c r="B39" s="79"/>
      <c r="AG39" s="35"/>
    </row>
    <row r="40" spans="2:33" s="31" customFormat="1" ht="12" customHeight="1">
      <c r="B40" s="79"/>
      <c r="AG40" s="35"/>
    </row>
    <row r="41" spans="2:33" s="31" customFormat="1" ht="12" customHeight="1">
      <c r="B41" s="163"/>
      <c r="AG41" s="35"/>
    </row>
    <row r="42" spans="2:33" s="31" customFormat="1" ht="12" customHeight="1">
      <c r="B42" s="163"/>
      <c r="AG42" s="35"/>
    </row>
    <row r="43" spans="2:33" s="31" customFormat="1" ht="12" customHeight="1">
      <c r="B43" s="79"/>
      <c r="AG43" s="35"/>
    </row>
    <row r="44" spans="2:33" s="31" customFormat="1" ht="12" customHeight="1">
      <c r="B44" s="79"/>
      <c r="AG44" s="35"/>
    </row>
    <row r="45" spans="2:33" s="31" customFormat="1" ht="12" customHeight="1">
      <c r="B45" s="79"/>
      <c r="AG45" s="35"/>
    </row>
    <row r="46" spans="2:33" s="31" customFormat="1" ht="12" customHeight="1" thickBot="1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1"/>
    </row>
    <row r="47" spans="2:33" s="31" customFormat="1" ht="6" customHeight="1">
      <c r="B47" s="93"/>
      <c r="AG47" s="35"/>
    </row>
    <row r="48" spans="2:33" s="42" customFormat="1" ht="15" customHeight="1">
      <c r="B48" s="94">
        <v>1</v>
      </c>
      <c r="C48" s="95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7"/>
    </row>
    <row r="49" spans="2:55" s="42" customFormat="1" ht="15" customHeight="1">
      <c r="B49" s="43">
        <v>2</v>
      </c>
      <c r="C49" s="7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9"/>
    </row>
    <row r="50" spans="2:55" s="42" customFormat="1" ht="15" customHeight="1">
      <c r="B50" s="43">
        <v>3</v>
      </c>
      <c r="C50" s="7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9"/>
    </row>
    <row r="51" spans="2:55" s="42" customFormat="1" ht="15" customHeight="1">
      <c r="B51" s="43">
        <v>4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9"/>
    </row>
    <row r="52" spans="2:55" s="42" customFormat="1" ht="15" customHeight="1">
      <c r="B52" s="47">
        <v>5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9"/>
    </row>
    <row r="53" spans="2:55" s="42" customFormat="1" ht="15" customHeight="1">
      <c r="B53" s="47" t="s">
        <v>16</v>
      </c>
      <c r="C53" s="44" t="str">
        <f t="shared" ref="C53:AG53" si="0">IF(ISERR(AVERAGE(C48:C52))," ",AVERAGE(C48:C52))</f>
        <v xml:space="preserve"> </v>
      </c>
      <c r="D53" s="45" t="str">
        <f t="shared" si="0"/>
        <v xml:space="preserve"> </v>
      </c>
      <c r="E53" s="45" t="str">
        <f t="shared" si="0"/>
        <v xml:space="preserve"> </v>
      </c>
      <c r="F53" s="45" t="str">
        <f t="shared" si="0"/>
        <v xml:space="preserve"> </v>
      </c>
      <c r="G53" s="45" t="str">
        <f t="shared" si="0"/>
        <v xml:space="preserve"> </v>
      </c>
      <c r="H53" s="45" t="str">
        <f t="shared" si="0"/>
        <v xml:space="preserve"> </v>
      </c>
      <c r="I53" s="45" t="str">
        <f t="shared" si="0"/>
        <v xml:space="preserve"> </v>
      </c>
      <c r="J53" s="45" t="str">
        <f t="shared" si="0"/>
        <v xml:space="preserve"> </v>
      </c>
      <c r="K53" s="45" t="str">
        <f t="shared" si="0"/>
        <v xml:space="preserve"> </v>
      </c>
      <c r="L53" s="45" t="str">
        <f t="shared" si="0"/>
        <v xml:space="preserve"> </v>
      </c>
      <c r="M53" s="45" t="str">
        <f t="shared" si="0"/>
        <v xml:space="preserve"> </v>
      </c>
      <c r="N53" s="45" t="str">
        <f t="shared" si="0"/>
        <v xml:space="preserve"> </v>
      </c>
      <c r="O53" s="45" t="str">
        <f t="shared" si="0"/>
        <v xml:space="preserve"> </v>
      </c>
      <c r="P53" s="45" t="str">
        <f t="shared" si="0"/>
        <v xml:space="preserve"> </v>
      </c>
      <c r="Q53" s="45" t="str">
        <f t="shared" si="0"/>
        <v xml:space="preserve"> </v>
      </c>
      <c r="R53" s="45" t="str">
        <f t="shared" si="0"/>
        <v xml:space="preserve"> </v>
      </c>
      <c r="S53" s="45" t="str">
        <f t="shared" si="0"/>
        <v xml:space="preserve"> </v>
      </c>
      <c r="T53" s="45" t="str">
        <f t="shared" si="0"/>
        <v xml:space="preserve"> </v>
      </c>
      <c r="U53" s="45" t="str">
        <f t="shared" si="0"/>
        <v xml:space="preserve"> </v>
      </c>
      <c r="V53" s="45" t="str">
        <f t="shared" si="0"/>
        <v xml:space="preserve"> </v>
      </c>
      <c r="W53" s="45" t="str">
        <f t="shared" si="0"/>
        <v xml:space="preserve"> </v>
      </c>
      <c r="X53" s="45" t="str">
        <f t="shared" si="0"/>
        <v xml:space="preserve"> </v>
      </c>
      <c r="Y53" s="45" t="str">
        <f t="shared" si="0"/>
        <v xml:space="preserve"> </v>
      </c>
      <c r="Z53" s="45" t="str">
        <f t="shared" si="0"/>
        <v xml:space="preserve"> </v>
      </c>
      <c r="AA53" s="45" t="str">
        <f t="shared" si="0"/>
        <v xml:space="preserve"> </v>
      </c>
      <c r="AB53" s="45" t="str">
        <f t="shared" si="0"/>
        <v xml:space="preserve"> </v>
      </c>
      <c r="AC53" s="45" t="str">
        <f t="shared" si="0"/>
        <v xml:space="preserve"> </v>
      </c>
      <c r="AD53" s="45" t="str">
        <f t="shared" si="0"/>
        <v xml:space="preserve"> </v>
      </c>
      <c r="AE53" s="45" t="str">
        <f t="shared" si="0"/>
        <v xml:space="preserve"> </v>
      </c>
      <c r="AF53" s="45" t="str">
        <f t="shared" si="0"/>
        <v xml:space="preserve"> </v>
      </c>
      <c r="AG53" s="46" t="str">
        <f t="shared" si="0"/>
        <v xml:space="preserve"> </v>
      </c>
    </row>
    <row r="54" spans="2:55" s="42" customFormat="1" ht="15" customHeight="1">
      <c r="B54" s="47" t="s">
        <v>12</v>
      </c>
      <c r="C54" s="48">
        <f t="shared" ref="C54:AG54" si="1">MAX(C48:C52)-MIN(C48:C52)</f>
        <v>0</v>
      </c>
      <c r="D54" s="49">
        <f t="shared" si="1"/>
        <v>0</v>
      </c>
      <c r="E54" s="49">
        <f t="shared" si="1"/>
        <v>0</v>
      </c>
      <c r="F54" s="49">
        <f t="shared" si="1"/>
        <v>0</v>
      </c>
      <c r="G54" s="49">
        <f t="shared" si="1"/>
        <v>0</v>
      </c>
      <c r="H54" s="49">
        <f t="shared" si="1"/>
        <v>0</v>
      </c>
      <c r="I54" s="49">
        <f t="shared" si="1"/>
        <v>0</v>
      </c>
      <c r="J54" s="49">
        <f t="shared" si="1"/>
        <v>0</v>
      </c>
      <c r="K54" s="49">
        <f t="shared" si="1"/>
        <v>0</v>
      </c>
      <c r="L54" s="49">
        <f t="shared" si="1"/>
        <v>0</v>
      </c>
      <c r="M54" s="49">
        <f t="shared" si="1"/>
        <v>0</v>
      </c>
      <c r="N54" s="49">
        <f t="shared" si="1"/>
        <v>0</v>
      </c>
      <c r="O54" s="49">
        <f t="shared" si="1"/>
        <v>0</v>
      </c>
      <c r="P54" s="49">
        <f t="shared" si="1"/>
        <v>0</v>
      </c>
      <c r="Q54" s="49">
        <f t="shared" si="1"/>
        <v>0</v>
      </c>
      <c r="R54" s="115">
        <f t="shared" si="1"/>
        <v>0</v>
      </c>
      <c r="S54" s="115">
        <f t="shared" si="1"/>
        <v>0</v>
      </c>
      <c r="T54" s="115">
        <f t="shared" si="1"/>
        <v>0</v>
      </c>
      <c r="U54" s="115">
        <f t="shared" si="1"/>
        <v>0</v>
      </c>
      <c r="V54" s="115">
        <f t="shared" si="1"/>
        <v>0</v>
      </c>
      <c r="W54" s="115">
        <f t="shared" si="1"/>
        <v>0</v>
      </c>
      <c r="X54" s="115">
        <f t="shared" si="1"/>
        <v>0</v>
      </c>
      <c r="Y54" s="115">
        <f t="shared" si="1"/>
        <v>0</v>
      </c>
      <c r="Z54" s="115">
        <f t="shared" si="1"/>
        <v>0</v>
      </c>
      <c r="AA54" s="115">
        <f t="shared" si="1"/>
        <v>0</v>
      </c>
      <c r="AB54" s="115">
        <f t="shared" si="1"/>
        <v>0</v>
      </c>
      <c r="AC54" s="115">
        <f t="shared" si="1"/>
        <v>0</v>
      </c>
      <c r="AD54" s="115">
        <f t="shared" si="1"/>
        <v>0</v>
      </c>
      <c r="AE54" s="115">
        <f t="shared" si="1"/>
        <v>0</v>
      </c>
      <c r="AF54" s="115">
        <f t="shared" si="1"/>
        <v>0</v>
      </c>
      <c r="AG54" s="116">
        <f t="shared" si="1"/>
        <v>0</v>
      </c>
    </row>
    <row r="55" spans="2:55" s="42" customFormat="1" ht="20.100000000000001" customHeight="1">
      <c r="B55" s="50" t="s">
        <v>17</v>
      </c>
      <c r="C55" s="117" t="s">
        <v>57</v>
      </c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9"/>
    </row>
    <row r="56" spans="2:55" s="42" customFormat="1" ht="26.25" thickBot="1">
      <c r="B56" s="136" t="str">
        <f>'P1 - Esp. Lado'!B56</f>
        <v>Visto do Líder / Sublíder</v>
      </c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2"/>
    </row>
    <row r="57" spans="2:55" s="31" customFormat="1" ht="20.100000000000001" customHeight="1">
      <c r="B57" s="171" t="s">
        <v>18</v>
      </c>
      <c r="C57" s="172"/>
      <c r="D57" s="172"/>
      <c r="E57" s="173"/>
      <c r="F57" s="51" t="s">
        <v>19</v>
      </c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8"/>
    </row>
    <row r="58" spans="2:55" s="31" customFormat="1" ht="20.100000000000001" customHeight="1">
      <c r="B58" s="52"/>
      <c r="C58" s="23" t="s">
        <v>20</v>
      </c>
      <c r="D58" s="23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1" customFormat="1" ht="20.100000000000001" customHeight="1">
      <c r="B59" s="174" t="s">
        <v>21</v>
      </c>
      <c r="C59" s="175"/>
      <c r="D59" s="175"/>
      <c r="E59" s="35"/>
      <c r="F59" s="1"/>
      <c r="G59" s="1"/>
      <c r="H59" s="1"/>
      <c r="I59" s="1"/>
      <c r="J59" s="1"/>
      <c r="K59" s="1"/>
      <c r="L59" s="1"/>
      <c r="M59" s="1"/>
      <c r="N59" s="1"/>
      <c r="O59" s="123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1" customFormat="1" ht="20.100000000000001" customHeight="1" thickBot="1">
      <c r="B60" s="53"/>
      <c r="C60" s="54" t="s">
        <v>16</v>
      </c>
      <c r="D60" s="40"/>
      <c r="E60" s="41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1" customFormat="1" ht="7.5" customHeight="1"/>
    <row r="62" spans="2:55" s="31" customFormat="1" ht="15.75">
      <c r="B62" s="176" t="s">
        <v>31</v>
      </c>
      <c r="C62" s="177"/>
      <c r="D62" s="177"/>
      <c r="E62" s="177"/>
      <c r="F62" s="177"/>
      <c r="G62" s="166" t="s">
        <v>22</v>
      </c>
      <c r="H62" s="166"/>
      <c r="I62" s="166"/>
      <c r="J62" s="166"/>
      <c r="K62" s="167"/>
      <c r="L62" s="166" t="s">
        <v>30</v>
      </c>
      <c r="M62" s="166"/>
      <c r="N62" s="166"/>
      <c r="O62" s="166"/>
      <c r="P62" s="166"/>
      <c r="Q62" s="166"/>
      <c r="R62" s="166"/>
      <c r="S62" s="177" t="s">
        <v>32</v>
      </c>
      <c r="T62" s="177"/>
      <c r="U62" s="177"/>
      <c r="V62" s="177"/>
      <c r="W62" s="180" t="s">
        <v>46</v>
      </c>
      <c r="X62" s="177"/>
      <c r="Y62" s="177"/>
      <c r="Z62" s="177"/>
      <c r="AA62" s="177"/>
      <c r="AB62" s="177"/>
      <c r="AC62" s="177" t="s">
        <v>22</v>
      </c>
      <c r="AD62" s="177"/>
      <c r="AE62" s="177"/>
      <c r="AF62" s="177"/>
      <c r="AG62" s="182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</row>
    <row r="63" spans="2:55" s="31" customFormat="1" ht="15.75">
      <c r="B63" s="178"/>
      <c r="C63" s="179"/>
      <c r="D63" s="179"/>
      <c r="E63" s="179"/>
      <c r="F63" s="179"/>
      <c r="G63" s="168"/>
      <c r="H63" s="168"/>
      <c r="I63" s="168"/>
      <c r="J63" s="168"/>
      <c r="K63" s="169"/>
      <c r="L63" s="168"/>
      <c r="M63" s="168"/>
      <c r="N63" s="168"/>
      <c r="O63" s="168"/>
      <c r="P63" s="168"/>
      <c r="Q63" s="168"/>
      <c r="R63" s="168"/>
      <c r="S63" s="179"/>
      <c r="T63" s="179"/>
      <c r="U63" s="179"/>
      <c r="V63" s="179"/>
      <c r="W63" s="181"/>
      <c r="X63" s="179"/>
      <c r="Y63" s="179"/>
      <c r="Z63" s="179"/>
      <c r="AA63" s="179"/>
      <c r="AB63" s="179"/>
      <c r="AC63" s="179"/>
      <c r="AD63" s="179"/>
      <c r="AE63" s="179"/>
      <c r="AF63" s="179"/>
      <c r="AG63" s="183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</row>
    <row r="64" spans="2:55" ht="14.25">
      <c r="B64" s="56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6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</row>
    <row r="65" spans="2:5">
      <c r="B65" s="10" t="s">
        <v>25</v>
      </c>
    </row>
    <row r="66" spans="2:5">
      <c r="B66" s="10" t="s">
        <v>23</v>
      </c>
      <c r="C66" s="58" t="e">
        <f>AVERAGE(C53:AG53)+0.577*C69</f>
        <v>#DIV/0!</v>
      </c>
    </row>
    <row r="67" spans="2:5">
      <c r="B67" s="10" t="s">
        <v>5</v>
      </c>
      <c r="C67" s="58" t="e">
        <f>AVERAGE(C53:AG53)</f>
        <v>#DIV/0!</v>
      </c>
      <c r="D67" s="59" t="s">
        <v>26</v>
      </c>
      <c r="E67" s="10" t="e">
        <f>STDEV(C48:AF52)</f>
        <v>#DIV/0!</v>
      </c>
    </row>
    <row r="68" spans="2:5">
      <c r="B68" s="10" t="s">
        <v>24</v>
      </c>
      <c r="C68" s="58" t="e">
        <f>C67-0.577*C69</f>
        <v>#DIV/0!</v>
      </c>
    </row>
    <row r="69" spans="2:5">
      <c r="B69" s="10" t="s">
        <v>12</v>
      </c>
      <c r="C69" s="58" t="e">
        <f>2.115*(SUM(C54:AG54)/COUNTIF(C54:AG54,"&lt;&gt;0"))</f>
        <v>#DIV/0!</v>
      </c>
    </row>
    <row r="71" spans="2:5">
      <c r="B71" s="10" t="s">
        <v>27</v>
      </c>
    </row>
    <row r="73" spans="2:5">
      <c r="B73" s="10" t="s">
        <v>28</v>
      </c>
      <c r="C73" s="58" t="e">
        <f>E7/(6*E67)</f>
        <v>#DIV/0!</v>
      </c>
    </row>
    <row r="74" spans="2:5">
      <c r="B74" s="10" t="s">
        <v>29</v>
      </c>
      <c r="C74" s="58" t="e">
        <f>MIN((E4-C67)/(3*E67),(C67-E6)/(3*E67))</f>
        <v>#DIV/0!</v>
      </c>
    </row>
    <row r="75" spans="2:5">
      <c r="C75" s="10">
        <f>COUNTIF(C10:AG10,"&gt;0")</f>
        <v>0</v>
      </c>
    </row>
  </sheetData>
  <sheetProtection sheet="1" objects="1" scenarios="1" selectLockedCells="1"/>
  <mergeCells count="29">
    <mergeCell ref="L62:R63"/>
    <mergeCell ref="S62:V63"/>
    <mergeCell ref="W62:AB63"/>
    <mergeCell ref="AC62:AG63"/>
    <mergeCell ref="AS64:BC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D4:AG5"/>
    <mergeCell ref="B13:B14"/>
    <mergeCell ref="B15:B16"/>
    <mergeCell ref="B17:B18"/>
    <mergeCell ref="B19:B20"/>
    <mergeCell ref="Z4:AC5"/>
    <mergeCell ref="B21:B22"/>
    <mergeCell ref="I2:J3"/>
    <mergeCell ref="K2:L3"/>
    <mergeCell ref="M2:Q3"/>
    <mergeCell ref="R2:T2"/>
    <mergeCell ref="R3:T3"/>
  </mergeCells>
  <conditionalFormatting sqref="C48:AG52">
    <cfRule type="expression" dxfId="11" priority="1">
      <formula>(C48&gt;$G$4)*(C48&lt;&gt;0)</formula>
    </cfRule>
    <cfRule type="expression" dxfId="10" priority="2">
      <formula>(C48&lt;$G$6)*(C48&lt;&gt;0)</formula>
    </cfRule>
  </conditionalFormatting>
  <dataValidations count="3">
    <dataValidation type="whole" showInputMessage="1" showErrorMessage="1" errorTitle="Data" error="Digite apenas o dia entre 1 e 31" sqref="E10:AG10" xr:uid="{00000000-0002-0000-0800-000000000000}">
      <formula1>1</formula1>
      <formula2>31</formula2>
    </dataValidation>
    <dataValidation type="whole" showErrorMessage="1" errorTitle="Data" error="Digite apenas o dia entre 1 e 31" sqref="C10:D10" xr:uid="{00000000-0002-0000-0800-000001000000}">
      <formula1>1</formula1>
      <formula2>31</formula2>
    </dataValidation>
    <dataValidation type="list" showErrorMessage="1" promptTitle="Turno" prompt="Escolha" sqref="C11:AG11" xr:uid="{00000000-0002-0000-08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16-089-02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09">
    <tabColor indexed="47"/>
    <pageSetUpPr fitToPage="1"/>
  </sheetPr>
  <dimension ref="B1:BC85"/>
  <sheetViews>
    <sheetView showZeros="0" topLeftCell="A4" zoomScaleNormal="100" workbookViewId="0">
      <selection activeCell="Z48" sqref="Z48"/>
    </sheetView>
  </sheetViews>
  <sheetFormatPr defaultColWidth="10.28515625" defaultRowHeight="12.75"/>
  <cols>
    <col min="1" max="1" width="1.5703125" style="10" customWidth="1"/>
    <col min="2" max="2" width="16.140625" style="10" customWidth="1"/>
    <col min="3" max="33" width="6.7109375" style="10" customWidth="1"/>
    <col min="34" max="34" width="3.140625" style="10" customWidth="1"/>
    <col min="35" max="55" width="6.7109375" style="10" customWidth="1"/>
    <col min="56" max="16384" width="10.28515625" style="10"/>
  </cols>
  <sheetData>
    <row r="1" spans="2:50" ht="21.75" thickBot="1">
      <c r="B1" s="80" t="s">
        <v>42</v>
      </c>
      <c r="C1" s="81"/>
      <c r="D1" s="81"/>
      <c r="E1" s="81"/>
      <c r="F1" s="82"/>
      <c r="G1" s="82"/>
      <c r="H1" s="83"/>
      <c r="I1" s="104" t="s">
        <v>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3"/>
      <c r="AX1" s="11"/>
    </row>
    <row r="2" spans="2:50" s="12" customFormat="1" ht="19.5" customHeight="1">
      <c r="B2" s="84" t="s">
        <v>43</v>
      </c>
      <c r="C2" s="85"/>
      <c r="D2" s="86"/>
      <c r="E2" s="86"/>
      <c r="F2" s="87"/>
      <c r="G2" s="87"/>
      <c r="H2" s="88"/>
      <c r="I2" s="139" t="s">
        <v>0</v>
      </c>
      <c r="J2" s="140"/>
      <c r="K2" s="143" t="str">
        <f>'P1 - Esp. Lado'!K2:L3</f>
        <v>UM-3</v>
      </c>
      <c r="L2" s="144"/>
      <c r="M2" s="147" t="s">
        <v>53</v>
      </c>
      <c r="N2" s="148"/>
      <c r="O2" s="148"/>
      <c r="P2" s="148"/>
      <c r="Q2" s="149"/>
      <c r="R2" s="153" t="s">
        <v>1</v>
      </c>
      <c r="S2" s="154"/>
      <c r="T2" s="155"/>
      <c r="U2" s="13" t="s">
        <v>55</v>
      </c>
      <c r="V2" s="14"/>
      <c r="W2" s="14"/>
      <c r="X2" s="14"/>
      <c r="Y2" s="14"/>
      <c r="Z2" s="15"/>
      <c r="AA2" s="15"/>
      <c r="AB2" s="15"/>
      <c r="AC2" s="15"/>
      <c r="AD2" s="15"/>
      <c r="AE2" s="89"/>
      <c r="AF2" s="89"/>
      <c r="AG2" s="90"/>
    </row>
    <row r="3" spans="2:50" ht="16.899999999999999" customHeight="1" thickBot="1">
      <c r="B3" s="64"/>
      <c r="I3" s="141"/>
      <c r="J3" s="142"/>
      <c r="K3" s="145"/>
      <c r="L3" s="146"/>
      <c r="M3" s="150"/>
      <c r="N3" s="151"/>
      <c r="O3" s="151"/>
      <c r="P3" s="151"/>
      <c r="Q3" s="152"/>
      <c r="R3" s="156" t="s">
        <v>2</v>
      </c>
      <c r="S3" s="157"/>
      <c r="T3" s="158"/>
      <c r="U3" s="16" t="s">
        <v>45</v>
      </c>
      <c r="V3" s="17"/>
      <c r="W3" s="17"/>
      <c r="X3" s="17"/>
      <c r="Y3" s="17"/>
      <c r="Z3" s="17"/>
      <c r="AA3" s="17"/>
      <c r="AB3" s="17"/>
      <c r="AC3" s="17"/>
      <c r="AD3" s="17"/>
      <c r="AE3" s="91"/>
      <c r="AF3" s="91"/>
      <c r="AG3" s="92"/>
    </row>
    <row r="4" spans="2:50" s="23" customFormat="1" ht="16.899999999999999" customHeight="1">
      <c r="B4" s="65" t="s">
        <v>3</v>
      </c>
      <c r="C4" s="18"/>
      <c r="D4" s="103" t="s">
        <v>4</v>
      </c>
      <c r="E4" s="102">
        <f>E5+E7/2</f>
        <v>0.25</v>
      </c>
      <c r="F4" s="105" t="s">
        <v>34</v>
      </c>
      <c r="G4" s="106">
        <f>G5+G7/2</f>
        <v>0.24</v>
      </c>
      <c r="H4" s="107"/>
      <c r="I4" s="108"/>
      <c r="Z4" s="164" t="str">
        <f ca="1">'P1 - Esp. Lado'!Z4:AC5</f>
        <v>MÊS: 03</v>
      </c>
      <c r="AA4" s="159"/>
      <c r="AB4" s="159"/>
      <c r="AC4" s="159"/>
      <c r="AD4" s="159" t="s">
        <v>51</v>
      </c>
      <c r="AE4" s="159"/>
      <c r="AF4" s="159"/>
      <c r="AG4" s="160"/>
    </row>
    <row r="5" spans="2:50" s="23" customFormat="1" ht="16.899999999999999" customHeight="1" thickBot="1">
      <c r="B5" s="66" t="str">
        <f>'P1 - Esp. Lado'!B5</f>
        <v>SJCPIL-I 16-013-XX</v>
      </c>
      <c r="C5" s="24" t="s">
        <v>5</v>
      </c>
      <c r="D5" s="101" t="s">
        <v>6</v>
      </c>
      <c r="E5" s="100">
        <f>'P1 - Esp. Lado'!$E$5</f>
        <v>0.22</v>
      </c>
      <c r="F5" s="109" t="s">
        <v>6</v>
      </c>
      <c r="G5" s="110">
        <f>E5</f>
        <v>0.22</v>
      </c>
      <c r="H5" s="107"/>
      <c r="I5" s="23" t="s">
        <v>33</v>
      </c>
      <c r="R5" s="23" t="s">
        <v>7</v>
      </c>
      <c r="Z5" s="165"/>
      <c r="AA5" s="161"/>
      <c r="AB5" s="161"/>
      <c r="AC5" s="161"/>
      <c r="AD5" s="161"/>
      <c r="AE5" s="161"/>
      <c r="AF5" s="161"/>
      <c r="AG5" s="162"/>
    </row>
    <row r="6" spans="2:50" s="23" customFormat="1" ht="16.899999999999999" customHeight="1">
      <c r="B6" s="67" t="s">
        <v>8</v>
      </c>
      <c r="C6" s="29"/>
      <c r="D6" s="101" t="s">
        <v>9</v>
      </c>
      <c r="E6" s="100">
        <f>E5-E7/2</f>
        <v>0.19</v>
      </c>
      <c r="F6" s="109" t="s">
        <v>35</v>
      </c>
      <c r="G6" s="110">
        <f>G5-G7/2</f>
        <v>0.2</v>
      </c>
      <c r="H6" s="107"/>
      <c r="I6" s="23" t="s">
        <v>10</v>
      </c>
      <c r="R6" s="23" t="s">
        <v>11</v>
      </c>
      <c r="AC6" s="68"/>
      <c r="AD6" s="68"/>
      <c r="AG6" s="69"/>
    </row>
    <row r="7" spans="2:50" s="23" customFormat="1" ht="16.899999999999999" customHeight="1" thickBot="1">
      <c r="B7" s="70"/>
      <c r="C7" s="71" t="s">
        <v>12</v>
      </c>
      <c r="D7" s="99" t="s">
        <v>4</v>
      </c>
      <c r="E7" s="98">
        <v>0.06</v>
      </c>
      <c r="F7" s="111" t="s">
        <v>34</v>
      </c>
      <c r="G7" s="112">
        <v>0.04</v>
      </c>
      <c r="H7" s="113"/>
      <c r="I7" s="72" t="s">
        <v>13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3"/>
      <c r="AD7" s="73"/>
      <c r="AE7" s="72"/>
      <c r="AF7" s="72"/>
      <c r="AG7" s="74"/>
    </row>
    <row r="8" spans="2:50" s="23" customFormat="1" ht="4.5" customHeight="1" thickBot="1"/>
    <row r="9" spans="2:50" s="31" customFormat="1">
      <c r="B9" s="30" t="s">
        <v>14</v>
      </c>
      <c r="C9" s="60">
        <v>1</v>
      </c>
      <c r="D9" s="60">
        <v>2</v>
      </c>
      <c r="E9" s="60">
        <v>3</v>
      </c>
      <c r="F9" s="60">
        <v>4</v>
      </c>
      <c r="G9" s="60">
        <v>5</v>
      </c>
      <c r="H9" s="60">
        <v>6</v>
      </c>
      <c r="I9" s="60">
        <v>7</v>
      </c>
      <c r="J9" s="60">
        <v>8</v>
      </c>
      <c r="K9" s="60">
        <v>9</v>
      </c>
      <c r="L9" s="60">
        <v>10</v>
      </c>
      <c r="M9" s="60">
        <v>11</v>
      </c>
      <c r="N9" s="60">
        <v>12</v>
      </c>
      <c r="O9" s="60">
        <v>13</v>
      </c>
      <c r="P9" s="60">
        <v>14</v>
      </c>
      <c r="Q9" s="60">
        <v>15</v>
      </c>
      <c r="R9" s="60">
        <v>16</v>
      </c>
      <c r="S9" s="60">
        <v>17</v>
      </c>
      <c r="T9" s="60">
        <v>18</v>
      </c>
      <c r="U9" s="60">
        <v>19</v>
      </c>
      <c r="V9" s="60">
        <v>20</v>
      </c>
      <c r="W9" s="60">
        <v>21</v>
      </c>
      <c r="X9" s="60">
        <v>22</v>
      </c>
      <c r="Y9" s="60">
        <v>23</v>
      </c>
      <c r="Z9" s="60">
        <v>24</v>
      </c>
      <c r="AA9" s="60">
        <v>25</v>
      </c>
      <c r="AB9" s="60">
        <v>26</v>
      </c>
      <c r="AC9" s="60">
        <v>27</v>
      </c>
      <c r="AD9" s="60">
        <v>28</v>
      </c>
      <c r="AE9" s="60">
        <v>29</v>
      </c>
      <c r="AF9" s="60">
        <v>30</v>
      </c>
      <c r="AG9" s="61">
        <v>31</v>
      </c>
    </row>
    <row r="10" spans="2:50" s="31" customFormat="1" ht="14.1" customHeight="1">
      <c r="B10" s="32" t="s">
        <v>15</v>
      </c>
      <c r="C10" s="114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1" customFormat="1" ht="14.1" customHeight="1">
      <c r="B11" s="33" t="s">
        <v>37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1" customFormat="1" ht="12" customHeight="1">
      <c r="B12" s="34"/>
      <c r="AG12" s="35"/>
    </row>
    <row r="13" spans="2:50" s="31" customFormat="1" ht="12" customHeight="1">
      <c r="B13" s="163"/>
      <c r="AG13" s="35"/>
    </row>
    <row r="14" spans="2:50" s="31" customFormat="1" ht="12" customHeight="1">
      <c r="B14" s="163"/>
      <c r="AG14" s="35"/>
    </row>
    <row r="15" spans="2:50" s="31" customFormat="1" ht="12" customHeight="1">
      <c r="B15" s="138"/>
      <c r="AG15" s="35"/>
    </row>
    <row r="16" spans="2:50" s="31" customFormat="1" ht="12" customHeight="1">
      <c r="B16" s="138"/>
      <c r="AG16" s="35"/>
    </row>
    <row r="17" spans="2:33" s="31" customFormat="1" ht="12" customHeight="1">
      <c r="B17" s="138"/>
      <c r="AG17" s="35"/>
    </row>
    <row r="18" spans="2:33" s="31" customFormat="1" ht="12" customHeight="1">
      <c r="B18" s="138"/>
      <c r="AG18" s="35"/>
    </row>
    <row r="19" spans="2:33" s="31" customFormat="1" ht="12" customHeight="1">
      <c r="B19" s="138"/>
      <c r="AG19" s="35"/>
    </row>
    <row r="20" spans="2:33" s="31" customFormat="1" ht="12" customHeight="1">
      <c r="B20" s="138"/>
      <c r="AG20" s="35"/>
    </row>
    <row r="21" spans="2:33" s="31" customFormat="1" ht="12" customHeight="1">
      <c r="B21" s="138"/>
      <c r="AG21" s="35"/>
    </row>
    <row r="22" spans="2:33" s="31" customFormat="1" ht="12" customHeight="1">
      <c r="B22" s="138"/>
      <c r="AG22" s="35"/>
    </row>
    <row r="23" spans="2:33" s="31" customFormat="1" ht="12" customHeight="1">
      <c r="B23" s="163"/>
      <c r="AG23" s="35"/>
    </row>
    <row r="24" spans="2:33" s="31" customFormat="1" ht="12" customHeight="1">
      <c r="B24" s="163"/>
      <c r="AG24" s="35"/>
    </row>
    <row r="25" spans="2:33" s="31" customFormat="1" ht="12" customHeight="1">
      <c r="B25" s="138"/>
      <c r="AG25" s="35"/>
    </row>
    <row r="26" spans="2:33" s="31" customFormat="1" ht="12" customHeight="1">
      <c r="B26" s="138"/>
      <c r="AG26" s="35"/>
    </row>
    <row r="27" spans="2:33" s="31" customFormat="1" ht="12" customHeight="1">
      <c r="B27" s="138"/>
      <c r="AG27" s="35"/>
    </row>
    <row r="28" spans="2:33" s="31" customFormat="1" ht="12" customHeight="1">
      <c r="B28" s="138"/>
      <c r="AG28" s="35"/>
    </row>
    <row r="29" spans="2:33" s="31" customFormat="1" ht="12" customHeight="1">
      <c r="B29" s="138"/>
      <c r="AG29" s="35"/>
    </row>
    <row r="30" spans="2:33" s="31" customFormat="1" ht="12" customHeight="1">
      <c r="B30" s="138"/>
      <c r="AG30" s="35"/>
    </row>
    <row r="31" spans="2:33" s="31" customFormat="1" ht="12" customHeight="1">
      <c r="B31" s="138"/>
      <c r="AG31" s="35"/>
    </row>
    <row r="32" spans="2:33" s="31" customFormat="1" ht="12" customHeight="1">
      <c r="B32" s="138"/>
      <c r="AG32" s="35"/>
    </row>
    <row r="33" spans="2:33" s="31" customFormat="1" ht="12" customHeight="1">
      <c r="B33" s="163"/>
      <c r="AG33" s="35"/>
    </row>
    <row r="34" spans="2:33" s="31" customFormat="1" ht="12" customHeight="1">
      <c r="B34" s="163"/>
      <c r="AG34" s="35"/>
    </row>
    <row r="35" spans="2:33" s="31" customFormat="1" ht="12" customHeight="1" thickBot="1">
      <c r="B35" s="36"/>
      <c r="AG35" s="35"/>
    </row>
    <row r="36" spans="2:33" s="31" customFormat="1" ht="12" customHeight="1">
      <c r="B36" s="17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8"/>
    </row>
    <row r="37" spans="2:33" s="31" customFormat="1" ht="12" customHeight="1">
      <c r="B37" s="163"/>
      <c r="AG37" s="35"/>
    </row>
    <row r="38" spans="2:33" s="31" customFormat="1" ht="12" customHeight="1">
      <c r="B38" s="79"/>
      <c r="AG38" s="35"/>
    </row>
    <row r="39" spans="2:33" s="31" customFormat="1" ht="12" customHeight="1">
      <c r="B39" s="79"/>
      <c r="AG39" s="35"/>
    </row>
    <row r="40" spans="2:33" s="31" customFormat="1" ht="12" customHeight="1">
      <c r="B40" s="79"/>
      <c r="AG40" s="35"/>
    </row>
    <row r="41" spans="2:33" s="31" customFormat="1" ht="12" customHeight="1">
      <c r="B41" s="163"/>
      <c r="AG41" s="35"/>
    </row>
    <row r="42" spans="2:33" s="31" customFormat="1" ht="12" customHeight="1">
      <c r="B42" s="163"/>
      <c r="AG42" s="35"/>
    </row>
    <row r="43" spans="2:33" s="31" customFormat="1" ht="12" customHeight="1">
      <c r="B43" s="79"/>
      <c r="AG43" s="35"/>
    </row>
    <row r="44" spans="2:33" s="31" customFormat="1" ht="12" customHeight="1">
      <c r="B44" s="79"/>
      <c r="AG44" s="35"/>
    </row>
    <row r="45" spans="2:33" s="31" customFormat="1" ht="12" customHeight="1">
      <c r="B45" s="79"/>
      <c r="AG45" s="35"/>
    </row>
    <row r="46" spans="2:33" s="31" customFormat="1" ht="12" customHeight="1" thickBot="1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1"/>
    </row>
    <row r="47" spans="2:33" s="31" customFormat="1" ht="6" customHeight="1">
      <c r="B47" s="93"/>
      <c r="AG47" s="35"/>
    </row>
    <row r="48" spans="2:33" s="42" customFormat="1" ht="15" customHeight="1">
      <c r="B48" s="94">
        <v>1</v>
      </c>
      <c r="C48" s="95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7"/>
    </row>
    <row r="49" spans="2:55" s="42" customFormat="1" ht="15" customHeight="1">
      <c r="B49" s="43">
        <v>2</v>
      </c>
      <c r="C49" s="7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9"/>
    </row>
    <row r="50" spans="2:55" s="42" customFormat="1" ht="15" customHeight="1">
      <c r="B50" s="43">
        <v>3</v>
      </c>
      <c r="C50" s="7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9"/>
    </row>
    <row r="51" spans="2:55" s="42" customFormat="1" ht="15" customHeight="1">
      <c r="B51" s="43">
        <v>4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9"/>
    </row>
    <row r="52" spans="2:55" s="42" customFormat="1" ht="15" customHeight="1">
      <c r="B52" s="47">
        <v>5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9"/>
    </row>
    <row r="53" spans="2:55" s="42" customFormat="1" ht="15" customHeight="1">
      <c r="B53" s="47" t="s">
        <v>16</v>
      </c>
      <c r="C53" s="44" t="str">
        <f t="shared" ref="C53:AG53" si="0">IF(ISERR(AVERAGE(C48:C52))," ",AVERAGE(C48:C52))</f>
        <v xml:space="preserve"> </v>
      </c>
      <c r="D53" s="45" t="str">
        <f t="shared" si="0"/>
        <v xml:space="preserve"> </v>
      </c>
      <c r="E53" s="45" t="str">
        <f t="shared" si="0"/>
        <v xml:space="preserve"> </v>
      </c>
      <c r="F53" s="45" t="str">
        <f t="shared" si="0"/>
        <v xml:space="preserve"> </v>
      </c>
      <c r="G53" s="45" t="str">
        <f t="shared" si="0"/>
        <v xml:space="preserve"> </v>
      </c>
      <c r="H53" s="45" t="str">
        <f t="shared" si="0"/>
        <v xml:space="preserve"> </v>
      </c>
      <c r="I53" s="45" t="str">
        <f t="shared" si="0"/>
        <v xml:space="preserve"> </v>
      </c>
      <c r="J53" s="45" t="str">
        <f t="shared" si="0"/>
        <v xml:space="preserve"> </v>
      </c>
      <c r="K53" s="45" t="str">
        <f t="shared" si="0"/>
        <v xml:space="preserve"> </v>
      </c>
      <c r="L53" s="45" t="str">
        <f t="shared" si="0"/>
        <v xml:space="preserve"> </v>
      </c>
      <c r="M53" s="45" t="str">
        <f t="shared" si="0"/>
        <v xml:space="preserve"> </v>
      </c>
      <c r="N53" s="45" t="str">
        <f t="shared" si="0"/>
        <v xml:space="preserve"> </v>
      </c>
      <c r="O53" s="45" t="str">
        <f t="shared" si="0"/>
        <v xml:space="preserve"> </v>
      </c>
      <c r="P53" s="45" t="str">
        <f t="shared" si="0"/>
        <v xml:space="preserve"> </v>
      </c>
      <c r="Q53" s="45" t="str">
        <f t="shared" si="0"/>
        <v xml:space="preserve"> </v>
      </c>
      <c r="R53" s="45" t="str">
        <f t="shared" si="0"/>
        <v xml:space="preserve"> </v>
      </c>
      <c r="S53" s="45" t="str">
        <f t="shared" si="0"/>
        <v xml:space="preserve"> </v>
      </c>
      <c r="T53" s="45" t="str">
        <f t="shared" si="0"/>
        <v xml:space="preserve"> </v>
      </c>
      <c r="U53" s="45" t="str">
        <f t="shared" si="0"/>
        <v xml:space="preserve"> </v>
      </c>
      <c r="V53" s="45" t="str">
        <f t="shared" si="0"/>
        <v xml:space="preserve"> </v>
      </c>
      <c r="W53" s="45" t="str">
        <f t="shared" si="0"/>
        <v xml:space="preserve"> </v>
      </c>
      <c r="X53" s="45" t="str">
        <f t="shared" si="0"/>
        <v xml:space="preserve"> </v>
      </c>
      <c r="Y53" s="45" t="str">
        <f t="shared" si="0"/>
        <v xml:space="preserve"> </v>
      </c>
      <c r="Z53" s="45" t="str">
        <f t="shared" si="0"/>
        <v xml:space="preserve"> </v>
      </c>
      <c r="AA53" s="45" t="str">
        <f t="shared" si="0"/>
        <v xml:space="preserve"> </v>
      </c>
      <c r="AB53" s="45" t="str">
        <f t="shared" si="0"/>
        <v xml:space="preserve"> </v>
      </c>
      <c r="AC53" s="45" t="str">
        <f t="shared" si="0"/>
        <v xml:space="preserve"> </v>
      </c>
      <c r="AD53" s="45" t="str">
        <f t="shared" si="0"/>
        <v xml:space="preserve"> </v>
      </c>
      <c r="AE53" s="45" t="str">
        <f t="shared" si="0"/>
        <v xml:space="preserve"> </v>
      </c>
      <c r="AF53" s="45" t="str">
        <f t="shared" si="0"/>
        <v xml:space="preserve"> </v>
      </c>
      <c r="AG53" s="46" t="str">
        <f t="shared" si="0"/>
        <v xml:space="preserve"> </v>
      </c>
    </row>
    <row r="54" spans="2:55" s="42" customFormat="1" ht="15" customHeight="1">
      <c r="B54" s="47" t="s">
        <v>12</v>
      </c>
      <c r="C54" s="48">
        <f t="shared" ref="C54:AG54" si="1">MAX(C48:C52)-MIN(C48:C52)</f>
        <v>0</v>
      </c>
      <c r="D54" s="49">
        <f t="shared" si="1"/>
        <v>0</v>
      </c>
      <c r="E54" s="49">
        <f t="shared" si="1"/>
        <v>0</v>
      </c>
      <c r="F54" s="49">
        <f t="shared" si="1"/>
        <v>0</v>
      </c>
      <c r="G54" s="49">
        <f t="shared" si="1"/>
        <v>0</v>
      </c>
      <c r="H54" s="49">
        <f t="shared" si="1"/>
        <v>0</v>
      </c>
      <c r="I54" s="49">
        <f t="shared" si="1"/>
        <v>0</v>
      </c>
      <c r="J54" s="49">
        <f t="shared" si="1"/>
        <v>0</v>
      </c>
      <c r="K54" s="49">
        <f t="shared" si="1"/>
        <v>0</v>
      </c>
      <c r="L54" s="49">
        <f t="shared" si="1"/>
        <v>0</v>
      </c>
      <c r="M54" s="49">
        <f t="shared" si="1"/>
        <v>0</v>
      </c>
      <c r="N54" s="49">
        <f t="shared" si="1"/>
        <v>0</v>
      </c>
      <c r="O54" s="49">
        <f t="shared" si="1"/>
        <v>0</v>
      </c>
      <c r="P54" s="49">
        <f t="shared" si="1"/>
        <v>0</v>
      </c>
      <c r="Q54" s="49">
        <f t="shared" si="1"/>
        <v>0</v>
      </c>
      <c r="R54" s="115">
        <f t="shared" si="1"/>
        <v>0</v>
      </c>
      <c r="S54" s="115">
        <f t="shared" si="1"/>
        <v>0</v>
      </c>
      <c r="T54" s="115">
        <f t="shared" si="1"/>
        <v>0</v>
      </c>
      <c r="U54" s="115">
        <f t="shared" si="1"/>
        <v>0</v>
      </c>
      <c r="V54" s="115">
        <f t="shared" si="1"/>
        <v>0</v>
      </c>
      <c r="W54" s="115">
        <f t="shared" si="1"/>
        <v>0</v>
      </c>
      <c r="X54" s="115">
        <f t="shared" si="1"/>
        <v>0</v>
      </c>
      <c r="Y54" s="115">
        <f t="shared" si="1"/>
        <v>0</v>
      </c>
      <c r="Z54" s="115">
        <f t="shared" si="1"/>
        <v>0</v>
      </c>
      <c r="AA54" s="115">
        <f t="shared" si="1"/>
        <v>0</v>
      </c>
      <c r="AB54" s="115">
        <f t="shared" si="1"/>
        <v>0</v>
      </c>
      <c r="AC54" s="115">
        <f t="shared" si="1"/>
        <v>0</v>
      </c>
      <c r="AD54" s="115">
        <f t="shared" si="1"/>
        <v>0</v>
      </c>
      <c r="AE54" s="115">
        <f t="shared" si="1"/>
        <v>0</v>
      </c>
      <c r="AF54" s="115">
        <f t="shared" si="1"/>
        <v>0</v>
      </c>
      <c r="AG54" s="116">
        <f t="shared" si="1"/>
        <v>0</v>
      </c>
    </row>
    <row r="55" spans="2:55" s="42" customFormat="1" ht="20.100000000000001" customHeight="1">
      <c r="B55" s="50" t="s">
        <v>17</v>
      </c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9"/>
    </row>
    <row r="56" spans="2:55" s="42" customFormat="1" ht="26.25" thickBot="1">
      <c r="B56" s="136" t="str">
        <f>'P1 - Esp. Lado'!B56</f>
        <v>Visto do Líder / Sublíder</v>
      </c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2"/>
    </row>
    <row r="57" spans="2:55" s="31" customFormat="1" ht="20.100000000000001" customHeight="1">
      <c r="B57" s="171" t="s">
        <v>18</v>
      </c>
      <c r="C57" s="172"/>
      <c r="D57" s="172"/>
      <c r="E57" s="173"/>
      <c r="F57" s="51" t="s">
        <v>19</v>
      </c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8"/>
    </row>
    <row r="58" spans="2:55" s="31" customFormat="1" ht="20.100000000000001" customHeight="1">
      <c r="B58" s="52"/>
      <c r="C58" s="23" t="s">
        <v>20</v>
      </c>
      <c r="D58" s="23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1" customFormat="1" ht="20.100000000000001" customHeight="1">
      <c r="B59" s="174" t="s">
        <v>21</v>
      </c>
      <c r="C59" s="175"/>
      <c r="D59" s="175"/>
      <c r="E59" s="35"/>
      <c r="F59" s="1"/>
      <c r="G59" s="1"/>
      <c r="H59" s="1"/>
      <c r="I59" s="1"/>
      <c r="J59" s="1"/>
      <c r="K59" s="1"/>
      <c r="L59" s="1"/>
      <c r="M59" s="1"/>
      <c r="N59" s="1"/>
      <c r="O59" s="123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1" customFormat="1" ht="20.100000000000001" customHeight="1" thickBot="1">
      <c r="B60" s="53"/>
      <c r="C60" s="54" t="s">
        <v>16</v>
      </c>
      <c r="D60" s="40"/>
      <c r="E60" s="41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1" customFormat="1" ht="7.5" customHeight="1"/>
    <row r="62" spans="2:55" s="31" customFormat="1" ht="15.75">
      <c r="B62" s="176" t="s">
        <v>31</v>
      </c>
      <c r="C62" s="177"/>
      <c r="D62" s="177"/>
      <c r="E62" s="177"/>
      <c r="F62" s="177"/>
      <c r="G62" s="166" t="s">
        <v>22</v>
      </c>
      <c r="H62" s="166"/>
      <c r="I62" s="166"/>
      <c r="J62" s="166"/>
      <c r="K62" s="167"/>
      <c r="L62" s="166" t="s">
        <v>30</v>
      </c>
      <c r="M62" s="166"/>
      <c r="N62" s="166"/>
      <c r="O62" s="166"/>
      <c r="P62" s="166"/>
      <c r="Q62" s="166"/>
      <c r="R62" s="166"/>
      <c r="S62" s="177" t="s">
        <v>32</v>
      </c>
      <c r="T62" s="177"/>
      <c r="U62" s="177"/>
      <c r="V62" s="177"/>
      <c r="W62" s="180" t="s">
        <v>46</v>
      </c>
      <c r="X62" s="177"/>
      <c r="Y62" s="177"/>
      <c r="Z62" s="177"/>
      <c r="AA62" s="177"/>
      <c r="AB62" s="177"/>
      <c r="AC62" s="177" t="s">
        <v>22</v>
      </c>
      <c r="AD62" s="177"/>
      <c r="AE62" s="177"/>
      <c r="AF62" s="177"/>
      <c r="AG62" s="182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</row>
    <row r="63" spans="2:55" s="31" customFormat="1" ht="15.75">
      <c r="B63" s="178"/>
      <c r="C63" s="179"/>
      <c r="D63" s="179"/>
      <c r="E63" s="179"/>
      <c r="F63" s="179"/>
      <c r="G63" s="168"/>
      <c r="H63" s="168"/>
      <c r="I63" s="168"/>
      <c r="J63" s="168"/>
      <c r="K63" s="169"/>
      <c r="L63" s="168"/>
      <c r="M63" s="168"/>
      <c r="N63" s="168"/>
      <c r="O63" s="168"/>
      <c r="P63" s="168"/>
      <c r="Q63" s="168"/>
      <c r="R63" s="168"/>
      <c r="S63" s="179"/>
      <c r="T63" s="179"/>
      <c r="U63" s="179"/>
      <c r="V63" s="179"/>
      <c r="W63" s="181"/>
      <c r="X63" s="179"/>
      <c r="Y63" s="179"/>
      <c r="Z63" s="179"/>
      <c r="AA63" s="179"/>
      <c r="AB63" s="179"/>
      <c r="AC63" s="179"/>
      <c r="AD63" s="179"/>
      <c r="AE63" s="179"/>
      <c r="AF63" s="179"/>
      <c r="AG63" s="183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</row>
    <row r="64" spans="2:55" ht="14.25">
      <c r="B64" s="56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6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</row>
    <row r="65" spans="2:5">
      <c r="B65" s="10" t="s">
        <v>25</v>
      </c>
    </row>
    <row r="66" spans="2:5">
      <c r="B66" s="10" t="s">
        <v>23</v>
      </c>
      <c r="C66" s="58" t="e">
        <f>AVERAGE(C53:AG53)+0.577*C69</f>
        <v>#DIV/0!</v>
      </c>
    </row>
    <row r="67" spans="2:5">
      <c r="B67" s="10" t="s">
        <v>5</v>
      </c>
      <c r="C67" s="58" t="e">
        <f>AVERAGE(C53:AG53)</f>
        <v>#DIV/0!</v>
      </c>
      <c r="D67" s="59" t="s">
        <v>26</v>
      </c>
      <c r="E67" s="10" t="e">
        <f>STDEV(C48:AF52)</f>
        <v>#DIV/0!</v>
      </c>
    </row>
    <row r="68" spans="2:5">
      <c r="B68" s="10" t="s">
        <v>24</v>
      </c>
      <c r="C68" s="58" t="e">
        <f>C67-0.577*C69</f>
        <v>#DIV/0!</v>
      </c>
    </row>
    <row r="69" spans="2:5">
      <c r="B69" s="10" t="s">
        <v>12</v>
      </c>
      <c r="C69" s="58" t="e">
        <f>2.115*(SUM(C54:AG54)/COUNTIF(C54:AG54,"&lt;&gt;0"))</f>
        <v>#DIV/0!</v>
      </c>
    </row>
    <row r="71" spans="2:5">
      <c r="B71" s="10" t="s">
        <v>27</v>
      </c>
    </row>
    <row r="73" spans="2:5">
      <c r="B73" s="10" t="s">
        <v>28</v>
      </c>
      <c r="C73" s="58" t="e">
        <f>E7/(6*E67)</f>
        <v>#DIV/0!</v>
      </c>
    </row>
    <row r="74" spans="2:5">
      <c r="B74" s="10" t="s">
        <v>29</v>
      </c>
      <c r="C74" s="58" t="e">
        <f>MIN((E4-C67)/(3*E67),(C67-E6)/(3*E67))</f>
        <v>#DIV/0!</v>
      </c>
    </row>
    <row r="75" spans="2:5">
      <c r="C75" s="10">
        <f>COUNTIF(C10:AG10,"&gt;0")</f>
        <v>0</v>
      </c>
    </row>
    <row r="78" spans="2:5">
      <c r="B78" s="10" t="s">
        <v>58</v>
      </c>
      <c r="C78" s="58" t="e">
        <f>AVERAGE(C48:AG52,'P4 - Esp. Lado'!C48:AG52,'P3 - Esp. Lado'!C48:AG52,'P2 - Esp. Lado'!C48:AG52,'P1 - Esp. Lado'!C48:AG52)</f>
        <v>#DIV/0!</v>
      </c>
    </row>
    <row r="79" spans="2:5" ht="13.5" thickBot="1"/>
    <row r="80" spans="2:5">
      <c r="B80" s="124" t="s">
        <v>62</v>
      </c>
      <c r="C80" s="125"/>
    </row>
    <row r="81" spans="2:3">
      <c r="B81" s="126" t="s">
        <v>63</v>
      </c>
      <c r="C81" s="128" t="e">
        <f>AVERAGE(Medição_Lado_P4,Medição_Lado_P9)</f>
        <v>#DIV/0!</v>
      </c>
    </row>
    <row r="82" spans="2:3">
      <c r="B82" s="64" t="s">
        <v>61</v>
      </c>
      <c r="C82" s="128" t="e">
        <f>_xlfn.STDEV.S(Medição_Lado_P4, Medição_Lado_P9)</f>
        <v>#DIV/0!</v>
      </c>
    </row>
    <row r="83" spans="2:3">
      <c r="B83" s="64"/>
      <c r="C83" s="127"/>
    </row>
    <row r="84" spans="2:3">
      <c r="B84" s="64" t="s">
        <v>28</v>
      </c>
      <c r="C84" s="128" t="e">
        <f>E7/(6*C82)</f>
        <v>#DIV/0!</v>
      </c>
    </row>
    <row r="85" spans="2:3" ht="13.5" thickBot="1">
      <c r="B85" s="129" t="s">
        <v>29</v>
      </c>
      <c r="C85" s="130" t="e">
        <f>MIN(($E$4-$C$81)/(3*$C$82),($C$81-$E$6)/(3*$C$82))</f>
        <v>#DIV/0!</v>
      </c>
    </row>
  </sheetData>
  <sheetProtection sheet="1" objects="1" scenarios="1" selectLockedCells="1"/>
  <mergeCells count="29">
    <mergeCell ref="L62:R63"/>
    <mergeCell ref="S62:V63"/>
    <mergeCell ref="W62:AB63"/>
    <mergeCell ref="AC62:AG63"/>
    <mergeCell ref="AS64:BC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D4:AG5"/>
    <mergeCell ref="B13:B14"/>
    <mergeCell ref="B15:B16"/>
    <mergeCell ref="B17:B18"/>
    <mergeCell ref="B19:B20"/>
    <mergeCell ref="Z4:AC5"/>
    <mergeCell ref="B21:B22"/>
    <mergeCell ref="I2:J3"/>
    <mergeCell ref="K2:L3"/>
    <mergeCell ref="M2:Q3"/>
    <mergeCell ref="R2:T2"/>
    <mergeCell ref="R3:T3"/>
  </mergeCells>
  <conditionalFormatting sqref="C48:AG52">
    <cfRule type="expression" dxfId="9" priority="1">
      <formula>(C48&gt;$G$4)*(C48&lt;&gt;0)</formula>
    </cfRule>
    <cfRule type="expression" dxfId="8" priority="2">
      <formula>(C48&lt;$G$6)*(C48&lt;&gt;0)</formula>
    </cfRule>
  </conditionalFormatting>
  <dataValidations count="3">
    <dataValidation type="whole" showInputMessage="1" showErrorMessage="1" errorTitle="Data" error="Digite apenas o dia entre 1 e 31" sqref="E10:AG10" xr:uid="{00000000-0002-0000-0900-000000000000}">
      <formula1>1</formula1>
      <formula2>31</formula2>
    </dataValidation>
    <dataValidation type="whole" showErrorMessage="1" errorTitle="Data" error="Digite apenas o dia entre 1 e 31" sqref="D10" xr:uid="{00000000-0002-0000-0900-000001000000}">
      <formula1>1</formula1>
      <formula2>31</formula2>
    </dataValidation>
    <dataValidation type="list" showErrorMessage="1" promptTitle="Turno" prompt="Escolha" sqref="C11:AG11" xr:uid="{00000000-0002-0000-09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16-088-03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indexed="47"/>
    <pageSetUpPr fitToPage="1"/>
  </sheetPr>
  <dimension ref="B1:BC78"/>
  <sheetViews>
    <sheetView showZeros="0" topLeftCell="A9" zoomScaleNormal="100" workbookViewId="0">
      <selection activeCell="Y11" sqref="Y11"/>
    </sheetView>
  </sheetViews>
  <sheetFormatPr defaultColWidth="10.28515625" defaultRowHeight="12.75"/>
  <cols>
    <col min="1" max="1" width="1.5703125" style="10" customWidth="1"/>
    <col min="2" max="2" width="16.140625" style="10" customWidth="1"/>
    <col min="3" max="33" width="6.7109375" style="10" customWidth="1"/>
    <col min="34" max="34" width="3.140625" style="10" customWidth="1"/>
    <col min="35" max="55" width="6.7109375" style="10" customWidth="1"/>
    <col min="56" max="16384" width="10.28515625" style="10"/>
  </cols>
  <sheetData>
    <row r="1" spans="2:50" ht="21.75" thickBot="1">
      <c r="B1" s="80" t="s">
        <v>42</v>
      </c>
      <c r="C1" s="81"/>
      <c r="D1" s="81"/>
      <c r="E1" s="81"/>
      <c r="F1" s="82"/>
      <c r="G1" s="82"/>
      <c r="H1" s="83"/>
      <c r="I1" s="104" t="s">
        <v>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3"/>
      <c r="AX1" s="11"/>
    </row>
    <row r="2" spans="2:50" s="12" customFormat="1" ht="19.5" customHeight="1">
      <c r="B2" s="84" t="s">
        <v>43</v>
      </c>
      <c r="C2" s="85"/>
      <c r="D2" s="86"/>
      <c r="E2" s="86"/>
      <c r="F2" s="87"/>
      <c r="G2" s="87"/>
      <c r="H2" s="88"/>
      <c r="I2" s="139" t="s">
        <v>0</v>
      </c>
      <c r="J2" s="140"/>
      <c r="K2" s="143" t="str">
        <f>'P1 - Esp. Lado'!K2:L3</f>
        <v>UM-3</v>
      </c>
      <c r="L2" s="144"/>
      <c r="M2" s="147" t="s">
        <v>53</v>
      </c>
      <c r="N2" s="148"/>
      <c r="O2" s="148"/>
      <c r="P2" s="148"/>
      <c r="Q2" s="149"/>
      <c r="R2" s="153" t="s">
        <v>1</v>
      </c>
      <c r="S2" s="154"/>
      <c r="T2" s="155"/>
      <c r="U2" s="13" t="s">
        <v>55</v>
      </c>
      <c r="V2" s="14"/>
      <c r="W2" s="14"/>
      <c r="X2" s="14"/>
      <c r="Y2" s="14"/>
      <c r="Z2" s="15"/>
      <c r="AA2" s="15"/>
      <c r="AB2" s="15"/>
      <c r="AC2" s="15"/>
      <c r="AD2" s="15"/>
      <c r="AE2" s="89"/>
      <c r="AF2" s="89"/>
      <c r="AG2" s="90"/>
    </row>
    <row r="3" spans="2:50" ht="16.899999999999999" customHeight="1" thickBot="1">
      <c r="B3" s="64"/>
      <c r="I3" s="141"/>
      <c r="J3" s="142"/>
      <c r="K3" s="145"/>
      <c r="L3" s="146"/>
      <c r="M3" s="150"/>
      <c r="N3" s="151"/>
      <c r="O3" s="151"/>
      <c r="P3" s="151"/>
      <c r="Q3" s="152"/>
      <c r="R3" s="156" t="s">
        <v>2</v>
      </c>
      <c r="S3" s="157"/>
      <c r="T3" s="158"/>
      <c r="U3" s="16" t="s">
        <v>50</v>
      </c>
      <c r="V3" s="17"/>
      <c r="W3" s="17"/>
      <c r="X3" s="17"/>
      <c r="Y3" s="17"/>
      <c r="Z3" s="17"/>
      <c r="AA3" s="17"/>
      <c r="AB3" s="17"/>
      <c r="AC3" s="17"/>
      <c r="AD3" s="17"/>
      <c r="AE3" s="91"/>
      <c r="AF3" s="91"/>
      <c r="AG3" s="92"/>
    </row>
    <row r="4" spans="2:50" s="23" customFormat="1" ht="16.899999999999999" customHeight="1">
      <c r="B4" s="65" t="s">
        <v>3</v>
      </c>
      <c r="C4" s="18"/>
      <c r="D4" s="103" t="s">
        <v>4</v>
      </c>
      <c r="E4" s="102">
        <f>E5+E7/2</f>
        <v>0.5</v>
      </c>
      <c r="F4" s="105" t="s">
        <v>34</v>
      </c>
      <c r="G4" s="106">
        <f>G5+G7/2</f>
        <v>0.48000000000000004</v>
      </c>
      <c r="H4" s="107"/>
      <c r="I4" s="108"/>
      <c r="Z4" s="164" t="str">
        <f ca="1">'P1 - Esp. Fundo'!Z4:AC5</f>
        <v>MÊS: 03</v>
      </c>
      <c r="AA4" s="159"/>
      <c r="AB4" s="159"/>
      <c r="AC4" s="159"/>
      <c r="AD4" s="159" t="str">
        <f ca="1">'P1 - Esp. Fundo'!AD4:AG5</f>
        <v>ANO: 2022</v>
      </c>
      <c r="AE4" s="159"/>
      <c r="AF4" s="159"/>
      <c r="AG4" s="160"/>
    </row>
    <row r="5" spans="2:50" s="23" customFormat="1" ht="16.899999999999999" customHeight="1" thickBot="1">
      <c r="B5" s="66" t="str">
        <f>'P1 - Esp. Lado'!B5</f>
        <v>SJCPIL-I 16-013-XX</v>
      </c>
      <c r="C5" s="24" t="s">
        <v>5</v>
      </c>
      <c r="D5" s="101" t="s">
        <v>6</v>
      </c>
      <c r="E5" s="100">
        <v>0.4</v>
      </c>
      <c r="F5" s="109" t="s">
        <v>6</v>
      </c>
      <c r="G5" s="110">
        <f>E5</f>
        <v>0.4</v>
      </c>
      <c r="H5" s="107"/>
      <c r="I5" s="23" t="s">
        <v>33</v>
      </c>
      <c r="R5" s="23" t="s">
        <v>7</v>
      </c>
      <c r="Z5" s="165"/>
      <c r="AA5" s="161"/>
      <c r="AB5" s="161"/>
      <c r="AC5" s="161"/>
      <c r="AD5" s="161"/>
      <c r="AE5" s="161"/>
      <c r="AF5" s="161"/>
      <c r="AG5" s="162"/>
    </row>
    <row r="6" spans="2:50" s="23" customFormat="1" ht="16.899999999999999" customHeight="1">
      <c r="B6" s="67" t="s">
        <v>8</v>
      </c>
      <c r="C6" s="29"/>
      <c r="D6" s="101" t="s">
        <v>9</v>
      </c>
      <c r="E6" s="100">
        <f>E5-E7/2</f>
        <v>0.30000000000000004</v>
      </c>
      <c r="F6" s="109" t="s">
        <v>35</v>
      </c>
      <c r="G6" s="110">
        <f>G5-G7/2</f>
        <v>0.32</v>
      </c>
      <c r="H6" s="107"/>
      <c r="I6" s="23" t="s">
        <v>10</v>
      </c>
      <c r="R6" s="23" t="s">
        <v>11</v>
      </c>
      <c r="AC6" s="68"/>
      <c r="AD6" s="68"/>
      <c r="AG6" s="69"/>
    </row>
    <row r="7" spans="2:50" s="23" customFormat="1" ht="16.899999999999999" customHeight="1" thickBot="1">
      <c r="B7" s="70"/>
      <c r="C7" s="71" t="s">
        <v>12</v>
      </c>
      <c r="D7" s="99" t="s">
        <v>4</v>
      </c>
      <c r="E7" s="98">
        <v>0.2</v>
      </c>
      <c r="F7" s="111" t="s">
        <v>34</v>
      </c>
      <c r="G7" s="112">
        <v>0.16</v>
      </c>
      <c r="H7" s="113"/>
      <c r="I7" s="72" t="s">
        <v>13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3"/>
      <c r="AD7" s="73"/>
      <c r="AE7" s="72"/>
      <c r="AF7" s="72"/>
      <c r="AG7" s="74"/>
    </row>
    <row r="8" spans="2:50" s="23" customFormat="1" ht="4.5" customHeight="1" thickBot="1"/>
    <row r="9" spans="2:50" s="31" customFormat="1">
      <c r="B9" s="30" t="s">
        <v>14</v>
      </c>
      <c r="C9" s="60">
        <v>1</v>
      </c>
      <c r="D9" s="60">
        <v>2</v>
      </c>
      <c r="E9" s="60">
        <v>3</v>
      </c>
      <c r="F9" s="60">
        <v>4</v>
      </c>
      <c r="G9" s="60">
        <v>5</v>
      </c>
      <c r="H9" s="60">
        <v>6</v>
      </c>
      <c r="I9" s="60">
        <v>7</v>
      </c>
      <c r="J9" s="60">
        <v>8</v>
      </c>
      <c r="K9" s="60">
        <v>9</v>
      </c>
      <c r="L9" s="60">
        <v>10</v>
      </c>
      <c r="M9" s="60">
        <v>11</v>
      </c>
      <c r="N9" s="60">
        <v>12</v>
      </c>
      <c r="O9" s="60">
        <v>13</v>
      </c>
      <c r="P9" s="60">
        <v>14</v>
      </c>
      <c r="Q9" s="60">
        <v>15</v>
      </c>
      <c r="R9" s="60">
        <v>16</v>
      </c>
      <c r="S9" s="60">
        <v>17</v>
      </c>
      <c r="T9" s="60">
        <v>18</v>
      </c>
      <c r="U9" s="60">
        <v>19</v>
      </c>
      <c r="V9" s="60">
        <v>20</v>
      </c>
      <c r="W9" s="60">
        <v>21</v>
      </c>
      <c r="X9" s="60">
        <v>22</v>
      </c>
      <c r="Y9" s="60">
        <v>23</v>
      </c>
      <c r="Z9" s="60">
        <v>24</v>
      </c>
      <c r="AA9" s="60">
        <v>25</v>
      </c>
      <c r="AB9" s="60">
        <v>26</v>
      </c>
      <c r="AC9" s="60">
        <v>27</v>
      </c>
      <c r="AD9" s="60">
        <v>28</v>
      </c>
      <c r="AE9" s="60">
        <v>29</v>
      </c>
      <c r="AF9" s="60">
        <v>30</v>
      </c>
      <c r="AG9" s="61">
        <v>31</v>
      </c>
    </row>
    <row r="10" spans="2:50" s="31" customFormat="1" ht="14.1" customHeight="1">
      <c r="B10" s="32" t="s">
        <v>15</v>
      </c>
      <c r="C10" s="114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1" customFormat="1" ht="14.1" customHeight="1">
      <c r="B11" s="33" t="s">
        <v>37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1" customFormat="1" ht="12" customHeight="1">
      <c r="B12" s="34"/>
      <c r="AG12" s="35"/>
    </row>
    <row r="13" spans="2:50" s="31" customFormat="1" ht="12" customHeight="1">
      <c r="B13" s="163"/>
      <c r="AG13" s="35"/>
    </row>
    <row r="14" spans="2:50" s="31" customFormat="1" ht="12" customHeight="1">
      <c r="B14" s="163"/>
      <c r="AG14" s="35"/>
    </row>
    <row r="15" spans="2:50" s="31" customFormat="1" ht="12" customHeight="1">
      <c r="B15" s="138"/>
      <c r="AG15" s="35"/>
    </row>
    <row r="16" spans="2:50" s="31" customFormat="1" ht="12" customHeight="1">
      <c r="B16" s="138"/>
      <c r="AG16" s="35"/>
    </row>
    <row r="17" spans="2:33" s="31" customFormat="1" ht="12" customHeight="1">
      <c r="B17" s="138"/>
      <c r="AG17" s="35"/>
    </row>
    <row r="18" spans="2:33" s="31" customFormat="1" ht="12" customHeight="1">
      <c r="B18" s="138"/>
      <c r="AG18" s="35"/>
    </row>
    <row r="19" spans="2:33" s="31" customFormat="1" ht="12" customHeight="1">
      <c r="B19" s="138"/>
      <c r="AG19" s="35"/>
    </row>
    <row r="20" spans="2:33" s="31" customFormat="1" ht="12" customHeight="1">
      <c r="B20" s="138"/>
      <c r="AG20" s="35"/>
    </row>
    <row r="21" spans="2:33" s="31" customFormat="1" ht="12" customHeight="1">
      <c r="B21" s="138"/>
      <c r="AG21" s="35"/>
    </row>
    <row r="22" spans="2:33" s="31" customFormat="1" ht="12" customHeight="1">
      <c r="B22" s="138"/>
      <c r="AG22" s="35"/>
    </row>
    <row r="23" spans="2:33" s="31" customFormat="1" ht="12" customHeight="1">
      <c r="B23" s="163"/>
      <c r="AG23" s="35"/>
    </row>
    <row r="24" spans="2:33" s="31" customFormat="1" ht="12" customHeight="1">
      <c r="B24" s="163"/>
      <c r="AG24" s="35"/>
    </row>
    <row r="25" spans="2:33" s="31" customFormat="1" ht="12" customHeight="1">
      <c r="B25" s="138"/>
      <c r="AG25" s="35"/>
    </row>
    <row r="26" spans="2:33" s="31" customFormat="1" ht="12" customHeight="1">
      <c r="B26" s="138"/>
      <c r="AG26" s="35"/>
    </row>
    <row r="27" spans="2:33" s="31" customFormat="1" ht="12" customHeight="1">
      <c r="B27" s="138"/>
      <c r="AG27" s="35"/>
    </row>
    <row r="28" spans="2:33" s="31" customFormat="1" ht="12" customHeight="1">
      <c r="B28" s="138"/>
      <c r="AG28" s="35"/>
    </row>
    <row r="29" spans="2:33" s="31" customFormat="1" ht="12" customHeight="1">
      <c r="B29" s="138"/>
      <c r="AG29" s="35"/>
    </row>
    <row r="30" spans="2:33" s="31" customFormat="1" ht="12" customHeight="1">
      <c r="B30" s="138"/>
      <c r="AG30" s="35"/>
    </row>
    <row r="31" spans="2:33" s="31" customFormat="1" ht="12" customHeight="1">
      <c r="B31" s="138"/>
      <c r="AG31" s="35"/>
    </row>
    <row r="32" spans="2:33" s="31" customFormat="1" ht="12" customHeight="1">
      <c r="B32" s="138"/>
      <c r="AG32" s="35"/>
    </row>
    <row r="33" spans="2:33" s="31" customFormat="1" ht="12" customHeight="1">
      <c r="B33" s="163"/>
      <c r="AG33" s="35"/>
    </row>
    <row r="34" spans="2:33" s="31" customFormat="1" ht="12" customHeight="1">
      <c r="B34" s="163"/>
      <c r="AG34" s="35"/>
    </row>
    <row r="35" spans="2:33" s="31" customFormat="1" ht="12" customHeight="1" thickBot="1">
      <c r="B35" s="36"/>
      <c r="AG35" s="35"/>
    </row>
    <row r="36" spans="2:33" s="31" customFormat="1" ht="12" customHeight="1">
      <c r="B36" s="17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8"/>
    </row>
    <row r="37" spans="2:33" s="31" customFormat="1" ht="12" customHeight="1">
      <c r="B37" s="163"/>
      <c r="AG37" s="35"/>
    </row>
    <row r="38" spans="2:33" s="31" customFormat="1" ht="12" customHeight="1">
      <c r="B38" s="79"/>
      <c r="AG38" s="35"/>
    </row>
    <row r="39" spans="2:33" s="31" customFormat="1" ht="12" customHeight="1">
      <c r="B39" s="79"/>
      <c r="AG39" s="35"/>
    </row>
    <row r="40" spans="2:33" s="31" customFormat="1" ht="12" customHeight="1">
      <c r="B40" s="79"/>
      <c r="AG40" s="35"/>
    </row>
    <row r="41" spans="2:33" s="31" customFormat="1" ht="12" customHeight="1">
      <c r="B41" s="163"/>
      <c r="AG41" s="35"/>
    </row>
    <row r="42" spans="2:33" s="31" customFormat="1" ht="12" customHeight="1">
      <c r="B42" s="163"/>
      <c r="AG42" s="35"/>
    </row>
    <row r="43" spans="2:33" s="31" customFormat="1" ht="12" customHeight="1">
      <c r="B43" s="79"/>
      <c r="AG43" s="35"/>
    </row>
    <row r="44" spans="2:33" s="31" customFormat="1" ht="12" customHeight="1">
      <c r="B44" s="79"/>
      <c r="AG44" s="35"/>
    </row>
    <row r="45" spans="2:33" s="31" customFormat="1" ht="12" customHeight="1">
      <c r="B45" s="79"/>
      <c r="AG45" s="35"/>
    </row>
    <row r="46" spans="2:33" s="31" customFormat="1" ht="12" customHeight="1" thickBot="1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1"/>
    </row>
    <row r="47" spans="2:33" s="31" customFormat="1" ht="6" customHeight="1">
      <c r="B47" s="93"/>
      <c r="AG47" s="35"/>
    </row>
    <row r="48" spans="2:33" s="42" customFormat="1" ht="15" customHeight="1">
      <c r="B48" s="94">
        <v>1</v>
      </c>
      <c r="C48" s="95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7"/>
    </row>
    <row r="49" spans="2:55" s="42" customFormat="1" ht="15" customHeight="1">
      <c r="B49" s="43">
        <v>2</v>
      </c>
      <c r="C49" s="7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9"/>
    </row>
    <row r="50" spans="2:55" s="42" customFormat="1" ht="15" customHeight="1">
      <c r="B50" s="43">
        <v>3</v>
      </c>
      <c r="C50" s="7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9"/>
    </row>
    <row r="51" spans="2:55" s="42" customFormat="1" ht="15" customHeight="1">
      <c r="B51" s="43">
        <v>4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9"/>
    </row>
    <row r="52" spans="2:55" s="42" customFormat="1" ht="15" customHeight="1">
      <c r="B52" s="47">
        <v>5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9"/>
    </row>
    <row r="53" spans="2:55" s="42" customFormat="1" ht="15" customHeight="1">
      <c r="B53" s="47" t="s">
        <v>16</v>
      </c>
      <c r="C53" s="44" t="str">
        <f t="shared" ref="C53:AG53" si="0">IF(ISERR(AVERAGE(C48:C52))," ",AVERAGE(C48:C52))</f>
        <v xml:space="preserve"> </v>
      </c>
      <c r="D53" s="44" t="str">
        <f t="shared" si="0"/>
        <v xml:space="preserve"> </v>
      </c>
      <c r="E53" s="45" t="str">
        <f t="shared" si="0"/>
        <v xml:space="preserve"> </v>
      </c>
      <c r="F53" s="45" t="str">
        <f t="shared" si="0"/>
        <v xml:space="preserve"> </v>
      </c>
      <c r="G53" s="45" t="str">
        <f t="shared" si="0"/>
        <v xml:space="preserve"> </v>
      </c>
      <c r="H53" s="45" t="str">
        <f t="shared" si="0"/>
        <v xml:space="preserve"> </v>
      </c>
      <c r="I53" s="45" t="str">
        <f t="shared" si="0"/>
        <v xml:space="preserve"> </v>
      </c>
      <c r="J53" s="45" t="str">
        <f t="shared" si="0"/>
        <v xml:space="preserve"> </v>
      </c>
      <c r="K53" s="45" t="str">
        <f t="shared" si="0"/>
        <v xml:space="preserve"> </v>
      </c>
      <c r="L53" s="45" t="str">
        <f t="shared" si="0"/>
        <v xml:space="preserve"> </v>
      </c>
      <c r="M53" s="45" t="str">
        <f t="shared" si="0"/>
        <v xml:space="preserve"> </v>
      </c>
      <c r="N53" s="45" t="str">
        <f t="shared" si="0"/>
        <v xml:space="preserve"> </v>
      </c>
      <c r="O53" s="45" t="str">
        <f t="shared" si="0"/>
        <v xml:space="preserve"> </v>
      </c>
      <c r="P53" s="45" t="str">
        <f t="shared" si="0"/>
        <v xml:space="preserve"> </v>
      </c>
      <c r="Q53" s="45" t="str">
        <f t="shared" si="0"/>
        <v xml:space="preserve"> </v>
      </c>
      <c r="R53" s="45" t="str">
        <f t="shared" si="0"/>
        <v xml:space="preserve"> </v>
      </c>
      <c r="S53" s="45" t="str">
        <f t="shared" si="0"/>
        <v xml:space="preserve"> </v>
      </c>
      <c r="T53" s="45" t="str">
        <f t="shared" si="0"/>
        <v xml:space="preserve"> </v>
      </c>
      <c r="U53" s="45" t="str">
        <f t="shared" si="0"/>
        <v xml:space="preserve"> </v>
      </c>
      <c r="V53" s="45" t="str">
        <f t="shared" si="0"/>
        <v xml:space="preserve"> </v>
      </c>
      <c r="W53" s="45" t="str">
        <f t="shared" si="0"/>
        <v xml:space="preserve"> </v>
      </c>
      <c r="X53" s="45" t="str">
        <f t="shared" si="0"/>
        <v xml:space="preserve"> </v>
      </c>
      <c r="Y53" s="45" t="str">
        <f t="shared" si="0"/>
        <v xml:space="preserve"> </v>
      </c>
      <c r="Z53" s="45" t="str">
        <f t="shared" si="0"/>
        <v xml:space="preserve"> </v>
      </c>
      <c r="AA53" s="45" t="str">
        <f t="shared" si="0"/>
        <v xml:space="preserve"> </v>
      </c>
      <c r="AB53" s="45" t="str">
        <f t="shared" si="0"/>
        <v xml:space="preserve"> </v>
      </c>
      <c r="AC53" s="45" t="str">
        <f t="shared" si="0"/>
        <v xml:space="preserve"> </v>
      </c>
      <c r="AD53" s="45" t="str">
        <f t="shared" si="0"/>
        <v xml:space="preserve"> </v>
      </c>
      <c r="AE53" s="45" t="str">
        <f t="shared" si="0"/>
        <v xml:space="preserve"> </v>
      </c>
      <c r="AF53" s="45" t="str">
        <f t="shared" si="0"/>
        <v xml:space="preserve"> </v>
      </c>
      <c r="AG53" s="46" t="str">
        <f t="shared" si="0"/>
        <v xml:space="preserve"> </v>
      </c>
    </row>
    <row r="54" spans="2:55" s="42" customFormat="1" ht="15" customHeight="1">
      <c r="B54" s="47" t="s">
        <v>12</v>
      </c>
      <c r="C54" s="48">
        <f t="shared" ref="C54:AG54" si="1">MAX(C48:C52)-MIN(C48:C52)</f>
        <v>0</v>
      </c>
      <c r="D54" s="49">
        <f t="shared" si="1"/>
        <v>0</v>
      </c>
      <c r="E54" s="49">
        <f t="shared" si="1"/>
        <v>0</v>
      </c>
      <c r="F54" s="49">
        <f t="shared" si="1"/>
        <v>0</v>
      </c>
      <c r="G54" s="49">
        <f t="shared" si="1"/>
        <v>0</v>
      </c>
      <c r="H54" s="49">
        <f t="shared" si="1"/>
        <v>0</v>
      </c>
      <c r="I54" s="49">
        <f t="shared" si="1"/>
        <v>0</v>
      </c>
      <c r="J54" s="49">
        <f t="shared" si="1"/>
        <v>0</v>
      </c>
      <c r="K54" s="49">
        <f t="shared" si="1"/>
        <v>0</v>
      </c>
      <c r="L54" s="49">
        <f t="shared" si="1"/>
        <v>0</v>
      </c>
      <c r="M54" s="49">
        <f t="shared" si="1"/>
        <v>0</v>
      </c>
      <c r="N54" s="49">
        <f t="shared" si="1"/>
        <v>0</v>
      </c>
      <c r="O54" s="49">
        <f t="shared" si="1"/>
        <v>0</v>
      </c>
      <c r="P54" s="49">
        <f t="shared" si="1"/>
        <v>0</v>
      </c>
      <c r="Q54" s="49">
        <f t="shared" si="1"/>
        <v>0</v>
      </c>
      <c r="R54" s="115">
        <f t="shared" si="1"/>
        <v>0</v>
      </c>
      <c r="S54" s="115">
        <f t="shared" si="1"/>
        <v>0</v>
      </c>
      <c r="T54" s="115">
        <f t="shared" si="1"/>
        <v>0</v>
      </c>
      <c r="U54" s="115">
        <f t="shared" si="1"/>
        <v>0</v>
      </c>
      <c r="V54" s="115">
        <f t="shared" si="1"/>
        <v>0</v>
      </c>
      <c r="W54" s="115">
        <f t="shared" si="1"/>
        <v>0</v>
      </c>
      <c r="X54" s="115">
        <f t="shared" si="1"/>
        <v>0</v>
      </c>
      <c r="Y54" s="115">
        <f t="shared" si="1"/>
        <v>0</v>
      </c>
      <c r="Z54" s="115">
        <f t="shared" si="1"/>
        <v>0</v>
      </c>
      <c r="AA54" s="115">
        <f t="shared" si="1"/>
        <v>0</v>
      </c>
      <c r="AB54" s="115">
        <f t="shared" si="1"/>
        <v>0</v>
      </c>
      <c r="AC54" s="115">
        <f t="shared" si="1"/>
        <v>0</v>
      </c>
      <c r="AD54" s="115">
        <f t="shared" si="1"/>
        <v>0</v>
      </c>
      <c r="AE54" s="115">
        <f t="shared" si="1"/>
        <v>0</v>
      </c>
      <c r="AF54" s="115">
        <f t="shared" si="1"/>
        <v>0</v>
      </c>
      <c r="AG54" s="116">
        <f t="shared" si="1"/>
        <v>0</v>
      </c>
    </row>
    <row r="55" spans="2:55" s="42" customFormat="1" ht="20.100000000000001" customHeight="1">
      <c r="B55" s="50" t="s">
        <v>17</v>
      </c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9"/>
    </row>
    <row r="56" spans="2:55" s="42" customFormat="1" ht="26.25" thickBot="1">
      <c r="B56" s="136" t="str">
        <f>'P1 - Esp. Lado'!B56</f>
        <v>Visto do Líder / Sublíder</v>
      </c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2"/>
    </row>
    <row r="57" spans="2:55" s="31" customFormat="1" ht="20.100000000000001" customHeight="1">
      <c r="B57" s="171" t="s">
        <v>18</v>
      </c>
      <c r="C57" s="172"/>
      <c r="D57" s="172"/>
      <c r="E57" s="173"/>
      <c r="F57" s="51" t="s">
        <v>19</v>
      </c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8"/>
    </row>
    <row r="58" spans="2:55" s="31" customFormat="1" ht="20.100000000000001" customHeight="1">
      <c r="B58" s="52"/>
      <c r="C58" s="23" t="s">
        <v>20</v>
      </c>
      <c r="D58" s="23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1" customFormat="1" ht="20.100000000000001" customHeight="1">
      <c r="B59" s="174" t="s">
        <v>21</v>
      </c>
      <c r="C59" s="175"/>
      <c r="D59" s="175"/>
      <c r="E59" s="35"/>
      <c r="F59" s="1"/>
      <c r="G59" s="1"/>
      <c r="H59" s="1"/>
      <c r="I59" s="1"/>
      <c r="J59" s="1"/>
      <c r="K59" s="1"/>
      <c r="L59" s="1"/>
      <c r="M59" s="1"/>
      <c r="N59" s="1"/>
      <c r="O59" s="123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1" customFormat="1" ht="20.100000000000001" customHeight="1" thickBot="1">
      <c r="B60" s="53"/>
      <c r="C60" s="54" t="s">
        <v>16</v>
      </c>
      <c r="D60" s="40"/>
      <c r="E60" s="41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1" customFormat="1" ht="7.5" customHeight="1"/>
    <row r="62" spans="2:55" s="31" customFormat="1" ht="15.75">
      <c r="B62" s="176" t="s">
        <v>31</v>
      </c>
      <c r="C62" s="177"/>
      <c r="D62" s="177"/>
      <c r="E62" s="177"/>
      <c r="F62" s="177"/>
      <c r="G62" s="166" t="s">
        <v>22</v>
      </c>
      <c r="H62" s="166"/>
      <c r="I62" s="166"/>
      <c r="J62" s="166"/>
      <c r="K62" s="167"/>
      <c r="L62" s="166" t="s">
        <v>30</v>
      </c>
      <c r="M62" s="166"/>
      <c r="N62" s="166"/>
      <c r="O62" s="166"/>
      <c r="P62" s="166"/>
      <c r="Q62" s="166"/>
      <c r="R62" s="166"/>
      <c r="S62" s="177" t="s">
        <v>32</v>
      </c>
      <c r="T62" s="177"/>
      <c r="U62" s="177"/>
      <c r="V62" s="177"/>
      <c r="W62" s="180" t="s">
        <v>46</v>
      </c>
      <c r="X62" s="177"/>
      <c r="Y62" s="177"/>
      <c r="Z62" s="177"/>
      <c r="AA62" s="177"/>
      <c r="AB62" s="177"/>
      <c r="AC62" s="177" t="s">
        <v>22</v>
      </c>
      <c r="AD62" s="177"/>
      <c r="AE62" s="177"/>
      <c r="AF62" s="177"/>
      <c r="AG62" s="182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</row>
    <row r="63" spans="2:55" s="31" customFormat="1" ht="15.75">
      <c r="B63" s="178"/>
      <c r="C63" s="179"/>
      <c r="D63" s="179"/>
      <c r="E63" s="179"/>
      <c r="F63" s="179"/>
      <c r="G63" s="168"/>
      <c r="H63" s="168"/>
      <c r="I63" s="168"/>
      <c r="J63" s="168"/>
      <c r="K63" s="169"/>
      <c r="L63" s="168"/>
      <c r="M63" s="168"/>
      <c r="N63" s="168"/>
      <c r="O63" s="168"/>
      <c r="P63" s="168"/>
      <c r="Q63" s="168"/>
      <c r="R63" s="168"/>
      <c r="S63" s="179"/>
      <c r="T63" s="179"/>
      <c r="U63" s="179"/>
      <c r="V63" s="179"/>
      <c r="W63" s="181"/>
      <c r="X63" s="179"/>
      <c r="Y63" s="179"/>
      <c r="Z63" s="179"/>
      <c r="AA63" s="179"/>
      <c r="AB63" s="179"/>
      <c r="AC63" s="179"/>
      <c r="AD63" s="179"/>
      <c r="AE63" s="179"/>
      <c r="AF63" s="179"/>
      <c r="AG63" s="183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</row>
    <row r="64" spans="2:55" ht="14.25">
      <c r="B64" s="56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6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</row>
    <row r="65" spans="2:5">
      <c r="B65" s="10" t="s">
        <v>25</v>
      </c>
    </row>
    <row r="66" spans="2:5">
      <c r="B66" s="10" t="s">
        <v>23</v>
      </c>
      <c r="C66" s="58" t="e">
        <f>AVERAGE(C53:AG53)+0.577*C69</f>
        <v>#DIV/0!</v>
      </c>
    </row>
    <row r="67" spans="2:5">
      <c r="B67" s="10" t="s">
        <v>5</v>
      </c>
      <c r="C67" s="58" t="e">
        <f>AVERAGE(C53:AG53)</f>
        <v>#DIV/0!</v>
      </c>
      <c r="D67" s="59" t="s">
        <v>26</v>
      </c>
      <c r="E67" s="10" t="e">
        <f>STDEV(C48:AF52)</f>
        <v>#DIV/0!</v>
      </c>
    </row>
    <row r="68" spans="2:5">
      <c r="B68" s="10" t="s">
        <v>24</v>
      </c>
      <c r="C68" s="58" t="e">
        <f>C67-0.577*C69</f>
        <v>#DIV/0!</v>
      </c>
    </row>
    <row r="69" spans="2:5">
      <c r="B69" s="10" t="s">
        <v>12</v>
      </c>
      <c r="C69" s="58" t="e">
        <f>2.115*(SUM(C54:AG54)/COUNTIF(C54:AG54,"&lt;&gt;0"))</f>
        <v>#DIV/0!</v>
      </c>
    </row>
    <row r="71" spans="2:5">
      <c r="B71" s="10" t="s">
        <v>27</v>
      </c>
    </row>
    <row r="73" spans="2:5">
      <c r="B73" s="10" t="s">
        <v>28</v>
      </c>
      <c r="C73" s="58" t="e">
        <f>E7/(6*E67)</f>
        <v>#DIV/0!</v>
      </c>
    </row>
    <row r="74" spans="2:5">
      <c r="B74" s="10" t="s">
        <v>29</v>
      </c>
      <c r="C74" s="58" t="e">
        <f>MIN((E4-C67)/(3*E67),(C67-E6)/(3*E67))</f>
        <v>#DIV/0!</v>
      </c>
    </row>
    <row r="75" spans="2:5">
      <c r="C75" s="10">
        <f>COUNTIF(C10:AG10,"&gt;0")</f>
        <v>0</v>
      </c>
    </row>
    <row r="78" spans="2:5">
      <c r="B78" s="10" t="s">
        <v>58</v>
      </c>
      <c r="C78" s="58" t="e">
        <f>AVERAGE(C48:AG52,'P4 - Esp. Fundo'!C48:AG52,'P3 - Esp. Fundo'!C48:AG52,'P2 - Esp. Fundo'!C48:AG52,'P1 - Esp. Fundo'!C48:AG52)</f>
        <v>#DIV/0!</v>
      </c>
    </row>
  </sheetData>
  <sheetProtection sheet="1" objects="1" scenarios="1" selectLockedCells="1"/>
  <mergeCells count="29">
    <mergeCell ref="L62:R63"/>
    <mergeCell ref="S62:V63"/>
    <mergeCell ref="W62:AB63"/>
    <mergeCell ref="AC62:AG63"/>
    <mergeCell ref="AS64:BC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D4:AG5"/>
    <mergeCell ref="B13:B14"/>
    <mergeCell ref="B15:B16"/>
    <mergeCell ref="B17:B18"/>
    <mergeCell ref="B19:B20"/>
    <mergeCell ref="Z4:AC5"/>
    <mergeCell ref="B21:B22"/>
    <mergeCell ref="I2:J3"/>
    <mergeCell ref="K2:L3"/>
    <mergeCell ref="M2:Q3"/>
    <mergeCell ref="R2:T2"/>
    <mergeCell ref="R3:T3"/>
  </mergeCells>
  <conditionalFormatting sqref="C48:AG52">
    <cfRule type="expression" dxfId="7" priority="1">
      <formula>(C48&gt;$G$4)*(C48&lt;&gt;0)</formula>
    </cfRule>
    <cfRule type="expression" dxfId="6" priority="2">
      <formula>(C48&lt;$G$6)*(C48&lt;&gt;0)</formula>
    </cfRule>
  </conditionalFormatting>
  <dataValidations count="3">
    <dataValidation type="whole" showInputMessage="1" showErrorMessage="1" errorTitle="Data" error="Digite apenas o dia entre 1 e 31" sqref="E10:AG10" xr:uid="{00000000-0002-0000-0A00-000000000000}">
      <formula1>1</formula1>
      <formula2>31</formula2>
    </dataValidation>
    <dataValidation type="whole" showErrorMessage="1" errorTitle="Data" error="Digite apenas o dia entre 1 e 31" sqref="C10:D10" xr:uid="{00000000-0002-0000-0A00-000001000000}">
      <formula1>1</formula1>
      <formula2>31</formula2>
    </dataValidation>
    <dataValidation type="list" showErrorMessage="1" promptTitle="Turno" prompt="Escolha" sqref="C11:AG11" xr:uid="{00000000-0002-0000-0A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16-089-02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indexed="47"/>
    <pageSetUpPr fitToPage="1"/>
  </sheetPr>
  <dimension ref="B1:BC75"/>
  <sheetViews>
    <sheetView showZeros="0" topLeftCell="A19" zoomScaleNormal="100" workbookViewId="0">
      <selection activeCell="C55" sqref="C55"/>
    </sheetView>
  </sheetViews>
  <sheetFormatPr defaultColWidth="10.28515625" defaultRowHeight="12.75"/>
  <cols>
    <col min="1" max="1" width="1.5703125" style="10" customWidth="1"/>
    <col min="2" max="2" width="16.140625" style="10" customWidth="1"/>
    <col min="3" max="33" width="6.7109375" style="10" customWidth="1"/>
    <col min="34" max="34" width="3.140625" style="10" customWidth="1"/>
    <col min="35" max="55" width="6.7109375" style="10" customWidth="1"/>
    <col min="56" max="16384" width="10.28515625" style="10"/>
  </cols>
  <sheetData>
    <row r="1" spans="2:50" ht="21.75" thickBot="1">
      <c r="B1" s="80" t="s">
        <v>42</v>
      </c>
      <c r="C1" s="81"/>
      <c r="D1" s="81"/>
      <c r="E1" s="81"/>
      <c r="F1" s="82"/>
      <c r="G1" s="82"/>
      <c r="H1" s="83"/>
      <c r="I1" s="104" t="s">
        <v>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3"/>
      <c r="AX1" s="11"/>
    </row>
    <row r="2" spans="2:50" s="12" customFormat="1" ht="19.5" customHeight="1">
      <c r="B2" s="84" t="s">
        <v>43</v>
      </c>
      <c r="C2" s="85"/>
      <c r="D2" s="86"/>
      <c r="E2" s="86"/>
      <c r="F2" s="87"/>
      <c r="G2" s="87"/>
      <c r="H2" s="88"/>
      <c r="I2" s="139" t="s">
        <v>0</v>
      </c>
      <c r="J2" s="140"/>
      <c r="K2" s="143" t="str">
        <f>'P1 - Esp. Lado'!K2:L3</f>
        <v>UM-3</v>
      </c>
      <c r="L2" s="144"/>
      <c r="M2" s="147" t="s">
        <v>53</v>
      </c>
      <c r="N2" s="148"/>
      <c r="O2" s="148"/>
      <c r="P2" s="148"/>
      <c r="Q2" s="149"/>
      <c r="R2" s="153" t="s">
        <v>1</v>
      </c>
      <c r="S2" s="154"/>
      <c r="T2" s="155"/>
      <c r="U2" s="13" t="s">
        <v>41</v>
      </c>
      <c r="V2" s="14"/>
      <c r="W2" s="14"/>
      <c r="X2" s="14"/>
      <c r="Y2" s="14"/>
      <c r="Z2" s="15"/>
      <c r="AA2" s="15"/>
      <c r="AB2" s="15"/>
      <c r="AC2" s="15"/>
      <c r="AD2" s="15"/>
      <c r="AE2" s="89"/>
      <c r="AF2" s="89"/>
      <c r="AG2" s="90"/>
    </row>
    <row r="3" spans="2:50" ht="16.899999999999999" customHeight="1" thickBot="1">
      <c r="B3" s="64"/>
      <c r="I3" s="141"/>
      <c r="J3" s="142"/>
      <c r="K3" s="145"/>
      <c r="L3" s="146"/>
      <c r="M3" s="150"/>
      <c r="N3" s="151"/>
      <c r="O3" s="151"/>
      <c r="P3" s="151"/>
      <c r="Q3" s="152"/>
      <c r="R3" s="156" t="s">
        <v>2</v>
      </c>
      <c r="S3" s="157"/>
      <c r="T3" s="158"/>
      <c r="U3" s="16" t="s">
        <v>38</v>
      </c>
      <c r="V3" s="17"/>
      <c r="W3" s="17"/>
      <c r="X3" s="17"/>
      <c r="Y3" s="17"/>
      <c r="Z3" s="17"/>
      <c r="AA3" s="17"/>
      <c r="AB3" s="17"/>
      <c r="AC3" s="17"/>
      <c r="AD3" s="17"/>
      <c r="AE3" s="91"/>
      <c r="AF3" s="91"/>
      <c r="AG3" s="92"/>
    </row>
    <row r="4" spans="2:50" s="23" customFormat="1" ht="16.899999999999999" customHeight="1" thickTop="1">
      <c r="B4" s="65" t="s">
        <v>3</v>
      </c>
      <c r="C4" s="18"/>
      <c r="D4" s="19" t="s">
        <v>4</v>
      </c>
      <c r="E4" s="20">
        <f>E5+E7/2</f>
        <v>44.7</v>
      </c>
      <c r="F4" s="21" t="s">
        <v>34</v>
      </c>
      <c r="G4" s="22">
        <f>G5+G7/2</f>
        <v>44.65</v>
      </c>
      <c r="H4" s="107"/>
      <c r="I4" s="108"/>
      <c r="Z4" s="164" t="str">
        <f ca="1">'P1 - Esp. Lado'!$Z$4:$AC$5</f>
        <v>MÊS: 03</v>
      </c>
      <c r="AA4" s="159"/>
      <c r="AB4" s="159"/>
      <c r="AC4" s="159"/>
      <c r="AD4" s="159" t="str">
        <f ca="1">'P1 - Esp. Lado'!$AD$4:$AG$5</f>
        <v>ANO: 2022</v>
      </c>
      <c r="AE4" s="159"/>
      <c r="AF4" s="159"/>
      <c r="AG4" s="160"/>
    </row>
    <row r="5" spans="2:50" s="23" customFormat="1" ht="16.899999999999999" customHeight="1" thickBot="1">
      <c r="B5" s="66" t="str">
        <f>'P1 - Esp. Lado'!B5</f>
        <v>SJCPIL-I 16-013-XX</v>
      </c>
      <c r="C5" s="24" t="s">
        <v>5</v>
      </c>
      <c r="D5" s="25" t="s">
        <v>6</v>
      </c>
      <c r="E5" s="26">
        <f>G5</f>
        <v>44.5</v>
      </c>
      <c r="F5" s="27" t="s">
        <v>36</v>
      </c>
      <c r="G5" s="28">
        <v>44.5</v>
      </c>
      <c r="H5" s="107"/>
      <c r="I5" s="23" t="s">
        <v>33</v>
      </c>
      <c r="R5" s="23" t="s">
        <v>7</v>
      </c>
      <c r="Z5" s="165"/>
      <c r="AA5" s="161"/>
      <c r="AB5" s="161"/>
      <c r="AC5" s="161"/>
      <c r="AD5" s="161"/>
      <c r="AE5" s="161"/>
      <c r="AF5" s="161"/>
      <c r="AG5" s="162"/>
    </row>
    <row r="6" spans="2:50" s="23" customFormat="1" ht="16.899999999999999" customHeight="1">
      <c r="B6" s="67" t="s">
        <v>8</v>
      </c>
      <c r="C6" s="29"/>
      <c r="D6" s="25" t="s">
        <v>9</v>
      </c>
      <c r="E6" s="26">
        <f>E5-E7/2</f>
        <v>44.3</v>
      </c>
      <c r="F6" s="27" t="s">
        <v>35</v>
      </c>
      <c r="G6" s="28">
        <f>G5-G7/2</f>
        <v>44.35</v>
      </c>
      <c r="H6" s="107"/>
      <c r="I6" s="23" t="s">
        <v>10</v>
      </c>
      <c r="R6" s="23" t="s">
        <v>11</v>
      </c>
      <c r="AC6" s="68"/>
      <c r="AD6" s="68"/>
      <c r="AG6" s="69"/>
    </row>
    <row r="7" spans="2:50" s="23" customFormat="1" ht="16.899999999999999" customHeight="1" thickBot="1">
      <c r="B7" s="70"/>
      <c r="C7" s="71" t="s">
        <v>12</v>
      </c>
      <c r="D7" s="75" t="s">
        <v>4</v>
      </c>
      <c r="E7" s="76">
        <v>0.4</v>
      </c>
      <c r="F7" s="77" t="s">
        <v>34</v>
      </c>
      <c r="G7" s="78">
        <v>0.3</v>
      </c>
      <c r="H7" s="113"/>
      <c r="I7" s="72" t="s">
        <v>13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3"/>
      <c r="AD7" s="73"/>
      <c r="AE7" s="72"/>
      <c r="AF7" s="72"/>
      <c r="AG7" s="74"/>
    </row>
    <row r="8" spans="2:50" s="23" customFormat="1" ht="4.5" customHeight="1" thickBot="1"/>
    <row r="9" spans="2:50" s="31" customFormat="1">
      <c r="B9" s="30" t="s">
        <v>14</v>
      </c>
      <c r="C9" s="60">
        <v>1</v>
      </c>
      <c r="D9" s="60">
        <v>2</v>
      </c>
      <c r="E9" s="60">
        <v>3</v>
      </c>
      <c r="F9" s="60">
        <v>4</v>
      </c>
      <c r="G9" s="60">
        <v>5</v>
      </c>
      <c r="H9" s="60">
        <v>6</v>
      </c>
      <c r="I9" s="60">
        <v>7</v>
      </c>
      <c r="J9" s="60">
        <v>8</v>
      </c>
      <c r="K9" s="60">
        <v>9</v>
      </c>
      <c r="L9" s="60">
        <v>10</v>
      </c>
      <c r="M9" s="60">
        <v>11</v>
      </c>
      <c r="N9" s="60">
        <v>12</v>
      </c>
      <c r="O9" s="60">
        <v>13</v>
      </c>
      <c r="P9" s="60">
        <v>14</v>
      </c>
      <c r="Q9" s="60">
        <v>15</v>
      </c>
      <c r="R9" s="60">
        <v>16</v>
      </c>
      <c r="S9" s="60">
        <v>17</v>
      </c>
      <c r="T9" s="60">
        <v>18</v>
      </c>
      <c r="U9" s="60">
        <v>19</v>
      </c>
      <c r="V9" s="60">
        <v>20</v>
      </c>
      <c r="W9" s="60">
        <v>21</v>
      </c>
      <c r="X9" s="60">
        <v>22</v>
      </c>
      <c r="Y9" s="60">
        <v>23</v>
      </c>
      <c r="Z9" s="60">
        <v>24</v>
      </c>
      <c r="AA9" s="60">
        <v>25</v>
      </c>
      <c r="AB9" s="60">
        <v>26</v>
      </c>
      <c r="AC9" s="60">
        <v>27</v>
      </c>
      <c r="AD9" s="60">
        <v>28</v>
      </c>
      <c r="AE9" s="60">
        <v>29</v>
      </c>
      <c r="AF9" s="60">
        <v>30</v>
      </c>
      <c r="AG9" s="61">
        <v>31</v>
      </c>
    </row>
    <row r="10" spans="2:50" s="31" customFormat="1" ht="14.1" customHeight="1">
      <c r="B10" s="32" t="s">
        <v>15</v>
      </c>
      <c r="C10" s="114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</row>
    <row r="11" spans="2:50" s="31" customFormat="1" ht="14.1" customHeight="1">
      <c r="B11" s="33" t="s">
        <v>37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</row>
    <row r="12" spans="2:50" s="31" customFormat="1" ht="12" customHeight="1">
      <c r="B12" s="34"/>
      <c r="AG12" s="35"/>
    </row>
    <row r="13" spans="2:50" s="31" customFormat="1" ht="12" customHeight="1">
      <c r="B13" s="163"/>
      <c r="AG13" s="35"/>
    </row>
    <row r="14" spans="2:50" s="31" customFormat="1" ht="12" customHeight="1">
      <c r="B14" s="163"/>
      <c r="AG14" s="35"/>
    </row>
    <row r="15" spans="2:50" s="31" customFormat="1" ht="12" customHeight="1">
      <c r="B15" s="138"/>
      <c r="AG15" s="35"/>
    </row>
    <row r="16" spans="2:50" s="31" customFormat="1" ht="12" customHeight="1">
      <c r="B16" s="138"/>
      <c r="AG16" s="35"/>
    </row>
    <row r="17" spans="2:33" s="31" customFormat="1" ht="12" customHeight="1">
      <c r="B17" s="138"/>
      <c r="AG17" s="35"/>
    </row>
    <row r="18" spans="2:33" s="31" customFormat="1" ht="12" customHeight="1">
      <c r="B18" s="138"/>
      <c r="AG18" s="35"/>
    </row>
    <row r="19" spans="2:33" s="31" customFormat="1" ht="12" customHeight="1">
      <c r="B19" s="138"/>
      <c r="AG19" s="35"/>
    </row>
    <row r="20" spans="2:33" s="31" customFormat="1" ht="12" customHeight="1">
      <c r="B20" s="138"/>
      <c r="AG20" s="35"/>
    </row>
    <row r="21" spans="2:33" s="31" customFormat="1" ht="12" customHeight="1">
      <c r="B21" s="138"/>
      <c r="AG21" s="35"/>
    </row>
    <row r="22" spans="2:33" s="31" customFormat="1" ht="12" customHeight="1">
      <c r="B22" s="138"/>
      <c r="AG22" s="35"/>
    </row>
    <row r="23" spans="2:33" s="31" customFormat="1" ht="12" customHeight="1">
      <c r="B23" s="163"/>
      <c r="AG23" s="35"/>
    </row>
    <row r="24" spans="2:33" s="31" customFormat="1" ht="12" customHeight="1">
      <c r="B24" s="163"/>
      <c r="AG24" s="35"/>
    </row>
    <row r="25" spans="2:33" s="31" customFormat="1" ht="12" customHeight="1">
      <c r="B25" s="138"/>
      <c r="AG25" s="35"/>
    </row>
    <row r="26" spans="2:33" s="31" customFormat="1" ht="12" customHeight="1">
      <c r="B26" s="138"/>
      <c r="AG26" s="35"/>
    </row>
    <row r="27" spans="2:33" s="31" customFormat="1" ht="12" customHeight="1">
      <c r="B27" s="138"/>
      <c r="AG27" s="35"/>
    </row>
    <row r="28" spans="2:33" s="31" customFormat="1" ht="12" customHeight="1">
      <c r="B28" s="138"/>
      <c r="AG28" s="35"/>
    </row>
    <row r="29" spans="2:33" s="31" customFormat="1" ht="12" customHeight="1">
      <c r="B29" s="138"/>
      <c r="AG29" s="35"/>
    </row>
    <row r="30" spans="2:33" s="31" customFormat="1" ht="12" customHeight="1">
      <c r="B30" s="138"/>
      <c r="AG30" s="35"/>
    </row>
    <row r="31" spans="2:33" s="31" customFormat="1" ht="12" customHeight="1">
      <c r="B31" s="138"/>
      <c r="AG31" s="35"/>
    </row>
    <row r="32" spans="2:33" s="31" customFormat="1" ht="12" customHeight="1">
      <c r="B32" s="138"/>
      <c r="AG32" s="35"/>
    </row>
    <row r="33" spans="2:33" s="31" customFormat="1" ht="12" customHeight="1">
      <c r="B33" s="163"/>
      <c r="AG33" s="35"/>
    </row>
    <row r="34" spans="2:33" s="31" customFormat="1" ht="12" customHeight="1">
      <c r="B34" s="163"/>
      <c r="AG34" s="35"/>
    </row>
    <row r="35" spans="2:33" s="31" customFormat="1" ht="12" customHeight="1" thickBot="1">
      <c r="B35" s="36"/>
      <c r="AG35" s="35"/>
    </row>
    <row r="36" spans="2:33" s="31" customFormat="1" ht="12" customHeight="1">
      <c r="B36" s="17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8"/>
    </row>
    <row r="37" spans="2:33" s="31" customFormat="1" ht="12" customHeight="1">
      <c r="B37" s="163"/>
      <c r="AG37" s="35"/>
    </row>
    <row r="38" spans="2:33" s="31" customFormat="1" ht="12" customHeight="1">
      <c r="B38" s="79"/>
      <c r="AG38" s="35"/>
    </row>
    <row r="39" spans="2:33" s="31" customFormat="1" ht="12" customHeight="1">
      <c r="B39" s="79"/>
      <c r="AG39" s="35"/>
    </row>
    <row r="40" spans="2:33" s="31" customFormat="1" ht="12" customHeight="1">
      <c r="B40" s="79"/>
      <c r="AG40" s="35"/>
    </row>
    <row r="41" spans="2:33" s="31" customFormat="1" ht="12" customHeight="1">
      <c r="B41" s="163"/>
      <c r="AG41" s="35"/>
    </row>
    <row r="42" spans="2:33" s="31" customFormat="1" ht="12" customHeight="1">
      <c r="B42" s="163"/>
      <c r="AG42" s="35"/>
    </row>
    <row r="43" spans="2:33" s="31" customFormat="1" ht="12" customHeight="1">
      <c r="B43" s="79"/>
      <c r="AG43" s="35"/>
    </row>
    <row r="44" spans="2:33" s="31" customFormat="1" ht="12" customHeight="1">
      <c r="B44" s="79"/>
      <c r="AG44" s="35"/>
    </row>
    <row r="45" spans="2:33" s="31" customFormat="1" ht="12" customHeight="1">
      <c r="B45" s="79"/>
      <c r="AG45" s="35"/>
    </row>
    <row r="46" spans="2:33" s="31" customFormat="1" ht="12" customHeight="1" thickBot="1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1"/>
    </row>
    <row r="47" spans="2:33" s="31" customFormat="1" ht="6" customHeight="1">
      <c r="B47" s="93"/>
      <c r="AG47" s="35"/>
    </row>
    <row r="48" spans="2:33" s="42" customFormat="1" ht="15" customHeight="1">
      <c r="B48" s="94">
        <v>1</v>
      </c>
      <c r="C48" s="95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7"/>
    </row>
    <row r="49" spans="2:55" s="42" customFormat="1" ht="15" customHeight="1">
      <c r="B49" s="43">
        <v>2</v>
      </c>
      <c r="C49" s="7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9"/>
    </row>
    <row r="50" spans="2:55" s="42" customFormat="1" ht="15" customHeight="1">
      <c r="B50" s="43">
        <v>3</v>
      </c>
      <c r="C50" s="7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9"/>
    </row>
    <row r="51" spans="2:55" s="42" customFormat="1" ht="15" customHeight="1">
      <c r="B51" s="43">
        <v>4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9"/>
    </row>
    <row r="52" spans="2:55" s="42" customFormat="1" ht="15" customHeight="1">
      <c r="B52" s="47">
        <v>5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9"/>
    </row>
    <row r="53" spans="2:55" s="42" customFormat="1" ht="15" customHeight="1">
      <c r="B53" s="47" t="s">
        <v>16</v>
      </c>
      <c r="C53" s="44" t="str">
        <f t="shared" ref="C53:AG53" si="0">IF(ISERR(AVERAGE(C48:C52))," ",AVERAGE(C48:C52))</f>
        <v xml:space="preserve"> </v>
      </c>
      <c r="D53" s="45" t="str">
        <f t="shared" si="0"/>
        <v xml:space="preserve"> </v>
      </c>
      <c r="E53" s="45" t="str">
        <f t="shared" si="0"/>
        <v xml:space="preserve"> </v>
      </c>
      <c r="F53" s="45" t="str">
        <f t="shared" si="0"/>
        <v xml:space="preserve"> </v>
      </c>
      <c r="G53" s="45" t="str">
        <f t="shared" si="0"/>
        <v xml:space="preserve"> </v>
      </c>
      <c r="H53" s="45" t="str">
        <f t="shared" si="0"/>
        <v xml:space="preserve"> </v>
      </c>
      <c r="I53" s="45" t="str">
        <f t="shared" si="0"/>
        <v xml:space="preserve"> </v>
      </c>
      <c r="J53" s="45" t="str">
        <f t="shared" si="0"/>
        <v xml:space="preserve"> </v>
      </c>
      <c r="K53" s="45" t="str">
        <f t="shared" si="0"/>
        <v xml:space="preserve"> </v>
      </c>
      <c r="L53" s="45" t="str">
        <f t="shared" si="0"/>
        <v xml:space="preserve"> </v>
      </c>
      <c r="M53" s="45" t="str">
        <f t="shared" si="0"/>
        <v xml:space="preserve"> </v>
      </c>
      <c r="N53" s="45" t="str">
        <f t="shared" si="0"/>
        <v xml:space="preserve"> </v>
      </c>
      <c r="O53" s="45" t="str">
        <f t="shared" si="0"/>
        <v xml:space="preserve"> </v>
      </c>
      <c r="P53" s="45" t="str">
        <f t="shared" si="0"/>
        <v xml:space="preserve"> </v>
      </c>
      <c r="Q53" s="45" t="str">
        <f t="shared" si="0"/>
        <v xml:space="preserve"> </v>
      </c>
      <c r="R53" s="45" t="str">
        <f t="shared" si="0"/>
        <v xml:space="preserve"> </v>
      </c>
      <c r="S53" s="45" t="str">
        <f t="shared" si="0"/>
        <v xml:space="preserve"> </v>
      </c>
      <c r="T53" s="45" t="str">
        <f t="shared" si="0"/>
        <v xml:space="preserve"> </v>
      </c>
      <c r="U53" s="45" t="str">
        <f t="shared" si="0"/>
        <v xml:space="preserve"> </v>
      </c>
      <c r="V53" s="45" t="str">
        <f t="shared" si="0"/>
        <v xml:space="preserve"> </v>
      </c>
      <c r="W53" s="45" t="str">
        <f t="shared" si="0"/>
        <v xml:space="preserve"> </v>
      </c>
      <c r="X53" s="45" t="str">
        <f t="shared" si="0"/>
        <v xml:space="preserve"> </v>
      </c>
      <c r="Y53" s="45" t="str">
        <f t="shared" si="0"/>
        <v xml:space="preserve"> </v>
      </c>
      <c r="Z53" s="45" t="str">
        <f t="shared" si="0"/>
        <v xml:space="preserve"> </v>
      </c>
      <c r="AA53" s="45" t="str">
        <f t="shared" si="0"/>
        <v xml:space="preserve"> </v>
      </c>
      <c r="AB53" s="45" t="str">
        <f t="shared" si="0"/>
        <v xml:space="preserve"> </v>
      </c>
      <c r="AC53" s="45" t="str">
        <f t="shared" si="0"/>
        <v xml:space="preserve"> </v>
      </c>
      <c r="AD53" s="45" t="str">
        <f t="shared" si="0"/>
        <v xml:space="preserve"> </v>
      </c>
      <c r="AE53" s="45" t="str">
        <f t="shared" si="0"/>
        <v xml:space="preserve"> </v>
      </c>
      <c r="AF53" s="45" t="str">
        <f t="shared" si="0"/>
        <v xml:space="preserve"> </v>
      </c>
      <c r="AG53" s="46" t="str">
        <f t="shared" si="0"/>
        <v xml:space="preserve"> </v>
      </c>
    </row>
    <row r="54" spans="2:55" s="42" customFormat="1" ht="15" customHeight="1">
      <c r="B54" s="47" t="s">
        <v>12</v>
      </c>
      <c r="C54" s="48">
        <f t="shared" ref="C54:AG54" si="1">MAX(C48:C52)-MIN(C48:C52)</f>
        <v>0</v>
      </c>
      <c r="D54" s="49">
        <f t="shared" si="1"/>
        <v>0</v>
      </c>
      <c r="E54" s="49">
        <f t="shared" si="1"/>
        <v>0</v>
      </c>
      <c r="F54" s="49">
        <f t="shared" si="1"/>
        <v>0</v>
      </c>
      <c r="G54" s="49">
        <f t="shared" si="1"/>
        <v>0</v>
      </c>
      <c r="H54" s="49">
        <f t="shared" si="1"/>
        <v>0</v>
      </c>
      <c r="I54" s="49">
        <f t="shared" si="1"/>
        <v>0</v>
      </c>
      <c r="J54" s="49">
        <f t="shared" si="1"/>
        <v>0</v>
      </c>
      <c r="K54" s="49">
        <f t="shared" si="1"/>
        <v>0</v>
      </c>
      <c r="L54" s="49">
        <f t="shared" si="1"/>
        <v>0</v>
      </c>
      <c r="M54" s="49">
        <f t="shared" si="1"/>
        <v>0</v>
      </c>
      <c r="N54" s="49">
        <f t="shared" si="1"/>
        <v>0</v>
      </c>
      <c r="O54" s="49">
        <f t="shared" si="1"/>
        <v>0</v>
      </c>
      <c r="P54" s="49">
        <f t="shared" si="1"/>
        <v>0</v>
      </c>
      <c r="Q54" s="49">
        <f t="shared" si="1"/>
        <v>0</v>
      </c>
      <c r="R54" s="115">
        <f t="shared" si="1"/>
        <v>0</v>
      </c>
      <c r="S54" s="115">
        <f t="shared" si="1"/>
        <v>0</v>
      </c>
      <c r="T54" s="115">
        <f t="shared" si="1"/>
        <v>0</v>
      </c>
      <c r="U54" s="115">
        <f t="shared" si="1"/>
        <v>0</v>
      </c>
      <c r="V54" s="115">
        <f t="shared" si="1"/>
        <v>0</v>
      </c>
      <c r="W54" s="115">
        <f t="shared" si="1"/>
        <v>0</v>
      </c>
      <c r="X54" s="115">
        <f t="shared" si="1"/>
        <v>0</v>
      </c>
      <c r="Y54" s="115">
        <f t="shared" si="1"/>
        <v>0</v>
      </c>
      <c r="Z54" s="115">
        <f t="shared" si="1"/>
        <v>0</v>
      </c>
      <c r="AA54" s="115">
        <f t="shared" si="1"/>
        <v>0</v>
      </c>
      <c r="AB54" s="115">
        <f t="shared" si="1"/>
        <v>0</v>
      </c>
      <c r="AC54" s="115">
        <f t="shared" si="1"/>
        <v>0</v>
      </c>
      <c r="AD54" s="115">
        <f t="shared" si="1"/>
        <v>0</v>
      </c>
      <c r="AE54" s="115">
        <f t="shared" si="1"/>
        <v>0</v>
      </c>
      <c r="AF54" s="115">
        <f t="shared" si="1"/>
        <v>0</v>
      </c>
      <c r="AG54" s="116">
        <f t="shared" si="1"/>
        <v>0</v>
      </c>
    </row>
    <row r="55" spans="2:55" s="42" customFormat="1" ht="20.100000000000001" customHeight="1">
      <c r="B55" s="50" t="s">
        <v>17</v>
      </c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9"/>
    </row>
    <row r="56" spans="2:55" s="42" customFormat="1" ht="26.25" thickBot="1">
      <c r="B56" s="136" t="str">
        <f>'P1 - Esp. Lado'!B56</f>
        <v>Visto do Líder / Sublíder</v>
      </c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2"/>
    </row>
    <row r="57" spans="2:55" s="31" customFormat="1" ht="20.100000000000001" customHeight="1">
      <c r="B57" s="171" t="s">
        <v>18</v>
      </c>
      <c r="C57" s="172"/>
      <c r="D57" s="172"/>
      <c r="E57" s="173"/>
      <c r="F57" s="51" t="s">
        <v>19</v>
      </c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8"/>
    </row>
    <row r="58" spans="2:55" s="31" customFormat="1" ht="20.100000000000001" customHeight="1">
      <c r="B58" s="52"/>
      <c r="C58" s="23" t="s">
        <v>20</v>
      </c>
      <c r="D58" s="23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31" customFormat="1" ht="20.100000000000001" customHeight="1">
      <c r="B59" s="174" t="s">
        <v>21</v>
      </c>
      <c r="C59" s="175"/>
      <c r="D59" s="175"/>
      <c r="E59" s="35"/>
      <c r="F59" s="1"/>
      <c r="G59" s="1"/>
      <c r="H59" s="1"/>
      <c r="I59" s="1"/>
      <c r="J59" s="1"/>
      <c r="K59" s="1"/>
      <c r="L59" s="1"/>
      <c r="M59" s="1"/>
      <c r="N59" s="1"/>
      <c r="O59" s="123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31" customFormat="1" ht="20.100000000000001" customHeight="1" thickBot="1">
      <c r="B60" s="53"/>
      <c r="C60" s="54" t="s">
        <v>16</v>
      </c>
      <c r="D60" s="40"/>
      <c r="E60" s="41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31" customFormat="1" ht="7.5" customHeight="1"/>
    <row r="62" spans="2:55" s="31" customFormat="1" ht="15.75">
      <c r="B62" s="176" t="s">
        <v>31</v>
      </c>
      <c r="C62" s="177"/>
      <c r="D62" s="177"/>
      <c r="E62" s="177"/>
      <c r="F62" s="177"/>
      <c r="G62" s="166" t="s">
        <v>22</v>
      </c>
      <c r="H62" s="166"/>
      <c r="I62" s="166"/>
      <c r="J62" s="166"/>
      <c r="K62" s="167"/>
      <c r="L62" s="166" t="s">
        <v>30</v>
      </c>
      <c r="M62" s="166"/>
      <c r="N62" s="166"/>
      <c r="O62" s="166"/>
      <c r="P62" s="166"/>
      <c r="Q62" s="166"/>
      <c r="R62" s="166"/>
      <c r="S62" s="177" t="s">
        <v>32</v>
      </c>
      <c r="T62" s="177"/>
      <c r="U62" s="177"/>
      <c r="V62" s="177"/>
      <c r="W62" s="180" t="s">
        <v>46</v>
      </c>
      <c r="X62" s="177"/>
      <c r="Y62" s="177"/>
      <c r="Z62" s="177"/>
      <c r="AA62" s="177"/>
      <c r="AB62" s="177"/>
      <c r="AC62" s="177" t="s">
        <v>22</v>
      </c>
      <c r="AD62" s="177"/>
      <c r="AE62" s="177"/>
      <c r="AF62" s="177"/>
      <c r="AG62" s="182"/>
      <c r="AH62" s="55"/>
      <c r="AI62" s="55"/>
      <c r="AJ62" s="55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/>
      <c r="BB62" s="55"/>
      <c r="BC62" s="55"/>
    </row>
    <row r="63" spans="2:55" s="31" customFormat="1" ht="15.75">
      <c r="B63" s="178"/>
      <c r="C63" s="179"/>
      <c r="D63" s="179"/>
      <c r="E63" s="179"/>
      <c r="F63" s="179"/>
      <c r="G63" s="168"/>
      <c r="H63" s="168"/>
      <c r="I63" s="168"/>
      <c r="J63" s="168"/>
      <c r="K63" s="169"/>
      <c r="L63" s="168"/>
      <c r="M63" s="168"/>
      <c r="N63" s="168"/>
      <c r="O63" s="168"/>
      <c r="P63" s="168"/>
      <c r="Q63" s="168"/>
      <c r="R63" s="168"/>
      <c r="S63" s="179"/>
      <c r="T63" s="179"/>
      <c r="U63" s="179"/>
      <c r="V63" s="179"/>
      <c r="W63" s="181"/>
      <c r="X63" s="179"/>
      <c r="Y63" s="179"/>
      <c r="Z63" s="179"/>
      <c r="AA63" s="179"/>
      <c r="AB63" s="179"/>
      <c r="AC63" s="179"/>
      <c r="AD63" s="179"/>
      <c r="AE63" s="179"/>
      <c r="AF63" s="179"/>
      <c r="AG63" s="183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</row>
    <row r="64" spans="2:55" ht="14.25">
      <c r="B64" s="56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6"/>
      <c r="AS64" s="184"/>
      <c r="AT64" s="184"/>
      <c r="AU64" s="184"/>
      <c r="AV64" s="184"/>
      <c r="AW64" s="184"/>
      <c r="AX64" s="184"/>
      <c r="AY64" s="184"/>
      <c r="AZ64" s="184"/>
      <c r="BA64" s="184"/>
      <c r="BB64" s="184"/>
      <c r="BC64" s="184"/>
    </row>
    <row r="65" spans="2:5">
      <c r="B65" s="10" t="s">
        <v>25</v>
      </c>
    </row>
    <row r="66" spans="2:5">
      <c r="B66" s="10" t="s">
        <v>23</v>
      </c>
      <c r="C66" s="58" t="e">
        <f>AVERAGE(C53:AG53)+0.577*C69</f>
        <v>#DIV/0!</v>
      </c>
    </row>
    <row r="67" spans="2:5">
      <c r="B67" s="10" t="s">
        <v>5</v>
      </c>
      <c r="C67" s="58" t="e">
        <f>AVERAGE(C53:AG53)</f>
        <v>#DIV/0!</v>
      </c>
      <c r="D67" s="59" t="s">
        <v>26</v>
      </c>
      <c r="E67" s="10" t="e">
        <f>STDEV(C48:AF52)</f>
        <v>#DIV/0!</v>
      </c>
    </row>
    <row r="68" spans="2:5">
      <c r="B68" s="10" t="s">
        <v>24</v>
      </c>
      <c r="C68" s="58" t="e">
        <f>C67-0.577*C69</f>
        <v>#DIV/0!</v>
      </c>
    </row>
    <row r="69" spans="2:5">
      <c r="B69" s="10" t="s">
        <v>12</v>
      </c>
      <c r="C69" s="58" t="e">
        <f>2.115*(SUM(C54:AG54)/COUNTIF(C54:AG54,"&lt;&gt;0"))</f>
        <v>#DIV/0!</v>
      </c>
    </row>
    <row r="71" spans="2:5">
      <c r="B71" s="10" t="s">
        <v>27</v>
      </c>
    </row>
    <row r="73" spans="2:5">
      <c r="B73" s="10" t="s">
        <v>28</v>
      </c>
      <c r="C73" s="58" t="e">
        <f>E7/(6*E67)</f>
        <v>#DIV/0!</v>
      </c>
    </row>
    <row r="74" spans="2:5">
      <c r="B74" s="10" t="s">
        <v>29</v>
      </c>
      <c r="C74" s="58" t="e">
        <f>MIN((E4-C67)/(3*E67),(C67-E6)/(3*E67))</f>
        <v>#DIV/0!</v>
      </c>
    </row>
    <row r="75" spans="2:5">
      <c r="C75" s="10">
        <f>COUNTIF(C10:AG10,"&gt;0")</f>
        <v>0</v>
      </c>
    </row>
  </sheetData>
  <sheetProtection sheet="1" objects="1" scenarios="1" selectLockedCells="1"/>
  <mergeCells count="29">
    <mergeCell ref="L62:R63"/>
    <mergeCell ref="S62:V63"/>
    <mergeCell ref="W62:AB63"/>
    <mergeCell ref="AC62:AG63"/>
    <mergeCell ref="AS64:BC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D4:AG5"/>
    <mergeCell ref="B13:B14"/>
    <mergeCell ref="B15:B16"/>
    <mergeCell ref="B17:B18"/>
    <mergeCell ref="B19:B20"/>
    <mergeCell ref="Z4:AC5"/>
    <mergeCell ref="B21:B22"/>
    <mergeCell ref="I2:J3"/>
    <mergeCell ref="K2:L3"/>
    <mergeCell ref="M2:Q3"/>
    <mergeCell ref="R2:T2"/>
    <mergeCell ref="R3:T3"/>
  </mergeCells>
  <conditionalFormatting sqref="C48:AG52">
    <cfRule type="expression" dxfId="5" priority="1">
      <formula>(C48&gt;$G$4)*(C48&lt;&gt;0)</formula>
    </cfRule>
    <cfRule type="expression" dxfId="4" priority="2">
      <formula>(C48&lt;$G$6)*(C48&lt;&gt;0)</formula>
    </cfRule>
  </conditionalFormatting>
  <dataValidations count="3">
    <dataValidation type="whole" showInputMessage="1" showErrorMessage="1" errorTitle="Data" error="Digite apenas o dia entre 1 e 31" sqref="E10:AG10" xr:uid="{00000000-0002-0000-0B00-000000000000}">
      <formula1>1</formula1>
      <formula2>31</formula2>
    </dataValidation>
    <dataValidation type="whole" showErrorMessage="1" errorTitle="Data" error="Digite apenas o dia entre 1 e 31" sqref="C10:D10" xr:uid="{00000000-0002-0000-0B00-000001000000}">
      <formula1>1</formula1>
      <formula2>31</formula2>
    </dataValidation>
    <dataValidation type="list" showErrorMessage="1" promptTitle="Turno" prompt="Escolha" sqref="C11:AG11" xr:uid="{00000000-0002-0000-0B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0" orientation="landscape" r:id="rId1"/>
  <headerFooter alignWithMargins="0">
    <oddFooter>&amp;RSJCPIL-R 16-090-02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tabColor indexed="47"/>
    <pageSetUpPr fitToPage="1"/>
  </sheetPr>
  <dimension ref="B1:BS75"/>
  <sheetViews>
    <sheetView showZeros="0" topLeftCell="A6" zoomScaleNormal="100" workbookViewId="0">
      <selection activeCell="Y55" sqref="Y55"/>
    </sheetView>
  </sheetViews>
  <sheetFormatPr defaultColWidth="10.28515625" defaultRowHeight="12.75"/>
  <cols>
    <col min="1" max="1" width="1.5703125" style="10" customWidth="1"/>
    <col min="2" max="2" width="16.140625" style="10" customWidth="1"/>
    <col min="3" max="49" width="6.7109375" style="10" customWidth="1"/>
    <col min="50" max="50" width="3.140625" style="10" customWidth="1"/>
    <col min="51" max="71" width="6.7109375" style="10" customWidth="1"/>
    <col min="72" max="16384" width="10.28515625" style="10"/>
  </cols>
  <sheetData>
    <row r="1" spans="2:66" ht="21.75" thickBot="1">
      <c r="B1" s="80" t="s">
        <v>42</v>
      </c>
      <c r="C1" s="81"/>
      <c r="D1" s="81"/>
      <c r="E1" s="81"/>
      <c r="F1" s="82"/>
      <c r="G1" s="82"/>
      <c r="H1" s="83"/>
      <c r="I1" s="104" t="s">
        <v>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3"/>
      <c r="BN1" s="11"/>
    </row>
    <row r="2" spans="2:66" s="12" customFormat="1" ht="19.5" customHeight="1">
      <c r="B2" s="84" t="s">
        <v>43</v>
      </c>
      <c r="C2" s="85"/>
      <c r="D2" s="86"/>
      <c r="E2" s="86"/>
      <c r="F2" s="87"/>
      <c r="G2" s="87"/>
      <c r="H2" s="88"/>
      <c r="I2" s="139" t="s">
        <v>0</v>
      </c>
      <c r="J2" s="140"/>
      <c r="K2" s="143" t="str">
        <f>'P1 - Esp. Lado'!K2:L3</f>
        <v>UM-3</v>
      </c>
      <c r="L2" s="144"/>
      <c r="M2" s="147" t="s">
        <v>53</v>
      </c>
      <c r="N2" s="148"/>
      <c r="O2" s="148"/>
      <c r="P2" s="148"/>
      <c r="Q2" s="149"/>
      <c r="R2" s="153" t="s">
        <v>1</v>
      </c>
      <c r="S2" s="154"/>
      <c r="T2" s="155"/>
      <c r="U2" s="13" t="s">
        <v>40</v>
      </c>
      <c r="V2" s="14"/>
      <c r="W2" s="14"/>
      <c r="X2" s="14"/>
      <c r="Y2" s="14"/>
      <c r="Z2" s="15"/>
      <c r="AA2" s="15"/>
      <c r="AB2" s="15"/>
      <c r="AC2" s="15"/>
      <c r="AD2" s="15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90"/>
    </row>
    <row r="3" spans="2:66" ht="16.899999999999999" customHeight="1" thickBot="1">
      <c r="B3" s="64"/>
      <c r="I3" s="141"/>
      <c r="J3" s="142"/>
      <c r="K3" s="145"/>
      <c r="L3" s="146"/>
      <c r="M3" s="150"/>
      <c r="N3" s="151"/>
      <c r="O3" s="151"/>
      <c r="P3" s="151"/>
      <c r="Q3" s="152"/>
      <c r="R3" s="156" t="s">
        <v>2</v>
      </c>
      <c r="S3" s="157"/>
      <c r="T3" s="158"/>
      <c r="U3" s="16" t="s">
        <v>38</v>
      </c>
      <c r="V3" s="17"/>
      <c r="W3" s="17"/>
      <c r="X3" s="17"/>
      <c r="Y3" s="17"/>
      <c r="Z3" s="17"/>
      <c r="AA3" s="17"/>
      <c r="AB3" s="17"/>
      <c r="AC3" s="17"/>
      <c r="AD3" s="17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2"/>
    </row>
    <row r="4" spans="2:66" s="23" customFormat="1" ht="16.899999999999999" customHeight="1" thickTop="1">
      <c r="B4" s="65" t="s">
        <v>3</v>
      </c>
      <c r="C4" s="18"/>
      <c r="D4" s="19" t="s">
        <v>4</v>
      </c>
      <c r="E4" s="20">
        <f>E5+E7/2</f>
        <v>44.7</v>
      </c>
      <c r="F4" s="21" t="s">
        <v>34</v>
      </c>
      <c r="G4" s="22">
        <f>G5+G7/2</f>
        <v>44.65</v>
      </c>
      <c r="H4" s="107"/>
      <c r="I4" s="108"/>
      <c r="Z4" s="164" t="str">
        <f ca="1">'P1 - Esp. Lado'!$Z$4:$AC$5</f>
        <v>MÊS: 03</v>
      </c>
      <c r="AA4" s="159"/>
      <c r="AB4" s="159"/>
      <c r="AC4" s="159"/>
      <c r="AD4" s="159" t="str">
        <f ca="1">'P1 - Esp. Lado'!$AD$4:$AG$5</f>
        <v>ANO: 2022</v>
      </c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60"/>
    </row>
    <row r="5" spans="2:66" s="23" customFormat="1" ht="16.899999999999999" customHeight="1" thickBot="1">
      <c r="B5" s="66" t="str">
        <f>'P1 - Esp. Lado'!B5</f>
        <v>SJCPIL-I 16-013-XX</v>
      </c>
      <c r="C5" s="24" t="s">
        <v>5</v>
      </c>
      <c r="D5" s="25" t="s">
        <v>6</v>
      </c>
      <c r="E5" s="26">
        <f>G5</f>
        <v>44.5</v>
      </c>
      <c r="F5" s="27" t="s">
        <v>36</v>
      </c>
      <c r="G5" s="28">
        <v>44.5</v>
      </c>
      <c r="H5" s="107"/>
      <c r="I5" s="23" t="s">
        <v>33</v>
      </c>
      <c r="R5" s="23" t="s">
        <v>7</v>
      </c>
      <c r="Z5" s="165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2"/>
    </row>
    <row r="6" spans="2:66" s="23" customFormat="1" ht="16.899999999999999" customHeight="1">
      <c r="B6" s="67" t="s">
        <v>8</v>
      </c>
      <c r="C6" s="29"/>
      <c r="D6" s="25" t="s">
        <v>9</v>
      </c>
      <c r="E6" s="26">
        <f>E5-E7/2</f>
        <v>44.3</v>
      </c>
      <c r="F6" s="27" t="s">
        <v>35</v>
      </c>
      <c r="G6" s="28">
        <f>G5-G7/2</f>
        <v>44.35</v>
      </c>
      <c r="H6" s="107"/>
      <c r="I6" s="23" t="s">
        <v>10</v>
      </c>
      <c r="R6" s="23" t="s">
        <v>11</v>
      </c>
      <c r="AC6" s="68"/>
      <c r="AD6" s="68"/>
      <c r="AW6" s="69"/>
    </row>
    <row r="7" spans="2:66" s="23" customFormat="1" ht="16.899999999999999" customHeight="1" thickBot="1">
      <c r="B7" s="70"/>
      <c r="C7" s="71" t="s">
        <v>12</v>
      </c>
      <c r="D7" s="75" t="s">
        <v>4</v>
      </c>
      <c r="E7" s="76">
        <v>0.4</v>
      </c>
      <c r="F7" s="77" t="s">
        <v>34</v>
      </c>
      <c r="G7" s="78">
        <v>0.3</v>
      </c>
      <c r="H7" s="113"/>
      <c r="I7" s="72" t="s">
        <v>13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3"/>
      <c r="AD7" s="73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4"/>
    </row>
    <row r="8" spans="2:66" s="23" customFormat="1" ht="4.5" customHeight="1" thickBot="1"/>
    <row r="9" spans="2:66" s="31" customFormat="1">
      <c r="B9" s="30" t="s">
        <v>14</v>
      </c>
      <c r="C9" s="60">
        <v>1</v>
      </c>
      <c r="D9" s="60">
        <v>2</v>
      </c>
      <c r="E9" s="60">
        <v>3</v>
      </c>
      <c r="F9" s="60">
        <v>4</v>
      </c>
      <c r="G9" s="60">
        <v>5</v>
      </c>
      <c r="H9" s="60">
        <v>6</v>
      </c>
      <c r="I9" s="60">
        <v>7</v>
      </c>
      <c r="J9" s="60">
        <v>8</v>
      </c>
      <c r="K9" s="60">
        <v>9</v>
      </c>
      <c r="L9" s="60">
        <v>10</v>
      </c>
      <c r="M9" s="60">
        <v>11</v>
      </c>
      <c r="N9" s="60">
        <v>12</v>
      </c>
      <c r="O9" s="60">
        <v>13</v>
      </c>
      <c r="P9" s="60">
        <v>14</v>
      </c>
      <c r="Q9" s="60">
        <v>15</v>
      </c>
      <c r="R9" s="60">
        <v>16</v>
      </c>
      <c r="S9" s="60">
        <v>17</v>
      </c>
      <c r="T9" s="60">
        <v>18</v>
      </c>
      <c r="U9" s="60">
        <v>19</v>
      </c>
      <c r="V9" s="60">
        <v>20</v>
      </c>
      <c r="W9" s="60">
        <v>21</v>
      </c>
      <c r="X9" s="60">
        <v>22</v>
      </c>
      <c r="Y9" s="60">
        <v>23</v>
      </c>
      <c r="Z9" s="60">
        <v>24</v>
      </c>
      <c r="AA9" s="60">
        <v>25</v>
      </c>
      <c r="AB9" s="60">
        <v>26</v>
      </c>
      <c r="AC9" s="60">
        <v>27</v>
      </c>
      <c r="AD9" s="60">
        <v>28</v>
      </c>
      <c r="AE9" s="60">
        <v>29</v>
      </c>
      <c r="AF9" s="60">
        <v>30</v>
      </c>
      <c r="AG9" s="60">
        <v>31</v>
      </c>
      <c r="AH9" s="60">
        <v>32</v>
      </c>
      <c r="AI9" s="60">
        <v>33</v>
      </c>
      <c r="AJ9" s="60">
        <v>34</v>
      </c>
      <c r="AK9" s="60">
        <v>35</v>
      </c>
      <c r="AL9" s="60">
        <v>36</v>
      </c>
      <c r="AM9" s="60">
        <v>37</v>
      </c>
      <c r="AN9" s="60">
        <v>38</v>
      </c>
      <c r="AO9" s="60">
        <v>39</v>
      </c>
      <c r="AP9" s="60">
        <v>40</v>
      </c>
      <c r="AQ9" s="60">
        <v>41</v>
      </c>
      <c r="AR9" s="60">
        <v>42</v>
      </c>
      <c r="AS9" s="60">
        <v>43</v>
      </c>
      <c r="AT9" s="60">
        <v>44</v>
      </c>
      <c r="AU9" s="60">
        <v>45</v>
      </c>
      <c r="AV9" s="60">
        <v>46</v>
      </c>
      <c r="AW9" s="61">
        <v>47</v>
      </c>
    </row>
    <row r="10" spans="2:66" s="31" customFormat="1" ht="14.1" customHeight="1">
      <c r="B10" s="32" t="s">
        <v>15</v>
      </c>
      <c r="C10" s="114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6"/>
    </row>
    <row r="11" spans="2:66" s="31" customFormat="1" ht="14.1" customHeight="1">
      <c r="B11" s="33" t="s">
        <v>37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6"/>
    </row>
    <row r="12" spans="2:66" s="31" customFormat="1" ht="12" customHeight="1">
      <c r="B12" s="34"/>
      <c r="AW12" s="35"/>
    </row>
    <row r="13" spans="2:66" s="31" customFormat="1" ht="12" customHeight="1">
      <c r="B13" s="163"/>
      <c r="AW13" s="35"/>
    </row>
    <row r="14" spans="2:66" s="31" customFormat="1" ht="12" customHeight="1">
      <c r="B14" s="163"/>
      <c r="AW14" s="35"/>
    </row>
    <row r="15" spans="2:66" s="31" customFormat="1" ht="12" customHeight="1">
      <c r="B15" s="138"/>
      <c r="AW15" s="35"/>
    </row>
    <row r="16" spans="2:66" s="31" customFormat="1" ht="12" customHeight="1">
      <c r="B16" s="138"/>
      <c r="AW16" s="35"/>
    </row>
    <row r="17" spans="2:49" s="31" customFormat="1" ht="12" customHeight="1">
      <c r="B17" s="138"/>
      <c r="AW17" s="35"/>
    </row>
    <row r="18" spans="2:49" s="31" customFormat="1" ht="12" customHeight="1">
      <c r="B18" s="138"/>
      <c r="AW18" s="35"/>
    </row>
    <row r="19" spans="2:49" s="31" customFormat="1" ht="12" customHeight="1">
      <c r="B19" s="138"/>
      <c r="AW19" s="35"/>
    </row>
    <row r="20" spans="2:49" s="31" customFormat="1" ht="12" customHeight="1">
      <c r="B20" s="138"/>
      <c r="AW20" s="35"/>
    </row>
    <row r="21" spans="2:49" s="31" customFormat="1" ht="12" customHeight="1">
      <c r="B21" s="138"/>
      <c r="AW21" s="35"/>
    </row>
    <row r="22" spans="2:49" s="31" customFormat="1" ht="12" customHeight="1">
      <c r="B22" s="138"/>
      <c r="AW22" s="35"/>
    </row>
    <row r="23" spans="2:49" s="31" customFormat="1" ht="12" customHeight="1">
      <c r="B23" s="163"/>
      <c r="AW23" s="35"/>
    </row>
    <row r="24" spans="2:49" s="31" customFormat="1" ht="12" customHeight="1">
      <c r="B24" s="163"/>
      <c r="AW24" s="35"/>
    </row>
    <row r="25" spans="2:49" s="31" customFormat="1" ht="12" customHeight="1">
      <c r="B25" s="138"/>
      <c r="AW25" s="35"/>
    </row>
    <row r="26" spans="2:49" s="31" customFormat="1" ht="12" customHeight="1">
      <c r="B26" s="138"/>
      <c r="AW26" s="35"/>
    </row>
    <row r="27" spans="2:49" s="31" customFormat="1" ht="12" customHeight="1">
      <c r="B27" s="138"/>
      <c r="AW27" s="35"/>
    </row>
    <row r="28" spans="2:49" s="31" customFormat="1" ht="12" customHeight="1">
      <c r="B28" s="138"/>
      <c r="AW28" s="35"/>
    </row>
    <row r="29" spans="2:49" s="31" customFormat="1" ht="12" customHeight="1">
      <c r="B29" s="138"/>
      <c r="AW29" s="35"/>
    </row>
    <row r="30" spans="2:49" s="31" customFormat="1" ht="12" customHeight="1">
      <c r="B30" s="138"/>
      <c r="AW30" s="35"/>
    </row>
    <row r="31" spans="2:49" s="31" customFormat="1" ht="12" customHeight="1">
      <c r="B31" s="138"/>
      <c r="AW31" s="35"/>
    </row>
    <row r="32" spans="2:49" s="31" customFormat="1" ht="12" customHeight="1">
      <c r="B32" s="138"/>
      <c r="AW32" s="35"/>
    </row>
    <row r="33" spans="2:49" s="31" customFormat="1" ht="12" customHeight="1">
      <c r="B33" s="163"/>
      <c r="AW33" s="35"/>
    </row>
    <row r="34" spans="2:49" s="31" customFormat="1" ht="12" customHeight="1">
      <c r="B34" s="163"/>
      <c r="AW34" s="35"/>
    </row>
    <row r="35" spans="2:49" s="31" customFormat="1" ht="12" customHeight="1" thickBot="1">
      <c r="B35" s="36"/>
      <c r="AW35" s="35"/>
    </row>
    <row r="36" spans="2:49" s="31" customFormat="1" ht="12" customHeight="1">
      <c r="B36" s="17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8"/>
    </row>
    <row r="37" spans="2:49" s="31" customFormat="1" ht="12" customHeight="1">
      <c r="B37" s="163"/>
      <c r="AW37" s="35"/>
    </row>
    <row r="38" spans="2:49" s="31" customFormat="1" ht="12" customHeight="1">
      <c r="B38" s="79"/>
      <c r="AW38" s="35"/>
    </row>
    <row r="39" spans="2:49" s="31" customFormat="1" ht="12" customHeight="1">
      <c r="B39" s="79"/>
      <c r="AW39" s="35"/>
    </row>
    <row r="40" spans="2:49" s="31" customFormat="1" ht="12" customHeight="1">
      <c r="B40" s="79"/>
      <c r="AW40" s="35"/>
    </row>
    <row r="41" spans="2:49" s="31" customFormat="1" ht="12" customHeight="1">
      <c r="B41" s="163"/>
      <c r="AW41" s="35"/>
    </row>
    <row r="42" spans="2:49" s="31" customFormat="1" ht="12" customHeight="1">
      <c r="B42" s="163"/>
      <c r="AW42" s="35"/>
    </row>
    <row r="43" spans="2:49" s="31" customFormat="1" ht="12" customHeight="1">
      <c r="B43" s="79"/>
      <c r="AW43" s="35"/>
    </row>
    <row r="44" spans="2:49" s="31" customFormat="1" ht="12" customHeight="1">
      <c r="B44" s="79"/>
      <c r="AW44" s="35"/>
    </row>
    <row r="45" spans="2:49" s="31" customFormat="1" ht="12" customHeight="1">
      <c r="B45" s="79"/>
      <c r="AW45" s="35"/>
    </row>
    <row r="46" spans="2:49" s="31" customFormat="1" ht="12" customHeight="1" thickBot="1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1"/>
    </row>
    <row r="47" spans="2:49" s="31" customFormat="1" ht="6" customHeight="1">
      <c r="B47" s="93"/>
      <c r="AW47" s="35"/>
    </row>
    <row r="48" spans="2:49" s="42" customFormat="1" ht="15" customHeight="1">
      <c r="B48" s="94">
        <v>1</v>
      </c>
      <c r="C48" s="95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7"/>
    </row>
    <row r="49" spans="2:71" s="42" customFormat="1" ht="15" customHeight="1">
      <c r="B49" s="43">
        <v>2</v>
      </c>
      <c r="C49" s="7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9"/>
    </row>
    <row r="50" spans="2:71" s="42" customFormat="1" ht="15" customHeight="1">
      <c r="B50" s="43">
        <v>3</v>
      </c>
      <c r="C50" s="7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9"/>
    </row>
    <row r="51" spans="2:71" s="42" customFormat="1" ht="15" customHeight="1">
      <c r="B51" s="43">
        <v>4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9"/>
    </row>
    <row r="52" spans="2:71" s="42" customFormat="1" ht="15" customHeight="1">
      <c r="B52" s="47">
        <v>5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9"/>
    </row>
    <row r="53" spans="2:71" s="42" customFormat="1" ht="15" customHeight="1">
      <c r="B53" s="47" t="s">
        <v>16</v>
      </c>
      <c r="C53" s="44" t="str">
        <f t="shared" ref="C53:AE53" si="0">IF(ISERR(AVERAGE(C48:C52))," ",AVERAGE(C48:C52))</f>
        <v xml:space="preserve"> </v>
      </c>
      <c r="D53" s="45" t="str">
        <f t="shared" si="0"/>
        <v xml:space="preserve"> </v>
      </c>
      <c r="E53" s="45" t="str">
        <f t="shared" si="0"/>
        <v xml:space="preserve"> </v>
      </c>
      <c r="F53" s="45" t="str">
        <f t="shared" si="0"/>
        <v xml:space="preserve"> </v>
      </c>
      <c r="G53" s="45" t="str">
        <f t="shared" si="0"/>
        <v xml:space="preserve"> </v>
      </c>
      <c r="H53" s="45" t="str">
        <f t="shared" si="0"/>
        <v xml:space="preserve"> </v>
      </c>
      <c r="I53" s="45" t="str">
        <f t="shared" si="0"/>
        <v xml:space="preserve"> </v>
      </c>
      <c r="J53" s="45" t="str">
        <f t="shared" si="0"/>
        <v xml:space="preserve"> </v>
      </c>
      <c r="K53" s="45" t="str">
        <f t="shared" si="0"/>
        <v xml:space="preserve"> </v>
      </c>
      <c r="L53" s="45" t="str">
        <f t="shared" si="0"/>
        <v xml:space="preserve"> </v>
      </c>
      <c r="M53" s="45" t="str">
        <f t="shared" si="0"/>
        <v xml:space="preserve"> </v>
      </c>
      <c r="N53" s="45" t="str">
        <f t="shared" si="0"/>
        <v xml:space="preserve"> </v>
      </c>
      <c r="O53" s="45" t="str">
        <f t="shared" si="0"/>
        <v xml:space="preserve"> </v>
      </c>
      <c r="P53" s="45" t="str">
        <f t="shared" si="0"/>
        <v xml:space="preserve"> </v>
      </c>
      <c r="Q53" s="45" t="str">
        <f t="shared" si="0"/>
        <v xml:space="preserve"> </v>
      </c>
      <c r="R53" s="45" t="str">
        <f t="shared" si="0"/>
        <v xml:space="preserve"> </v>
      </c>
      <c r="S53" s="45" t="str">
        <f t="shared" si="0"/>
        <v xml:space="preserve"> </v>
      </c>
      <c r="T53" s="45" t="str">
        <f t="shared" si="0"/>
        <v xml:space="preserve"> </v>
      </c>
      <c r="U53" s="45" t="str">
        <f t="shared" si="0"/>
        <v xml:space="preserve"> </v>
      </c>
      <c r="V53" s="45" t="str">
        <f t="shared" si="0"/>
        <v xml:space="preserve"> </v>
      </c>
      <c r="W53" s="45" t="str">
        <f t="shared" si="0"/>
        <v xml:space="preserve"> </v>
      </c>
      <c r="X53" s="45" t="str">
        <f t="shared" si="0"/>
        <v xml:space="preserve"> </v>
      </c>
      <c r="Y53" s="45" t="str">
        <f t="shared" si="0"/>
        <v xml:space="preserve"> </v>
      </c>
      <c r="Z53" s="45" t="str">
        <f t="shared" si="0"/>
        <v xml:space="preserve"> </v>
      </c>
      <c r="AA53" s="45" t="str">
        <f t="shared" si="0"/>
        <v xml:space="preserve"> </v>
      </c>
      <c r="AB53" s="45" t="str">
        <f t="shared" si="0"/>
        <v xml:space="preserve"> </v>
      </c>
      <c r="AC53" s="45" t="str">
        <f t="shared" si="0"/>
        <v xml:space="preserve"> </v>
      </c>
      <c r="AD53" s="45" t="str">
        <f t="shared" si="0"/>
        <v xml:space="preserve"> </v>
      </c>
      <c r="AE53" s="45" t="str">
        <f t="shared" si="0"/>
        <v xml:space="preserve"> </v>
      </c>
      <c r="AF53" s="45" t="str">
        <f t="shared" ref="AF53:AW53" si="1">IF(ISERR(AVERAGE(AF48:AF52))," ",AVERAGE(AF48:AF52))</f>
        <v xml:space="preserve"> </v>
      </c>
      <c r="AG53" s="45" t="str">
        <f t="shared" si="1"/>
        <v xml:space="preserve"> </v>
      </c>
      <c r="AH53" s="45" t="str">
        <f t="shared" si="1"/>
        <v xml:space="preserve"> </v>
      </c>
      <c r="AI53" s="45" t="str">
        <f t="shared" si="1"/>
        <v xml:space="preserve"> </v>
      </c>
      <c r="AJ53" s="45" t="str">
        <f t="shared" si="1"/>
        <v xml:space="preserve"> </v>
      </c>
      <c r="AK53" s="45" t="str">
        <f t="shared" si="1"/>
        <v xml:space="preserve"> </v>
      </c>
      <c r="AL53" s="45" t="str">
        <f t="shared" si="1"/>
        <v xml:space="preserve"> </v>
      </c>
      <c r="AM53" s="45" t="str">
        <f t="shared" si="1"/>
        <v xml:space="preserve"> </v>
      </c>
      <c r="AN53" s="45" t="str">
        <f t="shared" si="1"/>
        <v xml:space="preserve"> </v>
      </c>
      <c r="AO53" s="45" t="str">
        <f t="shared" si="1"/>
        <v xml:space="preserve"> </v>
      </c>
      <c r="AP53" s="45" t="str">
        <f t="shared" si="1"/>
        <v xml:space="preserve"> </v>
      </c>
      <c r="AQ53" s="45" t="str">
        <f t="shared" si="1"/>
        <v xml:space="preserve"> </v>
      </c>
      <c r="AR53" s="45" t="str">
        <f t="shared" si="1"/>
        <v xml:space="preserve"> </v>
      </c>
      <c r="AS53" s="45" t="str">
        <f t="shared" si="1"/>
        <v xml:space="preserve"> </v>
      </c>
      <c r="AT53" s="45" t="str">
        <f t="shared" si="1"/>
        <v xml:space="preserve"> </v>
      </c>
      <c r="AU53" s="45" t="str">
        <f t="shared" si="1"/>
        <v xml:space="preserve"> </v>
      </c>
      <c r="AV53" s="45" t="str">
        <f t="shared" si="1"/>
        <v xml:space="preserve"> </v>
      </c>
      <c r="AW53" s="46" t="str">
        <f t="shared" si="1"/>
        <v xml:space="preserve"> </v>
      </c>
    </row>
    <row r="54" spans="2:71" s="42" customFormat="1" ht="15" customHeight="1">
      <c r="B54" s="47" t="s">
        <v>12</v>
      </c>
      <c r="C54" s="48">
        <f t="shared" ref="C54:AE54" si="2">MAX(C48:C52)-MIN(C48:C52)</f>
        <v>0</v>
      </c>
      <c r="D54" s="49">
        <f t="shared" si="2"/>
        <v>0</v>
      </c>
      <c r="E54" s="49">
        <f t="shared" si="2"/>
        <v>0</v>
      </c>
      <c r="F54" s="49">
        <f t="shared" si="2"/>
        <v>0</v>
      </c>
      <c r="G54" s="49">
        <f t="shared" si="2"/>
        <v>0</v>
      </c>
      <c r="H54" s="49">
        <f t="shared" si="2"/>
        <v>0</v>
      </c>
      <c r="I54" s="49">
        <f t="shared" si="2"/>
        <v>0</v>
      </c>
      <c r="J54" s="49">
        <f t="shared" si="2"/>
        <v>0</v>
      </c>
      <c r="K54" s="49">
        <f t="shared" si="2"/>
        <v>0</v>
      </c>
      <c r="L54" s="49">
        <f t="shared" si="2"/>
        <v>0</v>
      </c>
      <c r="M54" s="49">
        <f t="shared" si="2"/>
        <v>0</v>
      </c>
      <c r="N54" s="49">
        <f t="shared" si="2"/>
        <v>0</v>
      </c>
      <c r="O54" s="49">
        <f t="shared" si="2"/>
        <v>0</v>
      </c>
      <c r="P54" s="49">
        <f t="shared" si="2"/>
        <v>0</v>
      </c>
      <c r="Q54" s="49">
        <f t="shared" si="2"/>
        <v>0</v>
      </c>
      <c r="R54" s="115">
        <f t="shared" si="2"/>
        <v>0</v>
      </c>
      <c r="S54" s="115">
        <f t="shared" si="2"/>
        <v>0</v>
      </c>
      <c r="T54" s="115">
        <f t="shared" si="2"/>
        <v>0</v>
      </c>
      <c r="U54" s="115">
        <f t="shared" si="2"/>
        <v>0</v>
      </c>
      <c r="V54" s="115">
        <f t="shared" si="2"/>
        <v>0</v>
      </c>
      <c r="W54" s="115">
        <f t="shared" si="2"/>
        <v>0</v>
      </c>
      <c r="X54" s="115">
        <f t="shared" si="2"/>
        <v>0</v>
      </c>
      <c r="Y54" s="115">
        <f t="shared" si="2"/>
        <v>0</v>
      </c>
      <c r="Z54" s="115">
        <f t="shared" si="2"/>
        <v>0</v>
      </c>
      <c r="AA54" s="115">
        <f t="shared" si="2"/>
        <v>0</v>
      </c>
      <c r="AB54" s="115">
        <f t="shared" si="2"/>
        <v>0</v>
      </c>
      <c r="AC54" s="115">
        <f t="shared" si="2"/>
        <v>0</v>
      </c>
      <c r="AD54" s="115">
        <f t="shared" si="2"/>
        <v>0</v>
      </c>
      <c r="AE54" s="115">
        <f t="shared" si="2"/>
        <v>0</v>
      </c>
      <c r="AF54" s="115">
        <f t="shared" ref="AF54:AW54" si="3">MAX(AF48:AF52)-MIN(AF48:AF52)</f>
        <v>0</v>
      </c>
      <c r="AG54" s="115">
        <f t="shared" si="3"/>
        <v>0</v>
      </c>
      <c r="AH54" s="115">
        <f t="shared" si="3"/>
        <v>0</v>
      </c>
      <c r="AI54" s="115">
        <f t="shared" si="3"/>
        <v>0</v>
      </c>
      <c r="AJ54" s="115">
        <f t="shared" si="3"/>
        <v>0</v>
      </c>
      <c r="AK54" s="115">
        <f t="shared" si="3"/>
        <v>0</v>
      </c>
      <c r="AL54" s="115">
        <f t="shared" si="3"/>
        <v>0</v>
      </c>
      <c r="AM54" s="115">
        <f t="shared" si="3"/>
        <v>0</v>
      </c>
      <c r="AN54" s="115">
        <f t="shared" si="3"/>
        <v>0</v>
      </c>
      <c r="AO54" s="115">
        <f t="shared" si="3"/>
        <v>0</v>
      </c>
      <c r="AP54" s="115">
        <f t="shared" si="3"/>
        <v>0</v>
      </c>
      <c r="AQ54" s="115">
        <f t="shared" si="3"/>
        <v>0</v>
      </c>
      <c r="AR54" s="115">
        <f t="shared" si="3"/>
        <v>0</v>
      </c>
      <c r="AS54" s="115">
        <f t="shared" si="3"/>
        <v>0</v>
      </c>
      <c r="AT54" s="115">
        <f t="shared" si="3"/>
        <v>0</v>
      </c>
      <c r="AU54" s="115">
        <f t="shared" si="3"/>
        <v>0</v>
      </c>
      <c r="AV54" s="115">
        <f t="shared" si="3"/>
        <v>0</v>
      </c>
      <c r="AW54" s="116">
        <f t="shared" si="3"/>
        <v>0</v>
      </c>
    </row>
    <row r="55" spans="2:71" s="42" customFormat="1" ht="20.100000000000001" customHeight="1">
      <c r="B55" s="50" t="s">
        <v>17</v>
      </c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8"/>
      <c r="AH55" s="118"/>
      <c r="AI55" s="118"/>
      <c r="AJ55" s="118"/>
      <c r="AK55" s="118"/>
      <c r="AL55" s="118"/>
      <c r="AM55" s="118"/>
      <c r="AN55" s="118"/>
      <c r="AO55" s="118"/>
      <c r="AP55" s="118"/>
      <c r="AQ55" s="118"/>
      <c r="AR55" s="118"/>
      <c r="AS55" s="118"/>
      <c r="AT55" s="118"/>
      <c r="AU55" s="118"/>
      <c r="AV55" s="118"/>
      <c r="AW55" s="119"/>
    </row>
    <row r="56" spans="2:71" s="42" customFormat="1" ht="26.25" thickBot="1">
      <c r="B56" s="136" t="str">
        <f>'P1 - Esp. Lado'!B56</f>
        <v>Visto do Líder / Sublíder</v>
      </c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2"/>
    </row>
    <row r="57" spans="2:71" s="31" customFormat="1" ht="20.100000000000001" customHeight="1">
      <c r="B57" s="171" t="s">
        <v>18</v>
      </c>
      <c r="C57" s="172"/>
      <c r="D57" s="172"/>
      <c r="E57" s="173"/>
      <c r="F57" s="51" t="s">
        <v>19</v>
      </c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8"/>
    </row>
    <row r="58" spans="2:71" s="31" customFormat="1" ht="20.100000000000001" customHeight="1">
      <c r="B58" s="52"/>
      <c r="C58" s="23" t="s">
        <v>20</v>
      </c>
      <c r="D58" s="23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2"/>
    </row>
    <row r="59" spans="2:71" s="31" customFormat="1" ht="20.100000000000001" customHeight="1">
      <c r="B59" s="174" t="s">
        <v>21</v>
      </c>
      <c r="C59" s="175"/>
      <c r="D59" s="175"/>
      <c r="E59" s="35"/>
      <c r="F59" s="1"/>
      <c r="G59" s="1"/>
      <c r="H59" s="1"/>
      <c r="I59" s="1"/>
      <c r="J59" s="1"/>
      <c r="K59" s="1"/>
      <c r="L59" s="1"/>
      <c r="M59" s="1"/>
      <c r="N59" s="1"/>
      <c r="O59" s="123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2"/>
    </row>
    <row r="60" spans="2:71" s="31" customFormat="1" ht="20.100000000000001" customHeight="1" thickBot="1">
      <c r="B60" s="53"/>
      <c r="C60" s="54" t="s">
        <v>16</v>
      </c>
      <c r="D60" s="40"/>
      <c r="E60" s="41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4"/>
    </row>
    <row r="61" spans="2:71" s="31" customFormat="1" ht="7.5" customHeight="1"/>
    <row r="62" spans="2:71" s="31" customFormat="1" ht="15.75">
      <c r="B62" s="176" t="s">
        <v>31</v>
      </c>
      <c r="C62" s="177"/>
      <c r="D62" s="177"/>
      <c r="E62" s="177"/>
      <c r="F62" s="177"/>
      <c r="G62" s="166" t="s">
        <v>22</v>
      </c>
      <c r="H62" s="166"/>
      <c r="I62" s="166"/>
      <c r="J62" s="166"/>
      <c r="K62" s="167"/>
      <c r="L62" s="166" t="s">
        <v>30</v>
      </c>
      <c r="M62" s="166"/>
      <c r="N62" s="166"/>
      <c r="O62" s="166"/>
      <c r="P62" s="166"/>
      <c r="Q62" s="166"/>
      <c r="R62" s="166"/>
      <c r="S62" s="177" t="s">
        <v>32</v>
      </c>
      <c r="T62" s="177"/>
      <c r="U62" s="177"/>
      <c r="V62" s="177"/>
      <c r="W62" s="180" t="s">
        <v>46</v>
      </c>
      <c r="X62" s="177"/>
      <c r="Y62" s="177"/>
      <c r="Z62" s="177"/>
      <c r="AA62" s="177"/>
      <c r="AB62" s="177"/>
      <c r="AC62" s="177" t="s">
        <v>22</v>
      </c>
      <c r="AD62" s="177"/>
      <c r="AE62" s="177"/>
      <c r="AF62" s="177"/>
      <c r="AG62" s="177"/>
      <c r="AH62" s="177"/>
      <c r="AI62" s="177"/>
      <c r="AJ62" s="177"/>
      <c r="AK62" s="177"/>
      <c r="AL62" s="177"/>
      <c r="AM62" s="177"/>
      <c r="AN62" s="177"/>
      <c r="AO62" s="177"/>
      <c r="AP62" s="177"/>
      <c r="AQ62" s="177"/>
      <c r="AR62" s="177"/>
      <c r="AS62" s="177"/>
      <c r="AT62" s="177"/>
      <c r="AU62" s="177"/>
      <c r="AV62" s="177"/>
      <c r="AW62" s="182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  <c r="BN62" s="55"/>
      <c r="BO62" s="55"/>
      <c r="BP62" s="55"/>
      <c r="BQ62" s="55"/>
      <c r="BR62" s="55"/>
      <c r="BS62" s="55"/>
    </row>
    <row r="63" spans="2:71" s="31" customFormat="1" ht="15.75">
      <c r="B63" s="178"/>
      <c r="C63" s="179"/>
      <c r="D63" s="179"/>
      <c r="E63" s="179"/>
      <c r="F63" s="179"/>
      <c r="G63" s="168"/>
      <c r="H63" s="168"/>
      <c r="I63" s="168"/>
      <c r="J63" s="168"/>
      <c r="K63" s="169"/>
      <c r="L63" s="168"/>
      <c r="M63" s="168"/>
      <c r="N63" s="168"/>
      <c r="O63" s="168"/>
      <c r="P63" s="168"/>
      <c r="Q63" s="168"/>
      <c r="R63" s="168"/>
      <c r="S63" s="179"/>
      <c r="T63" s="179"/>
      <c r="U63" s="179"/>
      <c r="V63" s="179"/>
      <c r="W63" s="181"/>
      <c r="X63" s="179"/>
      <c r="Y63" s="179"/>
      <c r="Z63" s="179"/>
      <c r="AA63" s="179"/>
      <c r="AB63" s="179"/>
      <c r="AC63" s="179"/>
      <c r="AD63" s="179"/>
      <c r="AE63" s="179"/>
      <c r="AF63" s="179"/>
      <c r="AG63" s="179"/>
      <c r="AH63" s="179"/>
      <c r="AI63" s="179"/>
      <c r="AJ63" s="179"/>
      <c r="AK63" s="179"/>
      <c r="AL63" s="179"/>
      <c r="AM63" s="179"/>
      <c r="AN63" s="179"/>
      <c r="AO63" s="179"/>
      <c r="AP63" s="179"/>
      <c r="AQ63" s="179"/>
      <c r="AR63" s="179"/>
      <c r="AS63" s="179"/>
      <c r="AT63" s="179"/>
      <c r="AU63" s="179"/>
      <c r="AV63" s="179"/>
      <c r="AW63" s="183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</row>
    <row r="64" spans="2:71" ht="14.25">
      <c r="B64" s="56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6"/>
      <c r="BI64" s="184"/>
      <c r="BJ64" s="184"/>
      <c r="BK64" s="184"/>
      <c r="BL64" s="184"/>
      <c r="BM64" s="184"/>
      <c r="BN64" s="184"/>
      <c r="BO64" s="184"/>
      <c r="BP64" s="184"/>
      <c r="BQ64" s="184"/>
      <c r="BR64" s="184"/>
      <c r="BS64" s="184"/>
    </row>
    <row r="65" spans="2:5">
      <c r="B65" s="10" t="s">
        <v>25</v>
      </c>
    </row>
    <row r="66" spans="2:5">
      <c r="B66" s="10" t="s">
        <v>23</v>
      </c>
      <c r="C66" s="58" t="e">
        <f>AVERAGE(C53:AW53)+0.577*C69</f>
        <v>#DIV/0!</v>
      </c>
    </row>
    <row r="67" spans="2:5">
      <c r="B67" s="10" t="s">
        <v>5</v>
      </c>
      <c r="C67" s="58" t="e">
        <f>AVERAGE(C53:AW53)</f>
        <v>#DIV/0!</v>
      </c>
      <c r="D67" s="59" t="s">
        <v>26</v>
      </c>
      <c r="E67" s="10" t="e">
        <f>STDEV(C48:AV52)</f>
        <v>#DIV/0!</v>
      </c>
    </row>
    <row r="68" spans="2:5">
      <c r="B68" s="10" t="s">
        <v>24</v>
      </c>
      <c r="C68" s="58" t="e">
        <f>C67-0.577*C69</f>
        <v>#DIV/0!</v>
      </c>
    </row>
    <row r="69" spans="2:5">
      <c r="B69" s="10" t="s">
        <v>12</v>
      </c>
      <c r="C69" s="58" t="e">
        <f>2.115*(SUM(C54:AW54)/COUNTIF(C54:AW54,"&lt;&gt;0"))</f>
        <v>#DIV/0!</v>
      </c>
    </row>
    <row r="71" spans="2:5">
      <c r="B71" s="10" t="s">
        <v>27</v>
      </c>
    </row>
    <row r="73" spans="2:5">
      <c r="B73" s="10" t="s">
        <v>28</v>
      </c>
      <c r="C73" s="58" t="e">
        <f>E7/(6*E67)</f>
        <v>#DIV/0!</v>
      </c>
    </row>
    <row r="74" spans="2:5">
      <c r="B74" s="10" t="s">
        <v>29</v>
      </c>
      <c r="C74" s="58" t="e">
        <f>MIN((E4-C67)/(3*E67),(C67-E6)/(3*E67))</f>
        <v>#DIV/0!</v>
      </c>
    </row>
    <row r="75" spans="2:5">
      <c r="C75" s="10">
        <f>COUNTIF(C10:AW10,"&gt;0")</f>
        <v>0</v>
      </c>
    </row>
  </sheetData>
  <sheetProtection sheet="1" objects="1" scenarios="1" selectLockedCells="1"/>
  <mergeCells count="29">
    <mergeCell ref="L62:R63"/>
    <mergeCell ref="S62:V63"/>
    <mergeCell ref="W62:AB63"/>
    <mergeCell ref="AC62:AW63"/>
    <mergeCell ref="BI64:BS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D4:AW5"/>
    <mergeCell ref="B13:B14"/>
    <mergeCell ref="B15:B16"/>
    <mergeCell ref="B17:B18"/>
    <mergeCell ref="B19:B20"/>
    <mergeCell ref="Z4:AC5"/>
    <mergeCell ref="B21:B22"/>
    <mergeCell ref="I2:J3"/>
    <mergeCell ref="K2:L3"/>
    <mergeCell ref="M2:Q3"/>
    <mergeCell ref="R2:T2"/>
    <mergeCell ref="R3:T3"/>
  </mergeCells>
  <conditionalFormatting sqref="C48:AW52">
    <cfRule type="expression" dxfId="3" priority="1">
      <formula>(C48&gt;$G$4)*(C48&lt;&gt;0)</formula>
    </cfRule>
    <cfRule type="expression" dxfId="2" priority="2">
      <formula>(C48&lt;$G$6)*(C48&lt;&gt;0)</formula>
    </cfRule>
  </conditionalFormatting>
  <dataValidations count="3">
    <dataValidation type="whole" showErrorMessage="1" errorTitle="Data" error="Digite apenas o dia entre 1 e 31" sqref="C10:D10" xr:uid="{00000000-0002-0000-0C00-000000000000}">
      <formula1>1</formula1>
      <formula2>31</formula2>
    </dataValidation>
    <dataValidation type="whole" showInputMessage="1" showErrorMessage="1" errorTitle="Data" error="Digite apenas o dia entre 1 e 31" sqref="E10:AW10" xr:uid="{00000000-0002-0000-0C00-000001000000}">
      <formula1>1</formula1>
      <formula2>31</formula2>
    </dataValidation>
    <dataValidation type="list" showErrorMessage="1" promptTitle="Turno" prompt="Escolha" sqref="C11:AW11" xr:uid="{00000000-0002-0000-0C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43" orientation="landscape" r:id="rId1"/>
  <headerFooter alignWithMargins="0">
    <oddFooter>&amp;RSJCPIL-R 16-090-02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>
    <tabColor indexed="47"/>
    <pageSetUpPr fitToPage="1"/>
  </sheetPr>
  <dimension ref="B1:BS76"/>
  <sheetViews>
    <sheetView showZeros="0" tabSelected="1" topLeftCell="A12" zoomScaleNormal="100" workbookViewId="0">
      <selection activeCell="Y52" sqref="Y52"/>
    </sheetView>
  </sheetViews>
  <sheetFormatPr defaultColWidth="10.28515625" defaultRowHeight="12.75"/>
  <cols>
    <col min="1" max="1" width="1.5703125" style="10" customWidth="1"/>
    <col min="2" max="2" width="16.140625" style="10" customWidth="1"/>
    <col min="3" max="49" width="6.7109375" style="10" customWidth="1"/>
    <col min="50" max="50" width="3.140625" style="10" customWidth="1"/>
    <col min="51" max="71" width="6.7109375" style="10" customWidth="1"/>
    <col min="72" max="16384" width="10.28515625" style="10"/>
  </cols>
  <sheetData>
    <row r="1" spans="2:66" ht="21.75" thickBot="1">
      <c r="B1" s="80" t="s">
        <v>42</v>
      </c>
      <c r="C1" s="81"/>
      <c r="D1" s="81"/>
      <c r="E1" s="81"/>
      <c r="F1" s="82"/>
      <c r="G1" s="82"/>
      <c r="H1" s="83"/>
      <c r="I1" s="104" t="s">
        <v>52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3"/>
      <c r="BN1" s="11"/>
    </row>
    <row r="2" spans="2:66" s="12" customFormat="1" ht="19.5" customHeight="1">
      <c r="B2" s="84" t="s">
        <v>43</v>
      </c>
      <c r="C2" s="85"/>
      <c r="D2" s="86"/>
      <c r="E2" s="86"/>
      <c r="F2" s="87"/>
      <c r="G2" s="87"/>
      <c r="H2" s="88"/>
      <c r="I2" s="139" t="s">
        <v>0</v>
      </c>
      <c r="J2" s="140"/>
      <c r="K2" s="143" t="str">
        <f>'P1 - Esp. Lado'!K2:L3</f>
        <v>UM-3</v>
      </c>
      <c r="L2" s="144"/>
      <c r="M2" s="147" t="s">
        <v>53</v>
      </c>
      <c r="N2" s="148"/>
      <c r="O2" s="148"/>
      <c r="P2" s="148"/>
      <c r="Q2" s="149"/>
      <c r="R2" s="153" t="s">
        <v>1</v>
      </c>
      <c r="S2" s="154"/>
      <c r="T2" s="155"/>
      <c r="U2" s="13" t="s">
        <v>39</v>
      </c>
      <c r="V2" s="14"/>
      <c r="W2" s="14"/>
      <c r="X2" s="14"/>
      <c r="Y2" s="14"/>
      <c r="Z2" s="15"/>
      <c r="AA2" s="15"/>
      <c r="AB2" s="15"/>
      <c r="AC2" s="15"/>
      <c r="AD2" s="15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90"/>
    </row>
    <row r="3" spans="2:66" ht="16.899999999999999" customHeight="1" thickBot="1">
      <c r="B3" s="64"/>
      <c r="I3" s="141"/>
      <c r="J3" s="142"/>
      <c r="K3" s="145"/>
      <c r="L3" s="146"/>
      <c r="M3" s="150"/>
      <c r="N3" s="151"/>
      <c r="O3" s="151"/>
      <c r="P3" s="151"/>
      <c r="Q3" s="152"/>
      <c r="R3" s="156" t="s">
        <v>2</v>
      </c>
      <c r="S3" s="157"/>
      <c r="T3" s="158"/>
      <c r="U3" s="16" t="s">
        <v>38</v>
      </c>
      <c r="V3" s="17"/>
      <c r="W3" s="17"/>
      <c r="X3" s="17"/>
      <c r="Y3" s="17"/>
      <c r="Z3" s="17"/>
      <c r="AA3" s="17"/>
      <c r="AB3" s="17"/>
      <c r="AC3" s="17"/>
      <c r="AD3" s="17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91"/>
      <c r="AR3" s="91"/>
      <c r="AS3" s="91"/>
      <c r="AT3" s="91"/>
      <c r="AU3" s="91"/>
      <c r="AV3" s="91"/>
      <c r="AW3" s="92"/>
    </row>
    <row r="4" spans="2:66" s="23" customFormat="1" ht="16.899999999999999" customHeight="1" thickTop="1">
      <c r="B4" s="65" t="s">
        <v>3</v>
      </c>
      <c r="C4" s="18"/>
      <c r="D4" s="19" t="s">
        <v>4</v>
      </c>
      <c r="E4" s="20">
        <f>E5+E7/2</f>
        <v>44.7</v>
      </c>
      <c r="F4" s="21" t="s">
        <v>34</v>
      </c>
      <c r="G4" s="22">
        <f>G5+G7/2</f>
        <v>44.65</v>
      </c>
      <c r="H4" s="107"/>
      <c r="I4" s="108"/>
      <c r="Z4" s="164" t="str">
        <f ca="1">'P1 - Esp. Lado'!$Z$4:$AC$5</f>
        <v>MÊS: 03</v>
      </c>
      <c r="AA4" s="159"/>
      <c r="AB4" s="159"/>
      <c r="AC4" s="159"/>
      <c r="AD4" s="159" t="str">
        <f ca="1">'P1 - Esp. Lado'!$AD$4:$AG$5</f>
        <v>ANO: 2022</v>
      </c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60"/>
    </row>
    <row r="5" spans="2:66" s="23" customFormat="1" ht="16.899999999999999" customHeight="1" thickBot="1">
      <c r="B5" s="66" t="str">
        <f>'P1 - Esp. Lado'!B5</f>
        <v>SJCPIL-I 16-013-XX</v>
      </c>
      <c r="C5" s="24" t="s">
        <v>5</v>
      </c>
      <c r="D5" s="25" t="s">
        <v>6</v>
      </c>
      <c r="E5" s="26">
        <f>G5</f>
        <v>44.5</v>
      </c>
      <c r="F5" s="27" t="s">
        <v>36</v>
      </c>
      <c r="G5" s="28">
        <v>44.5</v>
      </c>
      <c r="H5" s="107"/>
      <c r="I5" s="23" t="s">
        <v>33</v>
      </c>
      <c r="R5" s="23" t="s">
        <v>7</v>
      </c>
      <c r="Z5" s="165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2"/>
    </row>
    <row r="6" spans="2:66" s="23" customFormat="1" ht="16.899999999999999" customHeight="1">
      <c r="B6" s="67" t="s">
        <v>8</v>
      </c>
      <c r="C6" s="29"/>
      <c r="D6" s="25" t="s">
        <v>9</v>
      </c>
      <c r="E6" s="26">
        <f>E5-E7/2</f>
        <v>44.3</v>
      </c>
      <c r="F6" s="27" t="s">
        <v>35</v>
      </c>
      <c r="G6" s="28">
        <f>G5-G7/2</f>
        <v>44.35</v>
      </c>
      <c r="H6" s="107"/>
      <c r="I6" s="23" t="s">
        <v>10</v>
      </c>
      <c r="R6" s="23" t="s">
        <v>11</v>
      </c>
      <c r="AC6" s="68"/>
      <c r="AD6" s="68"/>
      <c r="AW6" s="69"/>
    </row>
    <row r="7" spans="2:66" s="23" customFormat="1" ht="16.899999999999999" customHeight="1" thickBot="1">
      <c r="B7" s="70"/>
      <c r="C7" s="71" t="s">
        <v>12</v>
      </c>
      <c r="D7" s="75" t="s">
        <v>4</v>
      </c>
      <c r="E7" s="76">
        <v>0.4</v>
      </c>
      <c r="F7" s="77" t="s">
        <v>34</v>
      </c>
      <c r="G7" s="78">
        <v>0.3</v>
      </c>
      <c r="H7" s="113"/>
      <c r="I7" s="72" t="s">
        <v>13</v>
      </c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3"/>
      <c r="AD7" s="73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4"/>
    </row>
    <row r="8" spans="2:66" s="23" customFormat="1" ht="4.5" customHeight="1" thickBot="1"/>
    <row r="9" spans="2:66" s="31" customFormat="1">
      <c r="B9" s="30" t="s">
        <v>14</v>
      </c>
      <c r="C9" s="60">
        <v>1</v>
      </c>
      <c r="D9" s="60">
        <v>2</v>
      </c>
      <c r="E9" s="60">
        <v>3</v>
      </c>
      <c r="F9" s="60">
        <v>4</v>
      </c>
      <c r="G9" s="60">
        <v>5</v>
      </c>
      <c r="H9" s="60">
        <v>6</v>
      </c>
      <c r="I9" s="60">
        <v>7</v>
      </c>
      <c r="J9" s="60">
        <v>8</v>
      </c>
      <c r="K9" s="60">
        <v>9</v>
      </c>
      <c r="L9" s="60">
        <v>10</v>
      </c>
      <c r="M9" s="60">
        <v>11</v>
      </c>
      <c r="N9" s="60">
        <v>12</v>
      </c>
      <c r="O9" s="60">
        <v>13</v>
      </c>
      <c r="P9" s="60">
        <v>14</v>
      </c>
      <c r="Q9" s="60">
        <v>15</v>
      </c>
      <c r="R9" s="60">
        <v>16</v>
      </c>
      <c r="S9" s="60">
        <v>17</v>
      </c>
      <c r="T9" s="60">
        <v>18</v>
      </c>
      <c r="U9" s="60">
        <v>19</v>
      </c>
      <c r="V9" s="60">
        <v>20</v>
      </c>
      <c r="W9" s="60">
        <v>21</v>
      </c>
      <c r="X9" s="60">
        <v>22</v>
      </c>
      <c r="Y9" s="60">
        <v>23</v>
      </c>
      <c r="Z9" s="60">
        <v>24</v>
      </c>
      <c r="AA9" s="60">
        <v>25</v>
      </c>
      <c r="AB9" s="60">
        <v>26</v>
      </c>
      <c r="AC9" s="60">
        <v>27</v>
      </c>
      <c r="AD9" s="60">
        <v>28</v>
      </c>
      <c r="AE9" s="60">
        <v>29</v>
      </c>
      <c r="AF9" s="60">
        <v>30</v>
      </c>
      <c r="AG9" s="60">
        <v>31</v>
      </c>
      <c r="AH9" s="60">
        <v>32</v>
      </c>
      <c r="AI9" s="60">
        <v>33</v>
      </c>
      <c r="AJ9" s="60">
        <v>34</v>
      </c>
      <c r="AK9" s="60">
        <v>35</v>
      </c>
      <c r="AL9" s="60">
        <v>36</v>
      </c>
      <c r="AM9" s="60">
        <v>37</v>
      </c>
      <c r="AN9" s="60">
        <v>38</v>
      </c>
      <c r="AO9" s="60">
        <v>39</v>
      </c>
      <c r="AP9" s="60">
        <v>40</v>
      </c>
      <c r="AQ9" s="60">
        <v>41</v>
      </c>
      <c r="AR9" s="60">
        <v>42</v>
      </c>
      <c r="AS9" s="60">
        <v>43</v>
      </c>
      <c r="AT9" s="60">
        <v>44</v>
      </c>
      <c r="AU9" s="60">
        <v>45</v>
      </c>
      <c r="AV9" s="60">
        <v>46</v>
      </c>
      <c r="AW9" s="61">
        <v>47</v>
      </c>
    </row>
    <row r="10" spans="2:66" s="31" customFormat="1" ht="14.1" customHeight="1">
      <c r="B10" s="32" t="s">
        <v>15</v>
      </c>
      <c r="C10" s="114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6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6"/>
    </row>
    <row r="11" spans="2:66" s="31" customFormat="1" ht="14.1" customHeight="1">
      <c r="B11" s="33" t="s">
        <v>37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6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6"/>
    </row>
    <row r="12" spans="2:66" s="31" customFormat="1" ht="12" customHeight="1">
      <c r="B12" s="34"/>
      <c r="AW12" s="35"/>
    </row>
    <row r="13" spans="2:66" s="31" customFormat="1" ht="12" customHeight="1">
      <c r="B13" s="163"/>
      <c r="AW13" s="35"/>
    </row>
    <row r="14" spans="2:66" s="31" customFormat="1" ht="12" customHeight="1">
      <c r="B14" s="163"/>
      <c r="AW14" s="35"/>
    </row>
    <row r="15" spans="2:66" s="31" customFormat="1" ht="12" customHeight="1">
      <c r="B15" s="138"/>
      <c r="AW15" s="35"/>
    </row>
    <row r="16" spans="2:66" s="31" customFormat="1" ht="12" customHeight="1">
      <c r="B16" s="138"/>
      <c r="AW16" s="35"/>
    </row>
    <row r="17" spans="2:49" s="31" customFormat="1" ht="12" customHeight="1">
      <c r="B17" s="138"/>
      <c r="AW17" s="35"/>
    </row>
    <row r="18" spans="2:49" s="31" customFormat="1" ht="12" customHeight="1">
      <c r="B18" s="138"/>
      <c r="AW18" s="35"/>
    </row>
    <row r="19" spans="2:49" s="31" customFormat="1" ht="12" customHeight="1">
      <c r="B19" s="138"/>
      <c r="AW19" s="35"/>
    </row>
    <row r="20" spans="2:49" s="31" customFormat="1" ht="12" customHeight="1">
      <c r="B20" s="138"/>
      <c r="AW20" s="35"/>
    </row>
    <row r="21" spans="2:49" s="31" customFormat="1" ht="12" customHeight="1">
      <c r="B21" s="138"/>
      <c r="AW21" s="35"/>
    </row>
    <row r="22" spans="2:49" s="31" customFormat="1" ht="12" customHeight="1">
      <c r="B22" s="138"/>
      <c r="AW22" s="35"/>
    </row>
    <row r="23" spans="2:49" s="31" customFormat="1" ht="12" customHeight="1">
      <c r="B23" s="163"/>
      <c r="AW23" s="35"/>
    </row>
    <row r="24" spans="2:49" s="31" customFormat="1" ht="12" customHeight="1">
      <c r="B24" s="163"/>
      <c r="AW24" s="35"/>
    </row>
    <row r="25" spans="2:49" s="31" customFormat="1" ht="12" customHeight="1">
      <c r="B25" s="138"/>
      <c r="AW25" s="35"/>
    </row>
    <row r="26" spans="2:49" s="31" customFormat="1" ht="12" customHeight="1">
      <c r="B26" s="138"/>
      <c r="AW26" s="35"/>
    </row>
    <row r="27" spans="2:49" s="31" customFormat="1" ht="12" customHeight="1">
      <c r="B27" s="138"/>
      <c r="AW27" s="35"/>
    </row>
    <row r="28" spans="2:49" s="31" customFormat="1" ht="12" customHeight="1">
      <c r="B28" s="138"/>
      <c r="AW28" s="35"/>
    </row>
    <row r="29" spans="2:49" s="31" customFormat="1" ht="12" customHeight="1">
      <c r="B29" s="138"/>
      <c r="AW29" s="35"/>
    </row>
    <row r="30" spans="2:49" s="31" customFormat="1" ht="12" customHeight="1">
      <c r="B30" s="138"/>
      <c r="AW30" s="35"/>
    </row>
    <row r="31" spans="2:49" s="31" customFormat="1" ht="12" customHeight="1">
      <c r="B31" s="138"/>
      <c r="AW31" s="35"/>
    </row>
    <row r="32" spans="2:49" s="31" customFormat="1" ht="12" customHeight="1">
      <c r="B32" s="138"/>
      <c r="AW32" s="35"/>
    </row>
    <row r="33" spans="2:49" s="31" customFormat="1" ht="12" customHeight="1">
      <c r="B33" s="163"/>
      <c r="AW33" s="35"/>
    </row>
    <row r="34" spans="2:49" s="31" customFormat="1" ht="12" customHeight="1">
      <c r="B34" s="163"/>
      <c r="AW34" s="35"/>
    </row>
    <row r="35" spans="2:49" s="31" customFormat="1" ht="12" customHeight="1" thickBot="1">
      <c r="B35" s="36"/>
      <c r="AW35" s="35"/>
    </row>
    <row r="36" spans="2:49" s="31" customFormat="1" ht="12" customHeight="1">
      <c r="B36" s="170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8"/>
    </row>
    <row r="37" spans="2:49" s="31" customFormat="1" ht="12" customHeight="1">
      <c r="B37" s="163"/>
      <c r="AW37" s="35"/>
    </row>
    <row r="38" spans="2:49" s="31" customFormat="1" ht="12" customHeight="1">
      <c r="B38" s="79"/>
      <c r="AW38" s="35"/>
    </row>
    <row r="39" spans="2:49" s="31" customFormat="1" ht="12" customHeight="1">
      <c r="B39" s="79"/>
      <c r="AW39" s="35"/>
    </row>
    <row r="40" spans="2:49" s="31" customFormat="1" ht="12" customHeight="1">
      <c r="B40" s="79"/>
      <c r="AW40" s="35"/>
    </row>
    <row r="41" spans="2:49" s="31" customFormat="1" ht="12" customHeight="1">
      <c r="B41" s="163"/>
      <c r="AW41" s="35"/>
    </row>
    <row r="42" spans="2:49" s="31" customFormat="1" ht="12" customHeight="1">
      <c r="B42" s="163"/>
      <c r="AW42" s="35"/>
    </row>
    <row r="43" spans="2:49" s="31" customFormat="1" ht="12" customHeight="1">
      <c r="B43" s="79"/>
      <c r="AW43" s="35"/>
    </row>
    <row r="44" spans="2:49" s="31" customFormat="1" ht="12" customHeight="1">
      <c r="B44" s="79"/>
      <c r="AW44" s="35"/>
    </row>
    <row r="45" spans="2:49" s="31" customFormat="1" ht="12" customHeight="1">
      <c r="B45" s="79"/>
      <c r="AW45" s="35"/>
    </row>
    <row r="46" spans="2:49" s="31" customFormat="1" ht="12" customHeight="1" thickBot="1">
      <c r="B46" s="39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  <c r="AW46" s="41"/>
    </row>
    <row r="47" spans="2:49" s="31" customFormat="1" ht="6" customHeight="1">
      <c r="B47" s="93"/>
      <c r="AW47" s="35"/>
    </row>
    <row r="48" spans="2:49" s="42" customFormat="1" ht="15" customHeight="1">
      <c r="B48" s="94">
        <v>1</v>
      </c>
      <c r="C48" s="95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7"/>
    </row>
    <row r="49" spans="2:71" s="42" customFormat="1" ht="15" customHeight="1">
      <c r="B49" s="43">
        <v>2</v>
      </c>
      <c r="C49" s="7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9"/>
    </row>
    <row r="50" spans="2:71" s="42" customFormat="1" ht="15" customHeight="1">
      <c r="B50" s="43">
        <v>3</v>
      </c>
      <c r="C50" s="7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9"/>
    </row>
    <row r="51" spans="2:71" s="42" customFormat="1" ht="15" customHeight="1">
      <c r="B51" s="43">
        <v>4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9"/>
    </row>
    <row r="52" spans="2:71" s="42" customFormat="1" ht="15" customHeight="1">
      <c r="B52" s="47">
        <v>5</v>
      </c>
      <c r="C52" s="7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9"/>
    </row>
    <row r="53" spans="2:71" s="42" customFormat="1" ht="15" customHeight="1">
      <c r="B53" s="47" t="s">
        <v>16</v>
      </c>
      <c r="C53" s="44" t="str">
        <f t="shared" ref="C53:AE53" si="0">IF(ISERR(AVERAGE(C48:C52))," ",AVERAGE(C48:C52))</f>
        <v xml:space="preserve"> </v>
      </c>
      <c r="D53" s="45" t="str">
        <f t="shared" si="0"/>
        <v xml:space="preserve"> </v>
      </c>
      <c r="E53" s="45" t="str">
        <f t="shared" si="0"/>
        <v xml:space="preserve"> </v>
      </c>
      <c r="F53" s="45" t="str">
        <f t="shared" si="0"/>
        <v xml:space="preserve"> </v>
      </c>
      <c r="G53" s="45" t="str">
        <f t="shared" si="0"/>
        <v xml:space="preserve"> </v>
      </c>
      <c r="H53" s="45" t="str">
        <f t="shared" si="0"/>
        <v xml:space="preserve"> </v>
      </c>
      <c r="I53" s="45" t="str">
        <f t="shared" si="0"/>
        <v xml:space="preserve"> </v>
      </c>
      <c r="J53" s="45" t="str">
        <f t="shared" si="0"/>
        <v xml:space="preserve"> </v>
      </c>
      <c r="K53" s="45" t="str">
        <f t="shared" si="0"/>
        <v xml:space="preserve"> </v>
      </c>
      <c r="L53" s="45" t="str">
        <f t="shared" si="0"/>
        <v xml:space="preserve"> </v>
      </c>
      <c r="M53" s="45" t="str">
        <f t="shared" si="0"/>
        <v xml:space="preserve"> </v>
      </c>
      <c r="N53" s="45" t="str">
        <f t="shared" si="0"/>
        <v xml:space="preserve"> </v>
      </c>
      <c r="O53" s="45" t="str">
        <f t="shared" si="0"/>
        <v xml:space="preserve"> </v>
      </c>
      <c r="P53" s="45" t="str">
        <f t="shared" si="0"/>
        <v xml:space="preserve"> </v>
      </c>
      <c r="Q53" s="45" t="str">
        <f t="shared" si="0"/>
        <v xml:space="preserve"> </v>
      </c>
      <c r="R53" s="45" t="str">
        <f t="shared" si="0"/>
        <v xml:space="preserve"> </v>
      </c>
      <c r="S53" s="45" t="str">
        <f t="shared" si="0"/>
        <v xml:space="preserve"> </v>
      </c>
      <c r="T53" s="45" t="str">
        <f t="shared" si="0"/>
        <v xml:space="preserve"> </v>
      </c>
      <c r="U53" s="45" t="str">
        <f t="shared" si="0"/>
        <v xml:space="preserve"> </v>
      </c>
      <c r="V53" s="45" t="str">
        <f t="shared" si="0"/>
        <v xml:space="preserve"> </v>
      </c>
      <c r="W53" s="45" t="str">
        <f t="shared" si="0"/>
        <v xml:space="preserve"> </v>
      </c>
      <c r="X53" s="45" t="str">
        <f t="shared" si="0"/>
        <v xml:space="preserve"> </v>
      </c>
      <c r="Y53" s="45" t="str">
        <f t="shared" si="0"/>
        <v xml:space="preserve"> </v>
      </c>
      <c r="Z53" s="45" t="str">
        <f t="shared" si="0"/>
        <v xml:space="preserve"> </v>
      </c>
      <c r="AA53" s="45" t="str">
        <f t="shared" si="0"/>
        <v xml:space="preserve"> </v>
      </c>
      <c r="AB53" s="45" t="str">
        <f t="shared" si="0"/>
        <v xml:space="preserve"> </v>
      </c>
      <c r="AC53" s="45" t="str">
        <f t="shared" si="0"/>
        <v xml:space="preserve"> </v>
      </c>
      <c r="AD53" s="45" t="str">
        <f t="shared" si="0"/>
        <v xml:space="preserve"> </v>
      </c>
      <c r="AE53" s="45" t="str">
        <f t="shared" si="0"/>
        <v xml:space="preserve"> </v>
      </c>
      <c r="AF53" s="45" t="str">
        <f t="shared" ref="AF53:AW53" si="1">IF(ISERR(AVERAGE(AF48:AF52))," ",AVERAGE(AF48:AF52))</f>
        <v xml:space="preserve"> </v>
      </c>
      <c r="AG53" s="45" t="str">
        <f t="shared" si="1"/>
        <v xml:space="preserve"> </v>
      </c>
      <c r="AH53" s="45" t="str">
        <f t="shared" si="1"/>
        <v xml:space="preserve"> </v>
      </c>
      <c r="AI53" s="45" t="str">
        <f t="shared" si="1"/>
        <v xml:space="preserve"> </v>
      </c>
      <c r="AJ53" s="45" t="str">
        <f t="shared" si="1"/>
        <v xml:space="preserve"> </v>
      </c>
      <c r="AK53" s="45" t="str">
        <f t="shared" si="1"/>
        <v xml:space="preserve"> </v>
      </c>
      <c r="AL53" s="45" t="str">
        <f t="shared" si="1"/>
        <v xml:space="preserve"> </v>
      </c>
      <c r="AM53" s="45" t="str">
        <f t="shared" si="1"/>
        <v xml:space="preserve"> </v>
      </c>
      <c r="AN53" s="45" t="str">
        <f t="shared" si="1"/>
        <v xml:space="preserve"> </v>
      </c>
      <c r="AO53" s="45" t="str">
        <f t="shared" si="1"/>
        <v xml:space="preserve"> </v>
      </c>
      <c r="AP53" s="45" t="str">
        <f t="shared" si="1"/>
        <v xml:space="preserve"> </v>
      </c>
      <c r="AQ53" s="45" t="str">
        <f t="shared" si="1"/>
        <v xml:space="preserve"> </v>
      </c>
      <c r="AR53" s="45" t="str">
        <f t="shared" si="1"/>
        <v xml:space="preserve"> </v>
      </c>
      <c r="AS53" s="45" t="str">
        <f t="shared" si="1"/>
        <v xml:space="preserve"> </v>
      </c>
      <c r="AT53" s="45" t="str">
        <f t="shared" si="1"/>
        <v xml:space="preserve"> </v>
      </c>
      <c r="AU53" s="45" t="str">
        <f t="shared" si="1"/>
        <v xml:space="preserve"> </v>
      </c>
      <c r="AV53" s="45" t="str">
        <f t="shared" si="1"/>
        <v xml:space="preserve"> </v>
      </c>
      <c r="AW53" s="46" t="str">
        <f t="shared" si="1"/>
        <v xml:space="preserve"> </v>
      </c>
    </row>
    <row r="54" spans="2:71" s="42" customFormat="1" ht="15" customHeight="1">
      <c r="B54" s="47" t="s">
        <v>12</v>
      </c>
      <c r="C54" s="48">
        <f t="shared" ref="C54:AE54" si="2">MAX(C48:C52)-MIN(C48:C52)</f>
        <v>0</v>
      </c>
      <c r="D54" s="49">
        <f t="shared" si="2"/>
        <v>0</v>
      </c>
      <c r="E54" s="49">
        <f t="shared" si="2"/>
        <v>0</v>
      </c>
      <c r="F54" s="49">
        <f t="shared" si="2"/>
        <v>0</v>
      </c>
      <c r="G54" s="49">
        <f t="shared" si="2"/>
        <v>0</v>
      </c>
      <c r="H54" s="49">
        <f t="shared" si="2"/>
        <v>0</v>
      </c>
      <c r="I54" s="49">
        <f t="shared" si="2"/>
        <v>0</v>
      </c>
      <c r="J54" s="49">
        <f t="shared" si="2"/>
        <v>0</v>
      </c>
      <c r="K54" s="49">
        <f t="shared" si="2"/>
        <v>0</v>
      </c>
      <c r="L54" s="49">
        <f t="shared" si="2"/>
        <v>0</v>
      </c>
      <c r="M54" s="49">
        <f t="shared" si="2"/>
        <v>0</v>
      </c>
      <c r="N54" s="49">
        <f t="shared" si="2"/>
        <v>0</v>
      </c>
      <c r="O54" s="49">
        <f t="shared" si="2"/>
        <v>0</v>
      </c>
      <c r="P54" s="49">
        <f t="shared" si="2"/>
        <v>0</v>
      </c>
      <c r="Q54" s="49">
        <f t="shared" si="2"/>
        <v>0</v>
      </c>
      <c r="R54" s="115">
        <f t="shared" si="2"/>
        <v>0</v>
      </c>
      <c r="S54" s="115">
        <f t="shared" si="2"/>
        <v>0</v>
      </c>
      <c r="T54" s="115">
        <f t="shared" si="2"/>
        <v>0</v>
      </c>
      <c r="U54" s="115">
        <f t="shared" si="2"/>
        <v>0</v>
      </c>
      <c r="V54" s="115">
        <f t="shared" si="2"/>
        <v>0</v>
      </c>
      <c r="W54" s="115">
        <f t="shared" si="2"/>
        <v>0</v>
      </c>
      <c r="X54" s="115">
        <f t="shared" si="2"/>
        <v>0</v>
      </c>
      <c r="Y54" s="115">
        <f t="shared" si="2"/>
        <v>0</v>
      </c>
      <c r="Z54" s="115">
        <f t="shared" si="2"/>
        <v>0</v>
      </c>
      <c r="AA54" s="115">
        <f t="shared" si="2"/>
        <v>0</v>
      </c>
      <c r="AB54" s="115">
        <f t="shared" si="2"/>
        <v>0</v>
      </c>
      <c r="AC54" s="115">
        <f t="shared" si="2"/>
        <v>0</v>
      </c>
      <c r="AD54" s="115">
        <f t="shared" si="2"/>
        <v>0</v>
      </c>
      <c r="AE54" s="115">
        <f t="shared" si="2"/>
        <v>0</v>
      </c>
      <c r="AF54" s="115">
        <f t="shared" ref="AF54:AW54" si="3">MAX(AF48:AF52)-MIN(AF48:AF52)</f>
        <v>0</v>
      </c>
      <c r="AG54" s="115">
        <f t="shared" si="3"/>
        <v>0</v>
      </c>
      <c r="AH54" s="115">
        <f t="shared" si="3"/>
        <v>0</v>
      </c>
      <c r="AI54" s="115">
        <f t="shared" si="3"/>
        <v>0</v>
      </c>
      <c r="AJ54" s="115">
        <f t="shared" si="3"/>
        <v>0</v>
      </c>
      <c r="AK54" s="115">
        <f t="shared" si="3"/>
        <v>0</v>
      </c>
      <c r="AL54" s="115">
        <f t="shared" si="3"/>
        <v>0</v>
      </c>
      <c r="AM54" s="115">
        <f t="shared" si="3"/>
        <v>0</v>
      </c>
      <c r="AN54" s="115">
        <f t="shared" si="3"/>
        <v>0</v>
      </c>
      <c r="AO54" s="115">
        <f t="shared" si="3"/>
        <v>0</v>
      </c>
      <c r="AP54" s="115">
        <f t="shared" si="3"/>
        <v>0</v>
      </c>
      <c r="AQ54" s="115">
        <f t="shared" si="3"/>
        <v>0</v>
      </c>
      <c r="AR54" s="115">
        <f t="shared" si="3"/>
        <v>0</v>
      </c>
      <c r="AS54" s="115">
        <f t="shared" si="3"/>
        <v>0</v>
      </c>
      <c r="AT54" s="115">
        <f t="shared" si="3"/>
        <v>0</v>
      </c>
      <c r="AU54" s="115">
        <f t="shared" si="3"/>
        <v>0</v>
      </c>
      <c r="AV54" s="115">
        <f t="shared" si="3"/>
        <v>0</v>
      </c>
      <c r="AW54" s="116">
        <f t="shared" si="3"/>
        <v>0</v>
      </c>
    </row>
    <row r="55" spans="2:71" s="42" customFormat="1" ht="20.100000000000001" customHeight="1">
      <c r="B55" s="50" t="s">
        <v>17</v>
      </c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8"/>
      <c r="AH55" s="118"/>
      <c r="AI55" s="118"/>
      <c r="AJ55" s="118"/>
      <c r="AK55" s="118"/>
      <c r="AL55" s="118"/>
      <c r="AM55" s="118"/>
      <c r="AN55" s="118"/>
      <c r="AO55" s="118"/>
      <c r="AP55" s="118"/>
      <c r="AQ55" s="118"/>
      <c r="AR55" s="118"/>
      <c r="AS55" s="118"/>
      <c r="AT55" s="118"/>
      <c r="AU55" s="118"/>
      <c r="AV55" s="118"/>
      <c r="AW55" s="119"/>
    </row>
    <row r="56" spans="2:71" s="42" customFormat="1" ht="26.25" thickBot="1">
      <c r="B56" s="136" t="str">
        <f>'P1 - Esp. Lado'!B56</f>
        <v>Visto do Líder / Sublíder</v>
      </c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2"/>
    </row>
    <row r="57" spans="2:71" s="31" customFormat="1" ht="20.100000000000001" customHeight="1">
      <c r="B57" s="171" t="s">
        <v>18</v>
      </c>
      <c r="C57" s="172"/>
      <c r="D57" s="172"/>
      <c r="E57" s="173"/>
      <c r="F57" s="51" t="s">
        <v>19</v>
      </c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8"/>
    </row>
    <row r="58" spans="2:71" s="31" customFormat="1" ht="20.100000000000001" customHeight="1">
      <c r="B58" s="52"/>
      <c r="C58" s="23" t="s">
        <v>20</v>
      </c>
      <c r="D58" s="23"/>
      <c r="E58" s="35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2"/>
    </row>
    <row r="59" spans="2:71" s="31" customFormat="1" ht="20.100000000000001" customHeight="1">
      <c r="B59" s="174" t="s">
        <v>21</v>
      </c>
      <c r="C59" s="175"/>
      <c r="D59" s="175"/>
      <c r="E59" s="35"/>
      <c r="F59" s="1"/>
      <c r="G59" s="1"/>
      <c r="H59" s="1"/>
      <c r="I59" s="1"/>
      <c r="J59" s="1"/>
      <c r="K59" s="1"/>
      <c r="L59" s="1"/>
      <c r="M59" s="1"/>
      <c r="N59" s="1"/>
      <c r="O59" s="123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2"/>
    </row>
    <row r="60" spans="2:71" s="31" customFormat="1" ht="20.100000000000001" customHeight="1" thickBot="1">
      <c r="B60" s="53"/>
      <c r="C60" s="54" t="s">
        <v>16</v>
      </c>
      <c r="D60" s="40"/>
      <c r="E60" s="41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4"/>
    </row>
    <row r="61" spans="2:71" s="31" customFormat="1" ht="7.5" customHeight="1"/>
    <row r="62" spans="2:71" s="31" customFormat="1" ht="15.75">
      <c r="B62" s="176" t="s">
        <v>31</v>
      </c>
      <c r="C62" s="177"/>
      <c r="D62" s="177"/>
      <c r="E62" s="177"/>
      <c r="F62" s="177"/>
      <c r="G62" s="166" t="s">
        <v>22</v>
      </c>
      <c r="H62" s="166"/>
      <c r="I62" s="166"/>
      <c r="J62" s="166"/>
      <c r="K62" s="167"/>
      <c r="L62" s="166" t="s">
        <v>30</v>
      </c>
      <c r="M62" s="166"/>
      <c r="N62" s="166"/>
      <c r="O62" s="166"/>
      <c r="P62" s="166"/>
      <c r="Q62" s="166"/>
      <c r="R62" s="166"/>
      <c r="S62" s="177" t="s">
        <v>32</v>
      </c>
      <c r="T62" s="177"/>
      <c r="U62" s="177"/>
      <c r="V62" s="177"/>
      <c r="W62" s="180" t="s">
        <v>46</v>
      </c>
      <c r="X62" s="177"/>
      <c r="Y62" s="177"/>
      <c r="Z62" s="177"/>
      <c r="AA62" s="177"/>
      <c r="AB62" s="177"/>
      <c r="AC62" s="177" t="s">
        <v>22</v>
      </c>
      <c r="AD62" s="177"/>
      <c r="AE62" s="177"/>
      <c r="AF62" s="177"/>
      <c r="AG62" s="177"/>
      <c r="AH62" s="177"/>
      <c r="AI62" s="177"/>
      <c r="AJ62" s="177"/>
      <c r="AK62" s="177"/>
      <c r="AL62" s="177"/>
      <c r="AM62" s="177"/>
      <c r="AN62" s="177"/>
      <c r="AO62" s="177"/>
      <c r="AP62" s="177"/>
      <c r="AQ62" s="177"/>
      <c r="AR62" s="177"/>
      <c r="AS62" s="177"/>
      <c r="AT62" s="177"/>
      <c r="AU62" s="177"/>
      <c r="AV62" s="177"/>
      <c r="AW62" s="182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55"/>
      <c r="BK62" s="55"/>
      <c r="BL62" s="55"/>
      <c r="BM62" s="55"/>
      <c r="BN62" s="55"/>
      <c r="BO62" s="55"/>
      <c r="BP62" s="55"/>
      <c r="BQ62" s="55"/>
      <c r="BR62" s="55"/>
      <c r="BS62" s="55"/>
    </row>
    <row r="63" spans="2:71" s="31" customFormat="1" ht="15.75">
      <c r="B63" s="178"/>
      <c r="C63" s="179"/>
      <c r="D63" s="179"/>
      <c r="E63" s="179"/>
      <c r="F63" s="179"/>
      <c r="G63" s="168"/>
      <c r="H63" s="168"/>
      <c r="I63" s="168"/>
      <c r="J63" s="168"/>
      <c r="K63" s="169"/>
      <c r="L63" s="168"/>
      <c r="M63" s="168"/>
      <c r="N63" s="168"/>
      <c r="O63" s="168"/>
      <c r="P63" s="168"/>
      <c r="Q63" s="168"/>
      <c r="R63" s="168"/>
      <c r="S63" s="179"/>
      <c r="T63" s="179"/>
      <c r="U63" s="179"/>
      <c r="V63" s="179"/>
      <c r="W63" s="181"/>
      <c r="X63" s="179"/>
      <c r="Y63" s="179"/>
      <c r="Z63" s="179"/>
      <c r="AA63" s="179"/>
      <c r="AB63" s="179"/>
      <c r="AC63" s="179"/>
      <c r="AD63" s="179"/>
      <c r="AE63" s="179"/>
      <c r="AF63" s="179"/>
      <c r="AG63" s="179"/>
      <c r="AH63" s="179"/>
      <c r="AI63" s="179"/>
      <c r="AJ63" s="179"/>
      <c r="AK63" s="179"/>
      <c r="AL63" s="179"/>
      <c r="AM63" s="179"/>
      <c r="AN63" s="179"/>
      <c r="AO63" s="179"/>
      <c r="AP63" s="179"/>
      <c r="AQ63" s="179"/>
      <c r="AR63" s="179"/>
      <c r="AS63" s="179"/>
      <c r="AT63" s="179"/>
      <c r="AU63" s="179"/>
      <c r="AV63" s="179"/>
      <c r="AW63" s="183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  <c r="BN63" s="55"/>
      <c r="BO63" s="55"/>
      <c r="BP63" s="55"/>
      <c r="BQ63" s="55"/>
      <c r="BR63" s="55"/>
      <c r="BS63" s="55"/>
    </row>
    <row r="64" spans="2:71" ht="14.25">
      <c r="B64" s="56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6"/>
      <c r="BI64" s="184"/>
      <c r="BJ64" s="184"/>
      <c r="BK64" s="184"/>
      <c r="BL64" s="184"/>
      <c r="BM64" s="184"/>
      <c r="BN64" s="184"/>
      <c r="BO64" s="184"/>
      <c r="BP64" s="184"/>
      <c r="BQ64" s="184"/>
      <c r="BR64" s="184"/>
      <c r="BS64" s="184"/>
    </row>
    <row r="65" spans="2:5">
      <c r="B65" s="10" t="s">
        <v>25</v>
      </c>
    </row>
    <row r="66" spans="2:5">
      <c r="B66" s="10" t="s">
        <v>23</v>
      </c>
      <c r="C66" s="58" t="e">
        <f>AVERAGE(C53:AW53)+0.577*C69</f>
        <v>#DIV/0!</v>
      </c>
    </row>
    <row r="67" spans="2:5">
      <c r="B67" s="10" t="s">
        <v>5</v>
      </c>
      <c r="C67" s="58" t="e">
        <f>AVERAGE(C53:AW53)</f>
        <v>#DIV/0!</v>
      </c>
      <c r="D67" s="59" t="s">
        <v>26</v>
      </c>
      <c r="E67" s="10" t="e">
        <f>STDEV(C48:AV52)</f>
        <v>#DIV/0!</v>
      </c>
    </row>
    <row r="68" spans="2:5">
      <c r="B68" s="10" t="s">
        <v>24</v>
      </c>
      <c r="C68" s="58" t="e">
        <f>C67-0.577*C69</f>
        <v>#DIV/0!</v>
      </c>
    </row>
    <row r="69" spans="2:5">
      <c r="B69" s="10" t="s">
        <v>12</v>
      </c>
      <c r="C69" s="58" t="e">
        <f>2.115*(SUM(C54:AW54)/COUNTIF(C54:AW54,"&lt;&gt;0"))</f>
        <v>#DIV/0!</v>
      </c>
    </row>
    <row r="71" spans="2:5">
      <c r="B71" s="10" t="s">
        <v>27</v>
      </c>
    </row>
    <row r="73" spans="2:5">
      <c r="B73" s="10" t="s">
        <v>28</v>
      </c>
      <c r="C73" s="58" t="e">
        <f>E7/(6*E67)</f>
        <v>#DIV/0!</v>
      </c>
    </row>
    <row r="74" spans="2:5">
      <c r="B74" s="10" t="s">
        <v>29</v>
      </c>
      <c r="C74" s="58" t="e">
        <f>MIN((E4-C67)/(3*E67),(C67-E6)/(3*E67))</f>
        <v>#DIV/0!</v>
      </c>
    </row>
    <row r="75" spans="2:5">
      <c r="C75" s="10">
        <f>COUNTIF(C10:AW10,"&gt;0")</f>
        <v>0</v>
      </c>
    </row>
    <row r="76" spans="2:5">
      <c r="B76" s="10" t="s">
        <v>58</v>
      </c>
      <c r="C76" s="58" t="e">
        <f>AVERAGE(C48:AW52,'C2 - Altura Total'!C48:AW52,'C1 - Altura Total'!C48:AG52)</f>
        <v>#DIV/0!</v>
      </c>
    </row>
  </sheetData>
  <sheetProtection sheet="1" objects="1" scenarios="1" selectLockedCells="1"/>
  <mergeCells count="29">
    <mergeCell ref="L62:R63"/>
    <mergeCell ref="S62:V63"/>
    <mergeCell ref="W62:AB63"/>
    <mergeCell ref="AC62:AW63"/>
    <mergeCell ref="BI64:BS64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AD4:AW5"/>
    <mergeCell ref="B13:B14"/>
    <mergeCell ref="B15:B16"/>
    <mergeCell ref="B17:B18"/>
    <mergeCell ref="B19:B20"/>
    <mergeCell ref="Z4:AC5"/>
    <mergeCell ref="B21:B22"/>
    <mergeCell ref="I2:J3"/>
    <mergeCell ref="K2:L3"/>
    <mergeCell ref="M2:Q3"/>
    <mergeCell ref="R2:T2"/>
    <mergeCell ref="R3:T3"/>
  </mergeCells>
  <conditionalFormatting sqref="C48:AW52">
    <cfRule type="expression" dxfId="1" priority="1">
      <formula>(C48&gt;$G$4)*(C48&lt;&gt;0)</formula>
    </cfRule>
    <cfRule type="expression" dxfId="0" priority="2">
      <formula>(C48&lt;$G$6)*(C48&lt;&gt;0)</formula>
    </cfRule>
  </conditionalFormatting>
  <dataValidations count="3">
    <dataValidation type="whole" showInputMessage="1" showErrorMessage="1" errorTitle="Data" error="Digite apenas o dia entre 1 e 31" sqref="E10:AW10" xr:uid="{00000000-0002-0000-0D00-000000000000}">
      <formula1>1</formula1>
      <formula2>31</formula2>
    </dataValidation>
    <dataValidation type="whole" showErrorMessage="1" errorTitle="Data" error="Digite apenas o dia entre 1 e 31" sqref="C10:D10" xr:uid="{00000000-0002-0000-0D00-000001000000}">
      <formula1>1</formula1>
      <formula2>31</formula2>
    </dataValidation>
    <dataValidation type="list" showErrorMessage="1" promptTitle="Turno" prompt="Escolha" sqref="C11:AW11" xr:uid="{00000000-0002-0000-0D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43" orientation="landscape" r:id="rId1"/>
  <headerFooter alignWithMargins="0">
    <oddFooter>&amp;RSJCPIL-R 16-090-02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21</vt:i4>
      </vt:variant>
    </vt:vector>
  </HeadingPairs>
  <TitlesOfParts>
    <vt:vector size="35" baseType="lpstr">
      <vt:lpstr>Configurações</vt:lpstr>
      <vt:lpstr>P1 - Esp. Lado</vt:lpstr>
      <vt:lpstr>P1 - Esp. Fundo</vt:lpstr>
      <vt:lpstr>P2 - Esp. Lado</vt:lpstr>
      <vt:lpstr>P2 - Esp. Fundo</vt:lpstr>
      <vt:lpstr>P3 - Esp. Lado</vt:lpstr>
      <vt:lpstr>P3 - Esp. Fundo</vt:lpstr>
      <vt:lpstr>P4 - Esp. Lado</vt:lpstr>
      <vt:lpstr>P4 - Esp. Fundo</vt:lpstr>
      <vt:lpstr>P9 - Esp. Lado</vt:lpstr>
      <vt:lpstr>P9 - Esp. Fundo</vt:lpstr>
      <vt:lpstr>C1 - Altura Total</vt:lpstr>
      <vt:lpstr>C2 - Altura Total</vt:lpstr>
      <vt:lpstr>C3 - Altura Total</vt:lpstr>
      <vt:lpstr>'C1 - Altura Total'!Area_de_impressao</vt:lpstr>
      <vt:lpstr>'C2 - Altura Total'!Area_de_impressao</vt:lpstr>
      <vt:lpstr>'C3 - Altura Total'!Area_de_impressao</vt:lpstr>
      <vt:lpstr>'P1 - Esp. Fundo'!Area_de_impressao</vt:lpstr>
      <vt:lpstr>'P1 - Esp. Lado'!Area_de_impressao</vt:lpstr>
      <vt:lpstr>'P2 - Esp. Fundo'!Area_de_impressao</vt:lpstr>
      <vt:lpstr>'P2 - Esp. Lado'!Area_de_impressao</vt:lpstr>
      <vt:lpstr>'P3 - Esp. Fundo'!Area_de_impressao</vt:lpstr>
      <vt:lpstr>'P3 - Esp. Lado'!Area_de_impressao</vt:lpstr>
      <vt:lpstr>'P4 - Esp. Fundo'!Area_de_impressao</vt:lpstr>
      <vt:lpstr>'P4 - Esp. Lado'!Area_de_impressao</vt:lpstr>
      <vt:lpstr>'P9 - Esp. Fundo'!Area_de_impressao</vt:lpstr>
      <vt:lpstr>'P9 - Esp. Lado'!Area_de_impressao</vt:lpstr>
      <vt:lpstr>Mediçao_Lado_P1</vt:lpstr>
      <vt:lpstr>Medição_lado_P2</vt:lpstr>
      <vt:lpstr>Medição_lado_P3</vt:lpstr>
      <vt:lpstr>Medição_Lado_P4</vt:lpstr>
      <vt:lpstr>Medição_Lado_P9</vt:lpstr>
      <vt:lpstr>XM_bottom_thickness</vt:lpstr>
      <vt:lpstr>XM_Heigth</vt:lpstr>
      <vt:lpstr>XM_side_thickness</vt:lpstr>
    </vt:vector>
  </TitlesOfParts>
  <Company>Panasonic do Brasil Limitada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otorquati</dc:creator>
  <cp:lastModifiedBy>Osvaldo Martins Torquati</cp:lastModifiedBy>
  <cp:lastPrinted>2021-11-19T19:33:58Z</cp:lastPrinted>
  <dcterms:created xsi:type="dcterms:W3CDTF">2010-12-15T17:36:09Z</dcterms:created>
  <dcterms:modified xsi:type="dcterms:W3CDTF">2022-02-18T18:05:59Z</dcterms:modified>
</cp:coreProperties>
</file>