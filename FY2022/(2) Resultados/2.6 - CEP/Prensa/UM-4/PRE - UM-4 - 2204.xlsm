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J:\DADOS\PIL\PUB\QUALIDADE\FY2021\(2) Resultados\2.6 - CEP\Prensa\UM-4\"/>
    </mc:Choice>
  </mc:AlternateContent>
  <workbookProtection workbookAlgorithmName="SHA-512" workbookHashValue="5IdScRiw4tYl8/WYTbMM8HyNnTN+QCeN+gSAX/E1pGAf3vaGKQMdRSdPb1WpiA/9GWlJDdMHO2zb+HoE0eJttg==" workbookSaltValue="xzuwnDOuOJMxc3z7q8+jxw==" workbookSpinCount="100000" lockStructure="1"/>
  <bookViews>
    <workbookView xWindow="-120" yWindow="-120" windowWidth="29040" windowHeight="16440" tabRatio="643" firstSheet="1" activeTab="3"/>
  </bookViews>
  <sheets>
    <sheet name="Configurações" sheetId="23" r:id="rId1"/>
    <sheet name="SJCPIL-R 16-402-02 - Esp. Fundo" sheetId="21" r:id="rId2"/>
    <sheet name="SJCPIL-R 16-403-04 - Esp. Lado " sheetId="19" r:id="rId3"/>
    <sheet name="SJCPIL-R 16-404-03-Alt. tb cort" sheetId="22" r:id="rId4"/>
  </sheets>
  <definedNames>
    <definedName name="_xlnm.Print_Area" localSheetId="1">'SJCPIL-R 16-402-02 - Esp. Fundo'!$B$1:$AU$63</definedName>
    <definedName name="_xlnm.Print_Area" localSheetId="2">'SJCPIL-R 16-403-04 - Esp. Lado '!$B$1:$AT$67</definedName>
    <definedName name="_xlnm.Print_Area" localSheetId="3">'SJCPIL-R 16-404-03-Alt. tb cort'!$B$1:$AU$63</definedName>
    <definedName name="Turnos">OFFSET(Configurações!$D$10,,,COUNTA(Configurações!$D$10:$D$16))</definedName>
    <definedName name="XM_bottom_thickness">'SJCPIL-R 16-402-02 - Esp. Fundo'!$D$67</definedName>
    <definedName name="XM_UM4_Side_Thickness">'SJCPIL-R 16-403-04 - Esp. Lado '!$D$82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6" i="19" l="1"/>
  <c r="X56" i="19"/>
  <c r="X49" i="19"/>
  <c r="Y49" i="19"/>
  <c r="Z49" i="19"/>
  <c r="AD49" i="19"/>
  <c r="AA53" i="21"/>
  <c r="AG53" i="21"/>
  <c r="G50" i="19" l="1"/>
  <c r="E50" i="19"/>
  <c r="E49" i="19"/>
  <c r="F49" i="19" l="1"/>
  <c r="N2" i="22"/>
  <c r="N2" i="19"/>
  <c r="AQ4" i="21" l="1"/>
  <c r="AM4" i="21"/>
  <c r="O53" i="22"/>
  <c r="P53" i="22"/>
  <c r="Q53" i="22"/>
  <c r="R53" i="22"/>
  <c r="S53" i="22"/>
  <c r="O54" i="22"/>
  <c r="P54" i="22"/>
  <c r="Q54" i="22"/>
  <c r="R54" i="22"/>
  <c r="S54" i="22"/>
  <c r="E56" i="19" l="1"/>
  <c r="F56" i="19"/>
  <c r="J57" i="19" l="1"/>
  <c r="K57" i="19"/>
  <c r="L57" i="19"/>
  <c r="Z53" i="22" l="1"/>
  <c r="AA53" i="22"/>
  <c r="AB53" i="22"/>
  <c r="AC53" i="22"/>
  <c r="AD53" i="22"/>
  <c r="AE53" i="22"/>
  <c r="Z54" i="22"/>
  <c r="AA54" i="22"/>
  <c r="AB54" i="22"/>
  <c r="AC54" i="22"/>
  <c r="X54" i="22"/>
  <c r="Y54" i="22"/>
  <c r="X53" i="22"/>
  <c r="Y53" i="22"/>
  <c r="Z57" i="19"/>
  <c r="AA57" i="19"/>
  <c r="AB57" i="19"/>
  <c r="AC57" i="19"/>
  <c r="AB56" i="19"/>
  <c r="AC56" i="19"/>
  <c r="R49" i="19"/>
  <c r="Q50" i="19"/>
  <c r="Q56" i="19"/>
  <c r="Q57" i="19"/>
  <c r="M49" i="19" l="1"/>
  <c r="L50" i="19"/>
  <c r="L56" i="19"/>
  <c r="M56" i="19"/>
  <c r="I56" i="19" l="1"/>
  <c r="D53" i="22" l="1"/>
  <c r="AM4" i="22" l="1"/>
  <c r="F6" i="22" l="1"/>
  <c r="F4" i="22"/>
  <c r="H5" i="22"/>
  <c r="H4" i="22" s="1"/>
  <c r="F7" i="22" l="1"/>
  <c r="H6" i="22"/>
  <c r="H7" i="22" s="1"/>
  <c r="AD56" i="19"/>
  <c r="AE56" i="19"/>
  <c r="AD57" i="19"/>
  <c r="AE57" i="19"/>
  <c r="AE49" i="19"/>
  <c r="AD50" i="19"/>
  <c r="AE50" i="19"/>
  <c r="AL53" i="21"/>
  <c r="AM53" i="21"/>
  <c r="AN53" i="21"/>
  <c r="AO53" i="21"/>
  <c r="AP53" i="21"/>
  <c r="AQ53" i="21"/>
  <c r="AR53" i="21"/>
  <c r="AL54" i="21"/>
  <c r="AM54" i="21"/>
  <c r="AN54" i="21"/>
  <c r="AO54" i="21"/>
  <c r="AP54" i="21"/>
  <c r="AQ54" i="21"/>
  <c r="AR54" i="21"/>
  <c r="AI56" i="19"/>
  <c r="AJ56" i="19"/>
  <c r="H5" i="19" l="1"/>
  <c r="H4" i="19" s="1"/>
  <c r="F6" i="19"/>
  <c r="F4" i="19"/>
  <c r="F7" i="19" l="1"/>
  <c r="H6" i="19"/>
  <c r="H7" i="19" s="1"/>
  <c r="AR50" i="19"/>
  <c r="AS50" i="19"/>
  <c r="AT50" i="19"/>
  <c r="AR49" i="19"/>
  <c r="AS49" i="19"/>
  <c r="AT49" i="19"/>
  <c r="AO57" i="19"/>
  <c r="AP57" i="19"/>
  <c r="AQ57" i="19"/>
  <c r="AR57" i="19"/>
  <c r="AS57" i="19"/>
  <c r="AT57" i="19"/>
  <c r="AN56" i="19"/>
  <c r="AO56" i="19"/>
  <c r="AP56" i="19"/>
  <c r="AQ56" i="19"/>
  <c r="AR56" i="19"/>
  <c r="AS56" i="19"/>
  <c r="AT56" i="19"/>
  <c r="AO50" i="19"/>
  <c r="AP50" i="19"/>
  <c r="AQ50" i="19"/>
  <c r="AN49" i="19"/>
  <c r="AO49" i="19"/>
  <c r="AP49" i="19"/>
  <c r="AQ49" i="19"/>
  <c r="AL56" i="19" l="1"/>
  <c r="AM56" i="19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F54" i="21" l="1"/>
  <c r="AG54" i="21"/>
  <c r="AH54" i="21"/>
  <c r="AI54" i="21"/>
  <c r="AJ54" i="21"/>
  <c r="AK54" i="21"/>
  <c r="AS54" i="21"/>
  <c r="AT54" i="21"/>
  <c r="AF53" i="21"/>
  <c r="AH53" i="21"/>
  <c r="AI53" i="21"/>
  <c r="AJ53" i="21"/>
  <c r="AK53" i="21"/>
  <c r="AS53" i="21"/>
  <c r="AT53" i="21"/>
  <c r="AI57" i="19"/>
  <c r="AJ57" i="19"/>
  <c r="Q49" i="19" l="1"/>
  <c r="N49" i="19" l="1"/>
  <c r="AQ4" i="19" l="1"/>
  <c r="AQ4" i="22" s="1"/>
  <c r="AM4" i="19"/>
  <c r="D75" i="22" l="1"/>
  <c r="F67" i="22"/>
  <c r="D73" i="22" s="1"/>
  <c r="AH54" i="22"/>
  <c r="AG54" i="22"/>
  <c r="AF54" i="22"/>
  <c r="AE54" i="22"/>
  <c r="AD54" i="22"/>
  <c r="W54" i="22"/>
  <c r="V54" i="22"/>
  <c r="U54" i="22"/>
  <c r="T54" i="22"/>
  <c r="N54" i="22"/>
  <c r="M54" i="22"/>
  <c r="L54" i="22"/>
  <c r="K54" i="22"/>
  <c r="J54" i="22"/>
  <c r="I54" i="22"/>
  <c r="H54" i="22"/>
  <c r="G54" i="22"/>
  <c r="F54" i="22"/>
  <c r="E54" i="22"/>
  <c r="D54" i="22"/>
  <c r="AH53" i="22"/>
  <c r="AG53" i="22"/>
  <c r="AF53" i="22"/>
  <c r="W53" i="22"/>
  <c r="V53" i="22"/>
  <c r="U53" i="22"/>
  <c r="T53" i="22"/>
  <c r="N53" i="22"/>
  <c r="M53" i="22"/>
  <c r="L53" i="22"/>
  <c r="K53" i="22"/>
  <c r="J53" i="22"/>
  <c r="I53" i="22"/>
  <c r="H53" i="22"/>
  <c r="G53" i="22"/>
  <c r="F53" i="22"/>
  <c r="E53" i="22"/>
  <c r="F6" i="21"/>
  <c r="F4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R53" i="21"/>
  <c r="S53" i="21"/>
  <c r="T53" i="21"/>
  <c r="U53" i="21"/>
  <c r="V53" i="21"/>
  <c r="W53" i="21"/>
  <c r="X53" i="21"/>
  <c r="Y53" i="21"/>
  <c r="Z53" i="21"/>
  <c r="AB53" i="21"/>
  <c r="AC53" i="21"/>
  <c r="AD53" i="21"/>
  <c r="AE53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R54" i="21"/>
  <c r="S54" i="21"/>
  <c r="T54" i="21"/>
  <c r="U54" i="21"/>
  <c r="V54" i="21"/>
  <c r="W54" i="21"/>
  <c r="X54" i="21"/>
  <c r="Y54" i="21"/>
  <c r="Z54" i="21"/>
  <c r="AA54" i="21"/>
  <c r="AB54" i="21"/>
  <c r="AC54" i="21"/>
  <c r="AD54" i="21"/>
  <c r="AE54" i="21"/>
  <c r="F67" i="21"/>
  <c r="D73" i="21" s="1"/>
  <c r="D75" i="21"/>
  <c r="D69" i="21" l="1"/>
  <c r="D66" i="21" s="1"/>
  <c r="D67" i="21"/>
  <c r="D69" i="22"/>
  <c r="D66" i="22" s="1"/>
  <c r="D67" i="22"/>
  <c r="AH49" i="19"/>
  <c r="D68" i="21" l="1"/>
  <c r="D74" i="21"/>
  <c r="D68" i="22"/>
  <c r="D74" i="22"/>
  <c r="G49" i="19" l="1"/>
  <c r="AI49" i="19" l="1"/>
  <c r="AJ49" i="19"/>
  <c r="AK49" i="19"/>
  <c r="AL49" i="19"/>
  <c r="AI50" i="19"/>
  <c r="AJ50" i="19"/>
  <c r="AK50" i="19"/>
  <c r="AL50" i="19"/>
  <c r="AK56" i="19"/>
  <c r="AK57" i="19"/>
  <c r="AL57" i="19"/>
  <c r="AR68" i="19" l="1"/>
  <c r="AN68" i="19"/>
  <c r="AM68" i="19"/>
  <c r="AL68" i="19"/>
  <c r="AK68" i="19"/>
  <c r="AJ68" i="19"/>
  <c r="AI68" i="19"/>
  <c r="AH68" i="19"/>
  <c r="AG68" i="19"/>
  <c r="AN57" i="19"/>
  <c r="AM57" i="19"/>
  <c r="AH57" i="19"/>
  <c r="AG57" i="19"/>
  <c r="AH56" i="19"/>
  <c r="AG56" i="19"/>
  <c r="AN50" i="19"/>
  <c r="AM50" i="19"/>
  <c r="AH50" i="19"/>
  <c r="AG50" i="19"/>
  <c r="AM49" i="19"/>
  <c r="AG49" i="19"/>
  <c r="O49" i="19" l="1"/>
  <c r="P49" i="19"/>
  <c r="W56" i="19" l="1"/>
  <c r="D82" i="19" l="1"/>
  <c r="L49" i="19" l="1"/>
  <c r="M50" i="19" l="1"/>
  <c r="Y56" i="19" l="1"/>
  <c r="AF50" i="19"/>
  <c r="AC50" i="19"/>
  <c r="AB50" i="19"/>
  <c r="AA50" i="19"/>
  <c r="Z50" i="19"/>
  <c r="Y50" i="19"/>
  <c r="X50" i="19"/>
  <c r="W50" i="19"/>
  <c r="V50" i="19"/>
  <c r="U50" i="19"/>
  <c r="T50" i="19"/>
  <c r="S50" i="19"/>
  <c r="R50" i="19"/>
  <c r="P50" i="19"/>
  <c r="O50" i="19"/>
  <c r="N50" i="19"/>
  <c r="K50" i="19"/>
  <c r="J50" i="19"/>
  <c r="I50" i="19"/>
  <c r="H50" i="19"/>
  <c r="F50" i="19"/>
  <c r="D50" i="19"/>
  <c r="AF49" i="19"/>
  <c r="AC49" i="19"/>
  <c r="AB49" i="19"/>
  <c r="AA49" i="19"/>
  <c r="W49" i="19"/>
  <c r="V49" i="19"/>
  <c r="U49" i="19"/>
  <c r="T49" i="19"/>
  <c r="S49" i="19"/>
  <c r="K49" i="19"/>
  <c r="J49" i="19"/>
  <c r="I49" i="19"/>
  <c r="H49" i="19"/>
  <c r="D49" i="19"/>
  <c r="J77" i="19" l="1"/>
  <c r="J73" i="19"/>
  <c r="F76" i="19"/>
  <c r="J75" i="19" s="1"/>
  <c r="F71" i="19"/>
  <c r="J71" i="19" s="1"/>
  <c r="D71" i="19"/>
  <c r="J72" i="19" l="1"/>
  <c r="J79" i="19"/>
  <c r="AF57" i="19"/>
  <c r="Y57" i="19"/>
  <c r="X57" i="19"/>
  <c r="W57" i="19"/>
  <c r="V57" i="19"/>
  <c r="U57" i="19"/>
  <c r="T57" i="19"/>
  <c r="S57" i="19"/>
  <c r="R57" i="19"/>
  <c r="P57" i="19"/>
  <c r="O57" i="19"/>
  <c r="N57" i="19"/>
  <c r="M57" i="19"/>
  <c r="I57" i="19"/>
  <c r="H57" i="19"/>
  <c r="G57" i="19"/>
  <c r="F57" i="19"/>
  <c r="E57" i="19"/>
  <c r="D57" i="19"/>
  <c r="AF56" i="19"/>
  <c r="AA56" i="19"/>
  <c r="Z56" i="19"/>
  <c r="V56" i="19"/>
  <c r="U56" i="19"/>
  <c r="T56" i="19"/>
  <c r="S56" i="19"/>
  <c r="R56" i="19"/>
  <c r="P56" i="19"/>
  <c r="O56" i="19"/>
  <c r="N56" i="19"/>
  <c r="K56" i="19"/>
  <c r="J56" i="19"/>
  <c r="H56" i="19"/>
  <c r="G56" i="19"/>
  <c r="D56" i="19"/>
  <c r="D76" i="19" l="1"/>
  <c r="J76" i="19" s="1"/>
  <c r="D78" i="19"/>
  <c r="D75" i="19" s="1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E68" i="19"/>
  <c r="AF68" i="19"/>
  <c r="AS68" i="19"/>
  <c r="AT68" i="19"/>
  <c r="D68" i="19"/>
  <c r="D77" i="19" l="1"/>
  <c r="D73" i="19" l="1"/>
  <c r="D70" i="19" s="1"/>
  <c r="J80" i="19" l="1"/>
  <c r="D72" i="19"/>
</calcChain>
</file>

<file path=xl/sharedStrings.xml><?xml version="1.0" encoding="utf-8"?>
<sst xmlns="http://schemas.openxmlformats.org/spreadsheetml/2006/main" count="193" uniqueCount="64">
  <si>
    <t>Modelo:</t>
  </si>
  <si>
    <t>Máquina:</t>
  </si>
  <si>
    <t>Característica:</t>
  </si>
  <si>
    <t>Especificação</t>
  </si>
  <si>
    <t>LSE=</t>
  </si>
  <si>
    <t>X</t>
  </si>
  <si>
    <t>D=diurno</t>
  </si>
  <si>
    <t>Visto:</t>
  </si>
  <si>
    <t>LIE=</t>
  </si>
  <si>
    <t>1 vez / turno</t>
  </si>
  <si>
    <t>N=noturno</t>
  </si>
  <si>
    <t>R</t>
  </si>
  <si>
    <t>Medida: unid.(mm)</t>
  </si>
  <si>
    <t>Grupo</t>
  </si>
  <si>
    <t>Data</t>
  </si>
  <si>
    <t>Média</t>
  </si>
  <si>
    <t>Visto do operador</t>
  </si>
  <si>
    <t>Visto do lider</t>
  </si>
  <si>
    <t>Legenda:</t>
  </si>
  <si>
    <t>Diário de Bordo:</t>
  </si>
  <si>
    <t>Data:</t>
  </si>
  <si>
    <t>LSC</t>
  </si>
  <si>
    <t>LIC</t>
  </si>
  <si>
    <t>Limites Calculados</t>
  </si>
  <si>
    <t>S</t>
  </si>
  <si>
    <t>Cálculo de Cp e Cpk</t>
  </si>
  <si>
    <t>Cp</t>
  </si>
  <si>
    <t>Cpk</t>
  </si>
  <si>
    <t>Controle da Qualidade:</t>
  </si>
  <si>
    <t>Produção:</t>
  </si>
  <si>
    <t xml:space="preserve">Data: </t>
  </si>
  <si>
    <t>LSC=</t>
  </si>
  <si>
    <t>LIC=</t>
  </si>
  <si>
    <t>LC=</t>
  </si>
  <si>
    <t>Turno</t>
  </si>
  <si>
    <t>Nº de Amostras</t>
  </si>
  <si>
    <t>CONTROLE ESTATÍSTICO DO PROCESSO (CEP)</t>
  </si>
  <si>
    <t>UM-4</t>
  </si>
  <si>
    <t>Amostra n= 10</t>
  </si>
  <si>
    <t>Prensa</t>
  </si>
  <si>
    <t>Altura do Tubo de Zinco Cortado</t>
  </si>
  <si>
    <t>Limites de Especificação</t>
  </si>
  <si>
    <t>Limites de Controle</t>
  </si>
  <si>
    <t xml:space="preserve"> Média</t>
  </si>
  <si>
    <t>SJCPIL-I 16-402-XX</t>
  </si>
  <si>
    <t>Sistema de Gestão Integrado</t>
  </si>
  <si>
    <t>Panasonic do Brasil Limitada</t>
  </si>
  <si>
    <t>Controle de Espessura Lado do Tubo de Zinco</t>
  </si>
  <si>
    <r>
      <t>MÍNIMO (</t>
    </r>
    <r>
      <rPr>
        <sz val="10"/>
        <rFont val="Wingdings"/>
        <charset val="2"/>
      </rPr>
      <t>l</t>
    </r>
    <r>
      <rPr>
        <sz val="10"/>
        <rFont val="Arial"/>
        <family val="2"/>
      </rPr>
      <t>)</t>
    </r>
  </si>
  <si>
    <r>
      <t>MÁXIMO (</t>
    </r>
    <r>
      <rPr>
        <sz val="10"/>
        <rFont val="Wingdings"/>
        <charset val="2"/>
      </rPr>
      <t>¬</t>
    </r>
    <r>
      <rPr>
        <sz val="10"/>
        <rFont val="Arial"/>
        <family val="2"/>
      </rPr>
      <t>)</t>
    </r>
  </si>
  <si>
    <t>Gerência</t>
  </si>
  <si>
    <t>SJCPIL-R 16-404-00</t>
  </si>
  <si>
    <t>Média Geral</t>
  </si>
  <si>
    <t>Média Mensal</t>
  </si>
  <si>
    <t>Controle de Espessura Fundo Tubo de Zinco</t>
  </si>
  <si>
    <t>Amostra n= 5</t>
  </si>
  <si>
    <t>SETOR:  PRENSA</t>
  </si>
  <si>
    <t>Configurações</t>
  </si>
  <si>
    <t>Responsável</t>
  </si>
  <si>
    <t>D</t>
  </si>
  <si>
    <t>2° T</t>
  </si>
  <si>
    <t>3° T</t>
  </si>
  <si>
    <t>.</t>
  </si>
  <si>
    <t xml:space="preserve">Visto do Lider / Sublíder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</si>
</sst>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  <numFmt numFmtId="169" formatCode="0.000"/>
  </numFmts>
  <fonts count="27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sz val="10"/>
      <name val="Arial"/>
      <family val="2"/>
    </font>
    <font>
      <sz val="16"/>
      <name val="SwitzerlandBlack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6"/>
      <name val="Arial"/>
      <family val="2"/>
    </font>
    <font>
      <b/>
      <sz val="14"/>
      <name val="Arial"/>
      <family val="2"/>
    </font>
    <font>
      <sz val="8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b/>
      <sz val="16"/>
      <name val="Franklin Gothic Book"/>
      <family val="2"/>
    </font>
    <font>
      <b/>
      <sz val="16"/>
      <name val="Arial"/>
      <family val="2"/>
    </font>
    <font>
      <sz val="16"/>
      <name val="Arial"/>
      <family val="2"/>
    </font>
    <font>
      <sz val="10"/>
      <name val="Wingdings"/>
      <charset val="2"/>
    </font>
    <font>
      <sz val="16"/>
      <name val="Franklin Gothic Book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/>
  </cellStyleXfs>
  <cellXfs count="213">
    <xf numFmtId="0" fontId="0" fillId="0" borderId="0" xfId="0"/>
    <xf numFmtId="2" fontId="18" fillId="0" borderId="2" xfId="4" applyNumberFormat="1" applyFont="1" applyBorder="1" applyProtection="1">
      <protection locked="0"/>
    </xf>
    <xf numFmtId="2" fontId="18" fillId="0" borderId="3" xfId="4" applyNumberFormat="1" applyFont="1" applyBorder="1" applyProtection="1">
      <protection locked="0"/>
    </xf>
    <xf numFmtId="2" fontId="18" fillId="0" borderId="4" xfId="4" applyNumberFormat="1" applyFont="1" applyBorder="1" applyProtection="1">
      <protection locked="0"/>
    </xf>
    <xf numFmtId="2" fontId="18" fillId="0" borderId="5" xfId="4" applyNumberFormat="1" applyFont="1" applyBorder="1" applyProtection="1">
      <protection locked="0"/>
    </xf>
    <xf numFmtId="2" fontId="18" fillId="0" borderId="6" xfId="4" applyNumberFormat="1" applyFont="1" applyBorder="1" applyProtection="1">
      <protection locked="0"/>
    </xf>
    <xf numFmtId="2" fontId="18" fillId="0" borderId="7" xfId="4" applyNumberFormat="1" applyFont="1" applyBorder="1" applyProtection="1">
      <protection locked="0"/>
    </xf>
    <xf numFmtId="0" fontId="16" fillId="0" borderId="1" xfId="4" applyFont="1" applyBorder="1" applyAlignment="1" applyProtection="1">
      <alignment horizontal="center"/>
      <protection locked="0"/>
    </xf>
    <xf numFmtId="0" fontId="16" fillId="0" borderId="8" xfId="4" applyFont="1" applyBorder="1" applyAlignment="1" applyProtection="1">
      <alignment horizontal="center"/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2" fillId="0" borderId="9" xfId="0" applyNumberFormat="1" applyFont="1" applyBorder="1" applyAlignment="1">
      <alignment vertical="center"/>
    </xf>
    <xf numFmtId="2" fontId="13" fillId="0" borderId="9" xfId="0" applyNumberFormat="1" applyFont="1" applyBorder="1" applyAlignment="1">
      <alignment vertical="center"/>
    </xf>
    <xf numFmtId="0" fontId="8" fillId="0" borderId="9" xfId="4" applyFont="1" applyBorder="1"/>
    <xf numFmtId="0" fontId="14" fillId="0" borderId="9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2" fillId="0" borderId="11" xfId="4" applyFont="1" applyBorder="1"/>
    <xf numFmtId="0" fontId="6" fillId="0" borderId="11" xfId="4" applyFont="1" applyBorder="1"/>
    <xf numFmtId="0" fontId="14" fillId="0" borderId="12" xfId="0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16" fillId="0" borderId="14" xfId="4" applyFont="1" applyBorder="1"/>
    <xf numFmtId="0" fontId="16" fillId="0" borderId="15" xfId="0" applyFont="1" applyBorder="1" applyAlignment="1">
      <alignment horizontal="left" vertical="center"/>
    </xf>
    <xf numFmtId="2" fontId="16" fillId="0" borderId="16" xfId="4" applyNumberFormat="1" applyFont="1" applyBorder="1" applyAlignment="1">
      <alignment horizontal="center"/>
    </xf>
    <xf numFmtId="0" fontId="16" fillId="4" borderId="17" xfId="0" applyFont="1" applyFill="1" applyBorder="1" applyAlignment="1">
      <alignment vertical="center"/>
    </xf>
    <xf numFmtId="2" fontId="16" fillId="4" borderId="18" xfId="4" applyNumberFormat="1" applyFont="1" applyFill="1" applyBorder="1" applyAlignment="1">
      <alignment horizontal="center"/>
    </xf>
    <xf numFmtId="0" fontId="16" fillId="0" borderId="0" xfId="4" applyFont="1" applyAlignment="1">
      <alignment vertical="center"/>
    </xf>
    <xf numFmtId="0" fontId="16" fillId="0" borderId="19" xfId="0" applyFont="1" applyBorder="1" applyAlignment="1">
      <alignment horizontal="left" vertical="center"/>
    </xf>
    <xf numFmtId="2" fontId="16" fillId="0" borderId="20" xfId="4" applyNumberFormat="1" applyFont="1" applyBorder="1" applyAlignment="1">
      <alignment horizontal="center" vertical="center"/>
    </xf>
    <xf numFmtId="0" fontId="16" fillId="4" borderId="21" xfId="0" applyFont="1" applyFill="1" applyBorder="1" applyAlignment="1">
      <alignment vertical="center"/>
    </xf>
    <xf numFmtId="2" fontId="16" fillId="4" borderId="22" xfId="4" applyNumberFormat="1" applyFont="1" applyFill="1" applyBorder="1" applyAlignment="1">
      <alignment horizontal="center" vertical="center"/>
    </xf>
    <xf numFmtId="0" fontId="16" fillId="0" borderId="23" xfId="4" applyFont="1" applyBorder="1" applyAlignment="1">
      <alignment vertical="center"/>
    </xf>
    <xf numFmtId="0" fontId="16" fillId="0" borderId="25" xfId="4" applyFont="1" applyBorder="1" applyAlignment="1">
      <alignment horizontal="center"/>
    </xf>
    <xf numFmtId="0" fontId="16" fillId="0" borderId="0" xfId="4" applyFont="1"/>
    <xf numFmtId="0" fontId="16" fillId="0" borderId="26" xfId="4" applyFont="1" applyBorder="1" applyAlignment="1">
      <alignment horizontal="center"/>
    </xf>
    <xf numFmtId="0" fontId="16" fillId="0" borderId="27" xfId="4" applyFont="1" applyBorder="1" applyAlignment="1">
      <alignment horizontal="center"/>
    </xf>
    <xf numFmtId="0" fontId="16" fillId="0" borderId="27" xfId="4" applyFont="1" applyBorder="1"/>
    <xf numFmtId="0" fontId="16" fillId="0" borderId="28" xfId="4" applyFont="1" applyBorder="1"/>
    <xf numFmtId="0" fontId="15" fillId="0" borderId="29" xfId="4" applyFont="1" applyBorder="1" applyAlignment="1">
      <alignment horizontal="right" vertical="center"/>
    </xf>
    <xf numFmtId="0" fontId="16" fillId="0" borderId="30" xfId="4" applyFont="1" applyBorder="1"/>
    <xf numFmtId="0" fontId="16" fillId="0" borderId="31" xfId="4" applyFont="1" applyBorder="1"/>
    <xf numFmtId="0" fontId="15" fillId="0" borderId="32" xfId="4" applyFont="1" applyBorder="1" applyAlignment="1">
      <alignment horizontal="right" vertical="center"/>
    </xf>
    <xf numFmtId="0" fontId="16" fillId="0" borderId="12" xfId="4" applyFont="1" applyBorder="1"/>
    <xf numFmtId="0" fontId="16" fillId="0" borderId="13" xfId="4" applyFont="1" applyBorder="1"/>
    <xf numFmtId="0" fontId="16" fillId="0" borderId="29" xfId="4" applyFont="1" applyBorder="1" applyAlignment="1">
      <alignment vertical="center"/>
    </xf>
    <xf numFmtId="0" fontId="18" fillId="0" borderId="0" xfId="4" applyFont="1"/>
    <xf numFmtId="2" fontId="18" fillId="0" borderId="6" xfId="4" applyNumberFormat="1" applyFont="1" applyBorder="1"/>
    <xf numFmtId="0" fontId="18" fillId="0" borderId="33" xfId="4" applyFont="1" applyBorder="1"/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16" fillId="0" borderId="30" xfId="4" applyFont="1" applyBorder="1" applyAlignment="1">
      <alignment vertical="top"/>
    </xf>
    <xf numFmtId="0" fontId="19" fillId="0" borderId="0" xfId="0" applyFont="1" applyAlignment="1">
      <alignment horizontal="left"/>
    </xf>
    <xf numFmtId="0" fontId="1" fillId="0" borderId="0" xfId="0" applyFont="1"/>
    <xf numFmtId="0" fontId="20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6" fillId="0" borderId="36" xfId="4" applyFont="1" applyBorder="1" applyAlignment="1">
      <alignment horizontal="center" vertical="center"/>
    </xf>
    <xf numFmtId="0" fontId="16" fillId="0" borderId="26" xfId="4" quotePrefix="1" applyFont="1" applyBorder="1" applyAlignment="1">
      <alignment horizontal="center" vertical="center"/>
    </xf>
    <xf numFmtId="0" fontId="16" fillId="0" borderId="26" xfId="4" applyFont="1" applyBorder="1" applyAlignment="1">
      <alignment horizontal="center" vertical="center"/>
    </xf>
    <xf numFmtId="2" fontId="18" fillId="0" borderId="33" xfId="4" applyNumberFormat="1" applyFont="1" applyBorder="1"/>
    <xf numFmtId="0" fontId="16" fillId="0" borderId="38" xfId="4" applyFont="1" applyBorder="1" applyProtection="1">
      <protection locked="0"/>
    </xf>
    <xf numFmtId="0" fontId="18" fillId="0" borderId="39" xfId="4" applyFont="1" applyBorder="1" applyProtection="1">
      <protection locked="0"/>
    </xf>
    <xf numFmtId="0" fontId="18" fillId="0" borderId="40" xfId="4" applyFont="1" applyBorder="1" applyProtection="1">
      <protection locked="0"/>
    </xf>
    <xf numFmtId="0" fontId="18" fillId="0" borderId="41" xfId="4" applyFont="1" applyBorder="1" applyProtection="1">
      <protection locked="0"/>
    </xf>
    <xf numFmtId="0" fontId="18" fillId="0" borderId="42" xfId="4" applyFont="1" applyBorder="1" applyProtection="1">
      <protection locked="0"/>
    </xf>
    <xf numFmtId="0" fontId="18" fillId="0" borderId="43" xfId="4" applyFont="1" applyBorder="1" applyProtection="1">
      <protection locked="0"/>
    </xf>
    <xf numFmtId="0" fontId="18" fillId="0" borderId="44" xfId="4" applyFont="1" applyBorder="1" applyProtection="1">
      <protection locked="0"/>
    </xf>
    <xf numFmtId="0" fontId="16" fillId="0" borderId="0" xfId="4" applyFont="1" applyProtection="1">
      <protection locked="0"/>
    </xf>
    <xf numFmtId="0" fontId="16" fillId="0" borderId="28" xfId="4" applyFont="1" applyBorder="1" applyProtection="1">
      <protection locked="0"/>
    </xf>
    <xf numFmtId="0" fontId="16" fillId="0" borderId="12" xfId="4" applyFont="1" applyBorder="1" applyProtection="1">
      <protection locked="0"/>
    </xf>
    <xf numFmtId="0" fontId="16" fillId="0" borderId="13" xfId="4" applyFont="1" applyBorder="1" applyProtection="1">
      <protection locked="0"/>
    </xf>
    <xf numFmtId="2" fontId="16" fillId="0" borderId="0" xfId="4" applyNumberFormat="1" applyFont="1" applyAlignment="1">
      <alignment vertical="center"/>
    </xf>
    <xf numFmtId="0" fontId="16" fillId="0" borderId="0" xfId="4" applyFont="1" applyAlignment="1">
      <alignment vertical="center" wrapText="1"/>
    </xf>
    <xf numFmtId="0" fontId="6" fillId="0" borderId="29" xfId="4" applyFont="1" applyBorder="1"/>
    <xf numFmtId="0" fontId="15" fillId="0" borderId="57" xfId="4" applyFont="1" applyBorder="1" applyAlignment="1">
      <alignment horizontal="center" vertical="center"/>
    </xf>
    <xf numFmtId="0" fontId="15" fillId="0" borderId="58" xfId="4" applyFont="1" applyBorder="1" applyAlignment="1">
      <alignment horizontal="center" vertical="center"/>
    </xf>
    <xf numFmtId="0" fontId="15" fillId="0" borderId="57" xfId="4" applyFont="1" applyBorder="1" applyAlignment="1">
      <alignment horizontal="left" vertical="center"/>
    </xf>
    <xf numFmtId="0" fontId="16" fillId="0" borderId="28" xfId="4" applyFont="1" applyBorder="1" applyAlignment="1">
      <alignment vertical="center"/>
    </xf>
    <xf numFmtId="0" fontId="16" fillId="0" borderId="59" xfId="4" applyFont="1" applyBorder="1" applyAlignment="1">
      <alignment vertical="center"/>
    </xf>
    <xf numFmtId="0" fontId="16" fillId="0" borderId="12" xfId="4" applyFont="1" applyBorder="1" applyAlignment="1">
      <alignment horizontal="center" vertical="center"/>
    </xf>
    <xf numFmtId="0" fontId="16" fillId="0" borderId="60" xfId="0" applyFont="1" applyBorder="1" applyAlignment="1">
      <alignment horizontal="left" vertical="center"/>
    </xf>
    <xf numFmtId="2" fontId="16" fillId="0" borderId="11" xfId="4" applyNumberFormat="1" applyFont="1" applyBorder="1" applyAlignment="1">
      <alignment horizontal="center" vertical="center"/>
    </xf>
    <xf numFmtId="0" fontId="16" fillId="4" borderId="61" xfId="0" applyFont="1" applyFill="1" applyBorder="1" applyAlignment="1">
      <alignment vertical="center"/>
    </xf>
    <xf numFmtId="2" fontId="16" fillId="4" borderId="62" xfId="4" applyNumberFormat="1" applyFont="1" applyFill="1" applyBorder="1" applyAlignment="1">
      <alignment horizontal="center" vertical="center"/>
    </xf>
    <xf numFmtId="0" fontId="16" fillId="0" borderId="12" xfId="4" applyFont="1" applyBorder="1" applyAlignment="1">
      <alignment vertical="center"/>
    </xf>
    <xf numFmtId="0" fontId="16" fillId="0" borderId="12" xfId="4" applyFont="1" applyBorder="1" applyAlignment="1">
      <alignment vertical="center" wrapText="1"/>
    </xf>
    <xf numFmtId="0" fontId="16" fillId="0" borderId="13" xfId="4" applyFont="1" applyBorder="1" applyAlignment="1">
      <alignment vertical="center"/>
    </xf>
    <xf numFmtId="0" fontId="6" fillId="0" borderId="64" xfId="4" applyFont="1" applyBorder="1"/>
    <xf numFmtId="0" fontId="6" fillId="0" borderId="65" xfId="4" applyFont="1" applyBorder="1"/>
    <xf numFmtId="0" fontId="21" fillId="0" borderId="63" xfId="4" quotePrefix="1" applyFont="1" applyBorder="1" applyAlignment="1">
      <alignment horizontal="left"/>
    </xf>
    <xf numFmtId="0" fontId="16" fillId="0" borderId="0" xfId="4" applyFont="1" applyAlignment="1">
      <alignment horizontal="center" vertical="center"/>
    </xf>
    <xf numFmtId="2" fontId="16" fillId="0" borderId="29" xfId="4" applyNumberFormat="1" applyFont="1" applyBorder="1" applyAlignment="1">
      <alignment horizontal="right" vertical="center"/>
    </xf>
    <xf numFmtId="0" fontId="16" fillId="0" borderId="32" xfId="4" applyFont="1" applyBorder="1" applyAlignment="1">
      <alignment vertical="top"/>
    </xf>
    <xf numFmtId="0" fontId="16" fillId="0" borderId="12" xfId="4" applyFont="1" applyBorder="1" applyAlignment="1">
      <alignment vertical="top"/>
    </xf>
    <xf numFmtId="0" fontId="16" fillId="0" borderId="13" xfId="4" applyFont="1" applyBorder="1" applyAlignment="1">
      <alignment vertical="top"/>
    </xf>
    <xf numFmtId="2" fontId="18" fillId="0" borderId="5" xfId="4" applyNumberFormat="1" applyFont="1" applyBorder="1"/>
    <xf numFmtId="0" fontId="20" fillId="0" borderId="45" xfId="0" applyFont="1" applyBorder="1" applyAlignment="1">
      <alignment horizontal="centerContinuous" vertical="center"/>
    </xf>
    <xf numFmtId="0" fontId="20" fillId="0" borderId="30" xfId="0" applyFont="1" applyBorder="1" applyAlignment="1">
      <alignment horizontal="centerContinuous" vertical="center"/>
    </xf>
    <xf numFmtId="0" fontId="20" fillId="0" borderId="30" xfId="0" applyFont="1" applyBorder="1" applyAlignment="1">
      <alignment horizontal="centerContinuous"/>
    </xf>
    <xf numFmtId="0" fontId="20" fillId="0" borderId="30" xfId="4" applyFont="1" applyBorder="1" applyAlignment="1">
      <alignment horizontal="centerContinuous"/>
    </xf>
    <xf numFmtId="0" fontId="22" fillId="0" borderId="29" xfId="0" applyFont="1" applyBorder="1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0" fontId="23" fillId="0" borderId="0" xfId="0" applyFont="1" applyAlignment="1">
      <alignment horizontal="centerContinuous" vertical="center"/>
    </xf>
    <xf numFmtId="0" fontId="23" fillId="0" borderId="0" xfId="0" applyFont="1" applyAlignment="1">
      <alignment horizontal="centerContinuous"/>
    </xf>
    <xf numFmtId="0" fontId="23" fillId="0" borderId="0" xfId="4" applyFont="1" applyAlignment="1">
      <alignment horizontal="centerContinuous"/>
    </xf>
    <xf numFmtId="0" fontId="16" fillId="0" borderId="25" xfId="4" applyFont="1" applyBorder="1" applyAlignment="1">
      <alignment horizontal="center" vertical="center"/>
    </xf>
    <xf numFmtId="2" fontId="18" fillId="0" borderId="67" xfId="4" applyNumberFormat="1" applyFont="1" applyBorder="1" applyProtection="1">
      <protection locked="0"/>
    </xf>
    <xf numFmtId="2" fontId="18" fillId="0" borderId="68" xfId="4" applyNumberFormat="1" applyFont="1" applyBorder="1" applyProtection="1">
      <protection locked="0"/>
    </xf>
    <xf numFmtId="2" fontId="18" fillId="0" borderId="69" xfId="4" applyNumberFormat="1" applyFont="1" applyBorder="1" applyProtection="1">
      <protection locked="0"/>
    </xf>
    <xf numFmtId="0" fontId="16" fillId="0" borderId="55" xfId="4" applyFont="1" applyBorder="1" applyAlignment="1">
      <alignment horizontal="center" vertical="center"/>
    </xf>
    <xf numFmtId="0" fontId="18" fillId="0" borderId="72" xfId="4" applyFont="1" applyBorder="1"/>
    <xf numFmtId="0" fontId="18" fillId="0" borderId="73" xfId="4" applyFont="1" applyBorder="1"/>
    <xf numFmtId="2" fontId="18" fillId="0" borderId="73" xfId="4" applyNumberFormat="1" applyFont="1" applyBorder="1"/>
    <xf numFmtId="0" fontId="4" fillId="0" borderId="74" xfId="0" applyFont="1" applyBorder="1" applyAlignment="1">
      <alignment horizontal="center" vertical="center"/>
    </xf>
    <xf numFmtId="0" fontId="18" fillId="0" borderId="75" xfId="4" applyFont="1" applyBorder="1" applyProtection="1">
      <protection locked="0"/>
    </xf>
    <xf numFmtId="0" fontId="18" fillId="0" borderId="76" xfId="4" applyFont="1" applyBorder="1" applyProtection="1">
      <protection locked="0"/>
    </xf>
    <xf numFmtId="0" fontId="18" fillId="0" borderId="77" xfId="4" applyFont="1" applyBorder="1" applyProtection="1">
      <protection locked="0"/>
    </xf>
    <xf numFmtId="0" fontId="20" fillId="0" borderId="0" xfId="0" applyFont="1" applyAlignment="1">
      <alignment horizontal="right"/>
    </xf>
    <xf numFmtId="2" fontId="18" fillId="0" borderId="19" xfId="4" applyNumberFormat="1" applyFont="1" applyBorder="1"/>
    <xf numFmtId="0" fontId="18" fillId="0" borderId="56" xfId="4" applyFont="1" applyBorder="1"/>
    <xf numFmtId="0" fontId="16" fillId="0" borderId="78" xfId="4" applyFont="1" applyBorder="1" applyAlignment="1">
      <alignment horizontal="center" vertical="center"/>
    </xf>
    <xf numFmtId="169" fontId="6" fillId="0" borderId="0" xfId="4" applyNumberFormat="1" applyFont="1"/>
    <xf numFmtId="0" fontId="16" fillId="0" borderId="12" xfId="4" applyFont="1" applyBorder="1" applyAlignment="1">
      <alignment horizontal="left" vertical="top"/>
    </xf>
    <xf numFmtId="0" fontId="16" fillId="0" borderId="32" xfId="4" applyFont="1" applyBorder="1" applyAlignment="1">
      <alignment horizontal="center" vertical="top"/>
    </xf>
    <xf numFmtId="14" fontId="16" fillId="0" borderId="0" xfId="4" applyNumberFormat="1" applyFont="1" applyProtection="1">
      <protection locked="0"/>
    </xf>
    <xf numFmtId="0" fontId="16" fillId="0" borderId="29" xfId="4" applyFont="1" applyBorder="1"/>
    <xf numFmtId="2" fontId="18" fillId="0" borderId="37" xfId="4" applyNumberFormat="1" applyFont="1" applyBorder="1"/>
    <xf numFmtId="0" fontId="16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2" fontId="16" fillId="0" borderId="0" xfId="4" applyNumberFormat="1" applyFont="1"/>
    <xf numFmtId="0" fontId="25" fillId="0" borderId="63" xfId="4" quotePrefix="1" applyFont="1" applyBorder="1" applyAlignment="1">
      <alignment horizontal="left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6" fillId="0" borderId="12" xfId="4" applyFont="1" applyBorder="1"/>
    <xf numFmtId="0" fontId="19" fillId="0" borderId="46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2" fontId="18" fillId="0" borderId="7" xfId="4" applyNumberFormat="1" applyFont="1" applyBorder="1"/>
    <xf numFmtId="0" fontId="18" fillId="0" borderId="79" xfId="4" applyFont="1" applyBorder="1"/>
    <xf numFmtId="0" fontId="16" fillId="0" borderId="30" xfId="4" applyFont="1" applyBorder="1" applyAlignment="1">
      <alignment vertical="center"/>
    </xf>
    <xf numFmtId="0" fontId="17" fillId="0" borderId="30" xfId="0" applyFont="1" applyBorder="1" applyAlignment="1">
      <alignment vertical="center"/>
    </xf>
    <xf numFmtId="0" fontId="18" fillId="0" borderId="80" xfId="4" applyFont="1" applyBorder="1"/>
    <xf numFmtId="0" fontId="16" fillId="0" borderId="81" xfId="4" applyFont="1" applyBorder="1" applyProtection="1">
      <protection locked="0"/>
    </xf>
    <xf numFmtId="0" fontId="17" fillId="0" borderId="30" xfId="0" applyFont="1" applyBorder="1" applyAlignment="1">
      <alignment horizontal="left" vertical="center"/>
    </xf>
    <xf numFmtId="0" fontId="17" fillId="0" borderId="31" xfId="0" applyFont="1" applyBorder="1" applyAlignment="1">
      <alignment horizontal="left" vertical="center"/>
    </xf>
    <xf numFmtId="0" fontId="17" fillId="0" borderId="30" xfId="0" quotePrefix="1" applyFont="1" applyBorder="1" applyAlignment="1">
      <alignment vertical="center"/>
    </xf>
    <xf numFmtId="0" fontId="17" fillId="0" borderId="0" xfId="0" quotePrefix="1" applyFont="1" applyAlignment="1">
      <alignment vertical="center"/>
    </xf>
    <xf numFmtId="0" fontId="26" fillId="0" borderId="0" xfId="11" applyFont="1"/>
    <xf numFmtId="0" fontId="4" fillId="0" borderId="0" xfId="11"/>
    <xf numFmtId="0" fontId="4" fillId="5" borderId="0" xfId="11" applyFill="1" applyProtection="1">
      <protection locked="0"/>
    </xf>
    <xf numFmtId="0" fontId="9" fillId="0" borderId="0" xfId="11" applyFont="1"/>
    <xf numFmtId="0" fontId="4" fillId="0" borderId="35" xfId="0" applyFont="1" applyBorder="1" applyAlignment="1">
      <alignment horizontal="center" vertical="center" wrapText="1"/>
    </xf>
    <xf numFmtId="0" fontId="16" fillId="0" borderId="26" xfId="4" applyFont="1" applyBorder="1" applyAlignment="1">
      <alignment horizontal="center" vertical="center" wrapText="1"/>
    </xf>
    <xf numFmtId="0" fontId="9" fillId="0" borderId="0" xfId="11" applyFont="1" applyAlignment="1">
      <alignment horizontal="right"/>
    </xf>
    <xf numFmtId="0" fontId="1" fillId="0" borderId="0" xfId="0" applyFont="1" applyAlignment="1">
      <alignment horizontal="right"/>
    </xf>
    <xf numFmtId="0" fontId="16" fillId="0" borderId="29" xfId="4" applyFont="1" applyBorder="1" applyAlignment="1">
      <alignment horizontal="right" vertical="center"/>
    </xf>
    <xf numFmtId="0" fontId="16" fillId="0" borderId="0" xfId="4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46" xfId="0" applyFont="1" applyBorder="1" applyAlignment="1">
      <alignment horizontal="left" vertical="center"/>
    </xf>
    <xf numFmtId="0" fontId="19" fillId="0" borderId="47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19" fillId="0" borderId="48" xfId="0" applyFont="1" applyBorder="1" applyAlignment="1">
      <alignment horizontal="left" vertical="center"/>
    </xf>
    <xf numFmtId="0" fontId="19" fillId="0" borderId="49" xfId="0" applyFont="1" applyBorder="1" applyAlignment="1">
      <alignment horizontal="left" vertical="center"/>
    </xf>
    <xf numFmtId="0" fontId="19" fillId="0" borderId="52" xfId="0" applyFont="1" applyBorder="1" applyAlignment="1">
      <alignment horizontal="left" vertical="center"/>
    </xf>
    <xf numFmtId="0" fontId="19" fillId="0" borderId="53" xfId="0" applyFont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2" fontId="16" fillId="0" borderId="29" xfId="4" applyNumberFormat="1" applyFont="1" applyBorder="1" applyAlignment="1">
      <alignment horizontal="right" vertical="center"/>
    </xf>
    <xf numFmtId="49" fontId="16" fillId="0" borderId="29" xfId="4" applyNumberFormat="1" applyFont="1" applyBorder="1" applyAlignment="1">
      <alignment horizontal="right" vertical="center"/>
    </xf>
    <xf numFmtId="0" fontId="17" fillId="0" borderId="3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2" fontId="16" fillId="0" borderId="45" xfId="4" applyNumberFormat="1" applyFont="1" applyBorder="1" applyAlignment="1">
      <alignment horizontal="right" vertical="center"/>
    </xf>
    <xf numFmtId="0" fontId="16" fillId="0" borderId="45" xfId="4" applyFont="1" applyBorder="1" applyAlignment="1">
      <alignment horizontal="center" vertical="top"/>
    </xf>
    <xf numFmtId="0" fontId="16" fillId="0" borderId="30" xfId="4" applyFont="1" applyBorder="1" applyAlignment="1">
      <alignment horizontal="center" vertical="top"/>
    </xf>
    <xf numFmtId="0" fontId="16" fillId="0" borderId="31" xfId="4" applyFont="1" applyBorder="1" applyAlignment="1">
      <alignment horizontal="center" vertical="top"/>
    </xf>
    <xf numFmtId="0" fontId="9" fillId="0" borderId="45" xfId="4" applyFont="1" applyBorder="1" applyAlignment="1">
      <alignment horizontal="center" vertical="center"/>
    </xf>
    <xf numFmtId="0" fontId="9" fillId="0" borderId="30" xfId="4" applyFont="1" applyBorder="1" applyAlignment="1">
      <alignment horizontal="center" vertical="center"/>
    </xf>
    <xf numFmtId="0" fontId="9" fillId="0" borderId="32" xfId="4" applyFont="1" applyBorder="1" applyAlignment="1">
      <alignment horizontal="center" vertical="center"/>
    </xf>
    <xf numFmtId="0" fontId="9" fillId="0" borderId="12" xfId="4" applyFont="1" applyBorder="1" applyAlignment="1">
      <alignment horizontal="center" vertical="center"/>
    </xf>
    <xf numFmtId="0" fontId="10" fillId="0" borderId="30" xfId="4" applyFont="1" applyBorder="1" applyAlignment="1">
      <alignment horizontal="center" vertical="center"/>
    </xf>
    <xf numFmtId="0" fontId="10" fillId="0" borderId="31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0" fillId="0" borderId="13" xfId="4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2" fontId="12" fillId="0" borderId="25" xfId="0" applyNumberFormat="1" applyFont="1" applyBorder="1" applyAlignment="1">
      <alignment horizontal="center" vertical="center"/>
    </xf>
    <xf numFmtId="2" fontId="12" fillId="0" borderId="9" xfId="0" applyNumberFormat="1" applyFont="1" applyBorder="1" applyAlignment="1">
      <alignment horizontal="center" vertical="center"/>
    </xf>
    <xf numFmtId="2" fontId="12" fillId="0" borderId="54" xfId="0" applyNumberFormat="1" applyFont="1" applyBorder="1" applyAlignment="1">
      <alignment horizontal="center" vertical="center"/>
    </xf>
    <xf numFmtId="0" fontId="12" fillId="0" borderId="55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2" fillId="0" borderId="56" xfId="4" applyFont="1" applyBorder="1" applyAlignment="1">
      <alignment horizontal="center"/>
    </xf>
    <xf numFmtId="0" fontId="6" fillId="0" borderId="0" xfId="4" applyFont="1" applyAlignment="1">
      <alignment horizontal="center"/>
    </xf>
    <xf numFmtId="0" fontId="17" fillId="0" borderId="30" xfId="0" quotePrefix="1" applyFont="1" applyBorder="1" applyAlignment="1">
      <alignment horizontal="center" vertical="center"/>
    </xf>
    <xf numFmtId="0" fontId="17" fillId="0" borderId="31" xfId="0" quotePrefix="1" applyFont="1" applyBorder="1" applyAlignment="1">
      <alignment horizontal="center" vertical="center"/>
    </xf>
    <xf numFmtId="0" fontId="17" fillId="0" borderId="12" xfId="0" quotePrefix="1" applyFont="1" applyBorder="1" applyAlignment="1">
      <alignment horizontal="center" vertical="center"/>
    </xf>
    <xf numFmtId="0" fontId="17" fillId="0" borderId="13" xfId="0" quotePrefix="1" applyFont="1" applyBorder="1" applyAlignment="1">
      <alignment horizontal="center" vertical="center"/>
    </xf>
    <xf numFmtId="0" fontId="17" fillId="0" borderId="45" xfId="0" quotePrefix="1" applyFont="1" applyBorder="1" applyAlignment="1">
      <alignment horizontal="center" vertical="center"/>
    </xf>
    <xf numFmtId="0" fontId="17" fillId="0" borderId="32" xfId="0" quotePrefix="1" applyFont="1" applyBorder="1" applyAlignment="1">
      <alignment horizontal="center" vertical="center"/>
    </xf>
    <xf numFmtId="0" fontId="4" fillId="0" borderId="66" xfId="4" applyFont="1" applyBorder="1" applyAlignment="1">
      <alignment horizontal="center" vertical="center" textRotation="90"/>
    </xf>
    <xf numFmtId="0" fontId="4" fillId="0" borderId="70" xfId="4" applyFont="1" applyBorder="1" applyAlignment="1">
      <alignment horizontal="center" vertical="center" textRotation="90"/>
    </xf>
    <xf numFmtId="0" fontId="4" fillId="0" borderId="71" xfId="4" applyFont="1" applyBorder="1" applyAlignment="1">
      <alignment horizontal="center" vertical="center" textRotation="90"/>
    </xf>
    <xf numFmtId="0" fontId="17" fillId="0" borderId="0" xfId="0" applyFont="1" applyAlignment="1">
      <alignment horizontal="center" vertical="center"/>
    </xf>
    <xf numFmtId="0" fontId="17" fillId="0" borderId="28" xfId="0" applyFont="1" applyBorder="1" applyAlignment="1">
      <alignment horizontal="center" vertical="center"/>
    </xf>
  </cellXfs>
  <cellStyles count="12">
    <cellStyle name="Grey" xfId="1"/>
    <cellStyle name="Input [yellow]" xfId="2"/>
    <cellStyle name="Normal" xfId="0" builtinId="0"/>
    <cellStyle name="Normal - Style1" xfId="3"/>
    <cellStyle name="Normal 2" xfId="11"/>
    <cellStyle name="Normal_FA" xfId="4"/>
    <cellStyle name="Percent [2]" xfId="5"/>
    <cellStyle name="桁区切り [0.00]_laroux" xfId="6"/>
    <cellStyle name="桁区切り_laroux" xfId="7"/>
    <cellStyle name="標準_22生産1" xfId="8"/>
    <cellStyle name="通貨 [0.00]_９７上" xfId="9"/>
    <cellStyle name="通貨_９７上" xfId="1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79123856503461E-2"/>
          <c:y val="1.8129921259842519E-2"/>
          <c:w val="0.94848948143480627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16-402-02 - Esp. Fundo'!$C$53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16-402-02 - Esp. Fundo'!$D$9:$AT$9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cat>
          <c:val>
            <c:numRef>
              <c:f>'SJCPIL-R 16-402-02 - Esp. Fundo'!$D$53:$AT$53</c:f>
              <c:numCache>
                <c:formatCode>0.00</c:formatCode>
                <c:ptCount val="43"/>
                <c:pt idx="0">
                  <c:v>0.47799999999999992</c:v>
                </c:pt>
                <c:pt idx="1">
                  <c:v>0.48599999999999993</c:v>
                </c:pt>
                <c:pt idx="2">
                  <c:v>0.51800000000000002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0-40A7-9575-705BF006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26424"/>
        <c:axId val="22133091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16-402-02 - Esp. Fundo'!$F$4</c:f>
              <c:numCache>
                <c:formatCode>0.00</c:formatCode>
                <c:ptCount val="1"/>
                <c:pt idx="0">
                  <c:v>0.70000000000000007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0-40A7-9575-705BF0066992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</a:ln>
            </c:spPr>
          </c:errBars>
          <c:yVal>
            <c:numRef>
              <c:f>'SJCPIL-R 16-402-02 - Esp. Fundo'!$H$4</c:f>
              <c:numCache>
                <c:formatCode>0.00</c:formatCode>
                <c:ptCount val="1"/>
                <c:pt idx="0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70-40A7-9575-705BF0066992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  <a:prstDash val="lgDashDotDot"/>
              </a:ln>
            </c:spPr>
          </c:errBars>
          <c:yVal>
            <c:numRef>
              <c:f>'SJCPIL-R 16-402-02 - Esp. Fundo'!$H$5</c:f>
              <c:numCache>
                <c:formatCode>0.00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70-40A7-9575-705BF0066992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00B05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16-402-02 - Esp. Fundo'!$H$6</c:f>
              <c:numCache>
                <c:formatCode>0.00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70-40A7-9575-705BF0066992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16-402-02 - Esp. Fundo'!$F$6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70-40A7-9575-705BF006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31680"/>
        <c:axId val="221331296"/>
      </c:scatterChart>
      <c:catAx>
        <c:axId val="221326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1330912"/>
        <c:crosses val="autoZero"/>
        <c:auto val="1"/>
        <c:lblAlgn val="ctr"/>
        <c:lblOffset val="100"/>
        <c:tickMarkSkip val="1"/>
        <c:noMultiLvlLbl val="0"/>
      </c:catAx>
      <c:valAx>
        <c:axId val="221330912"/>
        <c:scaling>
          <c:orientation val="minMax"/>
          <c:max val="0.75000000000000011"/>
          <c:min val="0.35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1326424"/>
        <c:crosses val="autoZero"/>
        <c:crossBetween val="between"/>
        <c:majorUnit val="5.000000000000001E-2"/>
        <c:minorUnit val="1.0000000000000002E-2"/>
      </c:valAx>
      <c:valAx>
        <c:axId val="2213312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1331680"/>
        <c:crosses val="max"/>
        <c:crossBetween val="midCat"/>
      </c:valAx>
      <c:valAx>
        <c:axId val="22133168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13312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344592333001068E-2"/>
          <c:y val="5.6677495575681358E-2"/>
          <c:w val="0.9763227720454436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16-402-02 - Esp. Fundo'!$D$54:$AT$54</c:f>
              <c:numCache>
                <c:formatCode>0.00</c:formatCode>
                <c:ptCount val="43"/>
                <c:pt idx="0">
                  <c:v>3.999999999999998E-2</c:v>
                </c:pt>
                <c:pt idx="1">
                  <c:v>3.0000000000000027E-2</c:v>
                </c:pt>
                <c:pt idx="2">
                  <c:v>5.0000000000000044E-2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6-4B09-8F2F-5BD2F8D6F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65656"/>
        <c:axId val="9477395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16-402-02 - Esp. Fundo'!$H$7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6-4B09-8F2F-5BD2F8D6F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75128"/>
        <c:axId val="94771600"/>
      </c:scatterChart>
      <c:catAx>
        <c:axId val="22176565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94773952"/>
        <c:crosses val="autoZero"/>
        <c:auto val="1"/>
        <c:lblAlgn val="ctr"/>
        <c:lblOffset val="100"/>
        <c:noMultiLvlLbl val="0"/>
      </c:catAx>
      <c:valAx>
        <c:axId val="94773952"/>
        <c:scaling>
          <c:orientation val="minMax"/>
          <c:max val="0.3000000000000000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1765656"/>
        <c:crosses val="autoZero"/>
        <c:crossBetween val="between"/>
        <c:majorUnit val="0.1"/>
        <c:minorUnit val="2.0000000000000004E-2"/>
      </c:valAx>
      <c:valAx>
        <c:axId val="9477160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94775128"/>
        <c:crosses val="max"/>
        <c:crossBetween val="midCat"/>
      </c:valAx>
      <c:valAx>
        <c:axId val="9477512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947716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134775869551743E-2"/>
          <c:y val="3.9062419732994694E-2"/>
          <c:w val="0.9457433442866886"/>
          <c:h val="0.92448151774474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16-403-04 - Esp. Lado '!$C$49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'SJCPIL-R 16-403-04 - Esp. Lado '!$D$9:$AT$9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cat>
          <c:val>
            <c:numRef>
              <c:f>'SJCPIL-R 16-403-04 - Esp. Lado '!$D$49:$AT$49</c:f>
              <c:numCache>
                <c:formatCode>0.00</c:formatCode>
                <c:ptCount val="43"/>
                <c:pt idx="0">
                  <c:v>0.26400000000000001</c:v>
                </c:pt>
                <c:pt idx="1">
                  <c:v>0.28999999999999998</c:v>
                </c:pt>
                <c:pt idx="2">
                  <c:v>0.26400000000000001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F-4093-AB71-8F9CC9A9281C}"/>
            </c:ext>
          </c:extLst>
        </c:ser>
        <c:ser>
          <c:idx val="6"/>
          <c:order val="6"/>
          <c:tx>
            <c:v>Média-Maior</c:v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val>
            <c:numRef>
              <c:f>'SJCPIL-R 16-403-04 - Esp. Lado '!$D$56:$AT$56</c:f>
              <c:numCache>
                <c:formatCode>0.00</c:formatCode>
                <c:ptCount val="43"/>
                <c:pt idx="0">
                  <c:v>0.3</c:v>
                </c:pt>
                <c:pt idx="1">
                  <c:v>0.312</c:v>
                </c:pt>
                <c:pt idx="2">
                  <c:v>0.30199999999999999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C8F-4093-AB71-8F9CC9A9281C}"/>
            </c:ext>
          </c:extLst>
        </c:ser>
        <c:ser>
          <c:idx val="7"/>
          <c:order val="7"/>
          <c:tx>
            <c:v>Média-Total</c:v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'SJCPIL-R 16-403-04 - Esp. Lado '!$D$68:$AT$68</c:f>
              <c:numCache>
                <c:formatCode>0.00</c:formatCode>
                <c:ptCount val="43"/>
                <c:pt idx="0">
                  <c:v>0.28199999999999997</c:v>
                </c:pt>
                <c:pt idx="1">
                  <c:v>0.30099999999999999</c:v>
                </c:pt>
                <c:pt idx="2">
                  <c:v>0.28300000000000003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C8F-4093-AB71-8F9CC9A9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72384"/>
        <c:axId val="22165230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16-403-04 - Esp. Lado '!$F$4</c:f>
              <c:numCache>
                <c:formatCode>0.00</c:formatCode>
                <c:ptCount val="1"/>
                <c:pt idx="0">
                  <c:v>0.31000000000000005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8F-4093-AB71-8F9CC9A9281C}"/>
            </c:ext>
          </c:extLst>
        </c:ser>
        <c:ser>
          <c:idx val="2"/>
          <c:order val="2"/>
          <c:tx>
            <c:v>LSC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 w="25400">
                <a:solidFill>
                  <a:srgbClr val="00B050"/>
                </a:solidFill>
              </a:ln>
            </c:spPr>
          </c:errBars>
          <c:yVal>
            <c:numRef>
              <c:f>'SJCPIL-R 16-403-04 - Esp. Lado '!$H$4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8F-4093-AB71-8F9CC9A9281C}"/>
            </c:ext>
          </c:extLst>
        </c:ser>
        <c:ser>
          <c:idx val="3"/>
          <c:order val="3"/>
          <c:tx>
            <c:v>LC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00B050"/>
                </a:solidFill>
                <a:prstDash val="lgDashDot"/>
              </a:ln>
            </c:spPr>
          </c:errBars>
          <c:yVal>
            <c:numRef>
              <c:f>'SJCPIL-R 16-403-04 - Esp. Lado '!$F$5</c:f>
              <c:numCache>
                <c:formatCode>0.00</c:formatCode>
                <c:ptCount val="1"/>
                <c:pt idx="0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8F-4093-AB71-8F9CC9A9281C}"/>
            </c:ext>
          </c:extLst>
        </c:ser>
        <c:ser>
          <c:idx val="4"/>
          <c:order val="4"/>
          <c:tx>
            <c:v>LIC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 w="25400">
                <a:solidFill>
                  <a:srgbClr val="00B050"/>
                </a:solidFill>
              </a:ln>
            </c:spPr>
          </c:errBars>
          <c:yVal>
            <c:numRef>
              <c:f>'SJCPIL-R 16-403-04 - Esp. Lado '!$H$6</c:f>
              <c:numCache>
                <c:formatCode>0.00</c:formatCode>
                <c:ptCount val="1"/>
                <c:pt idx="0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8F-4093-AB71-8F9CC9A9281C}"/>
            </c:ext>
          </c:extLst>
        </c:ser>
        <c:ser>
          <c:idx val="5"/>
          <c:order val="5"/>
          <c:tx>
            <c:v>LIE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16-403-04 - Esp. Lado '!$F$6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8F-4093-AB71-8F9CC9A9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57400"/>
        <c:axId val="221655048"/>
      </c:scatterChart>
      <c:catAx>
        <c:axId val="94772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crossAx val="221652304"/>
        <c:crosses val="autoZero"/>
        <c:auto val="1"/>
        <c:lblAlgn val="ctr"/>
        <c:lblOffset val="100"/>
        <c:noMultiLvlLbl val="0"/>
      </c:catAx>
      <c:valAx>
        <c:axId val="221652304"/>
        <c:scaling>
          <c:orientation val="minMax"/>
          <c:max val="0.36000000000000004"/>
          <c:min val="0.2"/>
        </c:scaling>
        <c:delete val="0"/>
        <c:axPos val="l"/>
        <c:majorGridlines>
          <c:spPr>
            <a:ln>
              <a:solidFill>
                <a:srgbClr val="000000"/>
              </a:solidFill>
            </a:ln>
          </c:spPr>
        </c:majorGridlines>
        <c:minorGridlines>
          <c:spPr>
            <a:ln w="3175">
              <a:solidFill>
                <a:schemeClr val="bg1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4772384"/>
        <c:crosses val="autoZero"/>
        <c:crossBetween val="between"/>
        <c:majorUnit val="1.0000000000000002E-2"/>
        <c:minorUnit val="1.0000000000000002E-2"/>
      </c:valAx>
      <c:valAx>
        <c:axId val="22165504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1657400"/>
        <c:crosses val="max"/>
        <c:crossBetween val="midCat"/>
      </c:valAx>
      <c:valAx>
        <c:axId val="2216574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165504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739421152751851E-2"/>
          <c:y val="8.9286233295161915E-2"/>
          <c:w val="0.96692852553257014"/>
          <c:h val="0.82738576186850044"/>
        </c:manualLayout>
      </c:layout>
      <c:lineChart>
        <c:grouping val="standard"/>
        <c:varyColors val="0"/>
        <c:ser>
          <c:idx val="0"/>
          <c:order val="0"/>
          <c:spPr>
            <a:ln w="22225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val>
            <c:numRef>
              <c:f>'SJCPIL-R 16-403-04 - Esp. Lado '!$D$50:$AT$50</c:f>
              <c:numCache>
                <c:formatCode>General</c:formatCode>
                <c:ptCount val="43"/>
                <c:pt idx="0">
                  <c:v>1.0000000000000009E-2</c:v>
                </c:pt>
                <c:pt idx="1">
                  <c:v>1.9999999999999962E-2</c:v>
                </c:pt>
                <c:pt idx="2">
                  <c:v>1.0000000000000009E-2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2-4F8E-9352-4B0FD8007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656616"/>
        <c:axId val="22165857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16-403-04 - Esp. Lado '!$H$7</c:f>
              <c:numCache>
                <c:formatCode>0.00</c:formatCode>
                <c:ptCount val="1"/>
                <c:pt idx="0">
                  <c:v>4.0000000000000036E-2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2-4F8E-9352-4B0FD8007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56224"/>
        <c:axId val="221655440"/>
      </c:scatterChart>
      <c:catAx>
        <c:axId val="2216566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1658576"/>
        <c:crosses val="autoZero"/>
        <c:auto val="1"/>
        <c:lblAlgn val="ctr"/>
        <c:lblOffset val="100"/>
        <c:noMultiLvlLbl val="0"/>
      </c:catAx>
      <c:valAx>
        <c:axId val="221658576"/>
        <c:scaling>
          <c:orientation val="minMax"/>
          <c:max val="0.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/>
              </a:solidFill>
              <a:prstDash val="solid"/>
            </a:ln>
            <a:effectLst>
              <a:glow rad="127000">
                <a:schemeClr val="bg1"/>
              </a:glow>
              <a:outerShdw blurRad="50800" dist="50800" dir="5400000" algn="ctr" rotWithShape="0">
                <a:schemeClr val="bg1"/>
              </a:outerShdw>
            </a:effectLst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1656616"/>
        <c:crosses val="autoZero"/>
        <c:crossBetween val="between"/>
        <c:majorUnit val="2.0000000000000004E-2"/>
        <c:minorUnit val="1.0000000000000002E-2"/>
      </c:valAx>
      <c:valAx>
        <c:axId val="2216554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1656224"/>
        <c:crosses val="max"/>
        <c:crossBetween val="midCat"/>
      </c:valAx>
      <c:valAx>
        <c:axId val="22165622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165544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037948474782878E-2"/>
          <c:y val="1.8129921259842519E-2"/>
          <c:w val="0.94911472220694115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16-404-03-Alt. tb cort'!$C$53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16-404-03-Alt. tb cort'!$D$9:$AT$9</c:f>
              <c:numCache>
                <c:formatCode>General</c:formatCode>
                <c:ptCount val="4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</c:numCache>
            </c:numRef>
          </c:cat>
          <c:val>
            <c:numRef>
              <c:f>'SJCPIL-R 16-404-03-Alt. tb cort'!$D$53:$AT$53</c:f>
              <c:numCache>
                <c:formatCode>0.00</c:formatCode>
                <c:ptCount val="43"/>
                <c:pt idx="0">
                  <c:v>43.45</c:v>
                </c:pt>
                <c:pt idx="1">
                  <c:v>43.458000000000006</c:v>
                </c:pt>
                <c:pt idx="2">
                  <c:v>43.459999999999994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A-40D5-9C35-DB47C162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655832"/>
        <c:axId val="22165269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16-404-03-Alt. tb cort'!$F$4</c:f>
              <c:numCache>
                <c:formatCode>0.00</c:formatCode>
                <c:ptCount val="1"/>
                <c:pt idx="0">
                  <c:v>43.7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1A-40D5-9C35-DB47C1629265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rgbClr val="00B050"/>
                </a:solidFill>
              </a:ln>
            </c:spPr>
          </c:errBars>
          <c:yVal>
            <c:numRef>
              <c:f>'SJCPIL-R 16-404-03-Alt. tb cort'!$H$4</c:f>
              <c:numCache>
                <c:formatCode>0.00</c:formatCode>
                <c:ptCount val="1"/>
                <c:pt idx="0">
                  <c:v>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1A-40D5-9C35-DB47C1629265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00B050"/>
                </a:solidFill>
                <a:prstDash val="lgDashDotDot"/>
              </a:ln>
            </c:spPr>
          </c:errBars>
          <c:yVal>
            <c:numRef>
              <c:f>'SJCPIL-R 16-404-03-Alt. tb cort'!$H$5</c:f>
              <c:numCache>
                <c:formatCode>0.00</c:formatCode>
                <c:ptCount val="1"/>
                <c:pt idx="0">
                  <c:v>43.5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1A-40D5-9C35-DB47C1629265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00B05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16-404-03-Alt. tb cort'!$H$6</c:f>
              <c:numCache>
                <c:formatCode>0.00</c:formatCode>
                <c:ptCount val="1"/>
                <c:pt idx="0">
                  <c:v>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1A-40D5-9C35-DB47C1629265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16-404-03-Alt. tb cort'!$F$6</c:f>
              <c:numCache>
                <c:formatCode>0.00</c:formatCode>
                <c:ptCount val="1"/>
                <c:pt idx="0">
                  <c:v>43.3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1A-40D5-9C35-DB47C162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57792"/>
        <c:axId val="221653088"/>
      </c:scatterChart>
      <c:catAx>
        <c:axId val="221655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1652696"/>
        <c:crosses val="autoZero"/>
        <c:auto val="1"/>
        <c:lblAlgn val="ctr"/>
        <c:lblOffset val="100"/>
        <c:tickMarkSkip val="1"/>
        <c:noMultiLvlLbl val="0"/>
      </c:catAx>
      <c:valAx>
        <c:axId val="221652696"/>
        <c:scaling>
          <c:orientation val="minMax"/>
          <c:max val="43.8"/>
          <c:min val="43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1655832"/>
        <c:crosses val="autoZero"/>
        <c:crossBetween val="between"/>
        <c:majorUnit val="0.1"/>
        <c:minorUnit val="2.0000000000000004E-2"/>
      </c:valAx>
      <c:valAx>
        <c:axId val="22165308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1657792"/>
        <c:crosses val="max"/>
        <c:crossBetween val="midCat"/>
      </c:valAx>
      <c:valAx>
        <c:axId val="22165779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165308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433356655060374E-2"/>
          <c:y val="5.6677495575681358E-2"/>
          <c:w val="0.97483918914662693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16-404-03-Alt. tb cort'!$D$54:$AT$54</c:f>
              <c:numCache>
                <c:formatCode>0.00</c:formatCode>
                <c:ptCount val="43"/>
                <c:pt idx="0">
                  <c:v>7.9999999999998295E-2</c:v>
                </c:pt>
                <c:pt idx="1">
                  <c:v>8.9999999999996305E-2</c:v>
                </c:pt>
                <c:pt idx="2">
                  <c:v>8.9999999999996305E-2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8-4C96-99C8-FB1074485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658184"/>
        <c:axId val="22165191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16-404-03-Alt. tb cort'!$H$7</c:f>
              <c:numCache>
                <c:formatCode>0.00</c:formatCode>
                <c:ptCount val="1"/>
                <c:pt idx="0">
                  <c:v>0.20000000000000284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C8-4C96-99C8-FB1074485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09400"/>
        <c:axId val="222614888"/>
      </c:scatterChart>
      <c:catAx>
        <c:axId val="22165818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1651912"/>
        <c:crosses val="autoZero"/>
        <c:auto val="1"/>
        <c:lblAlgn val="ctr"/>
        <c:lblOffset val="100"/>
        <c:noMultiLvlLbl val="0"/>
      </c:catAx>
      <c:valAx>
        <c:axId val="221651912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1658184"/>
        <c:crosses val="autoZero"/>
        <c:crossBetween val="between"/>
        <c:majorUnit val="0.1"/>
        <c:minorUnit val="5.000000000000001E-2"/>
      </c:valAx>
      <c:valAx>
        <c:axId val="22261488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2609400"/>
        <c:crosses val="max"/>
        <c:crossBetween val="midCat"/>
      </c:valAx>
      <c:valAx>
        <c:axId val="2226094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261488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37</xdr:row>
      <xdr:rowOff>66675</xdr:rowOff>
    </xdr:from>
    <xdr:to>
      <xdr:col>3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4F58D29-6077-4FB2-B4BF-FF29973E7456}"/>
            </a:ext>
          </a:extLst>
        </xdr:cNvPr>
        <xdr:cNvSpPr>
          <a:spLocks noChangeShapeType="1"/>
        </xdr:cNvSpPr>
      </xdr:nvSpPr>
      <xdr:spPr bwMode="auto">
        <a:xfrm>
          <a:off x="1371600" y="605790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20</xdr:row>
      <xdr:rowOff>0</xdr:rowOff>
    </xdr:from>
    <xdr:to>
      <xdr:col>2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7249B72-878B-45AE-BBB7-6EEB5E937CB6}"/>
            </a:ext>
          </a:extLst>
        </xdr:cNvPr>
        <xdr:cNvGrpSpPr>
          <a:grpSpLocks/>
        </xdr:cNvGrpSpPr>
      </xdr:nvGrpSpPr>
      <xdr:grpSpPr bwMode="auto">
        <a:xfrm>
          <a:off x="26670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2B286396-F52F-4F18-8A3D-626F3317FFAE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A05038DA-5F05-4267-8CAD-656BF404631E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47625</xdr:colOff>
      <xdr:row>39</xdr:row>
      <xdr:rowOff>104775</xdr:rowOff>
    </xdr:from>
    <xdr:to>
      <xdr:col>2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6B80B4-0925-4704-8FF4-1CE6FF3E6FEE}"/>
            </a:ext>
          </a:extLst>
        </xdr:cNvPr>
        <xdr:cNvSpPr txBox="1">
          <a:spLocks noChangeArrowheads="1"/>
        </xdr:cNvSpPr>
      </xdr:nvSpPr>
      <xdr:spPr bwMode="auto">
        <a:xfrm>
          <a:off x="733425" y="6419850"/>
          <a:ext cx="2857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26</xdr:col>
      <xdr:colOff>0</xdr:colOff>
      <xdr:row>1</xdr:row>
      <xdr:rowOff>9525</xdr:rowOff>
    </xdr:from>
    <xdr:to>
      <xdr:col>26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B81BC6B5-6695-482F-A9D8-2D89F8A41391}"/>
            </a:ext>
          </a:extLst>
        </xdr:cNvPr>
        <xdr:cNvSpPr>
          <a:spLocks noChangeShapeType="1"/>
        </xdr:cNvSpPr>
      </xdr:nvSpPr>
      <xdr:spPr bwMode="auto">
        <a:xfrm>
          <a:off x="17145000" y="1714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85725</xdr:rowOff>
    </xdr:from>
    <xdr:to>
      <xdr:col>3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58D566B9-4F1A-4350-9F14-93E991367C5C}"/>
            </a:ext>
          </a:extLst>
        </xdr:cNvPr>
        <xdr:cNvSpPr txBox="1">
          <a:spLocks noChangeArrowheads="1"/>
        </xdr:cNvSpPr>
      </xdr:nvSpPr>
      <xdr:spPr bwMode="auto">
        <a:xfrm>
          <a:off x="1371600" y="1866900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16</xdr:row>
      <xdr:rowOff>85725</xdr:rowOff>
    </xdr:from>
    <xdr:to>
      <xdr:col>3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51B1C479-4A8D-482C-8D2B-6538607793D3}"/>
            </a:ext>
          </a:extLst>
        </xdr:cNvPr>
        <xdr:cNvSpPr txBox="1">
          <a:spLocks noChangeArrowheads="1"/>
        </xdr:cNvSpPr>
      </xdr:nvSpPr>
      <xdr:spPr bwMode="auto">
        <a:xfrm>
          <a:off x="1371600" y="26765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3</xdr:col>
      <xdr:colOff>0</xdr:colOff>
      <xdr:row>26</xdr:row>
      <xdr:rowOff>76200</xdr:rowOff>
    </xdr:from>
    <xdr:to>
      <xdr:col>3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39CDD0B0-8DDA-4368-8C1F-A394D362CCFF}"/>
            </a:ext>
          </a:extLst>
        </xdr:cNvPr>
        <xdr:cNvSpPr txBox="1">
          <a:spLocks noChangeArrowheads="1"/>
        </xdr:cNvSpPr>
      </xdr:nvSpPr>
      <xdr:spPr bwMode="auto">
        <a:xfrm>
          <a:off x="1371600" y="4286250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3</xdr:col>
      <xdr:colOff>0</xdr:colOff>
      <xdr:row>31</xdr:row>
      <xdr:rowOff>85725</xdr:rowOff>
    </xdr:from>
    <xdr:to>
      <xdr:col>3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B148B286-C98D-4387-A0F3-D680767D507B}"/>
            </a:ext>
          </a:extLst>
        </xdr:cNvPr>
        <xdr:cNvSpPr txBox="1">
          <a:spLocks noChangeArrowheads="1"/>
        </xdr:cNvSpPr>
      </xdr:nvSpPr>
      <xdr:spPr bwMode="auto">
        <a:xfrm>
          <a:off x="1371600" y="5105400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3</xdr:col>
      <xdr:colOff>0</xdr:colOff>
      <xdr:row>34</xdr:row>
      <xdr:rowOff>114300</xdr:rowOff>
    </xdr:from>
    <xdr:to>
      <xdr:col>3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99115DA7-DB5D-47EA-BBCF-7CB488769F15}"/>
            </a:ext>
          </a:extLst>
        </xdr:cNvPr>
        <xdr:cNvSpPr txBox="1">
          <a:spLocks noChangeArrowheads="1"/>
        </xdr:cNvSpPr>
      </xdr:nvSpPr>
      <xdr:spPr bwMode="auto">
        <a:xfrm>
          <a:off x="1371600" y="56197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36</xdr:row>
      <xdr:rowOff>38100</xdr:rowOff>
    </xdr:from>
    <xdr:to>
      <xdr:col>3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49FD313C-0063-443D-97B6-0C33EBE942A0}"/>
            </a:ext>
          </a:extLst>
        </xdr:cNvPr>
        <xdr:cNvSpPr txBox="1">
          <a:spLocks noChangeArrowheads="1"/>
        </xdr:cNvSpPr>
      </xdr:nvSpPr>
      <xdr:spPr bwMode="auto">
        <a:xfrm>
          <a:off x="1371600" y="5867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19051</xdr:colOff>
      <xdr:row>11</xdr:row>
      <xdr:rowOff>0</xdr:rowOff>
    </xdr:from>
    <xdr:to>
      <xdr:col>46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6A45AED-4C7B-4CB6-B68F-20E8AFC4B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01734CD-2274-42F9-B451-B63E0E2BE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</xdr:colOff>
      <xdr:row>57</xdr:row>
      <xdr:rowOff>152400</xdr:rowOff>
    </xdr:from>
    <xdr:to>
      <xdr:col>2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DA5AA84-FDC6-42FB-AF09-3717D2FE95AF}"/>
            </a:ext>
          </a:extLst>
        </xdr:cNvPr>
        <xdr:cNvSpPr>
          <a:spLocks noChangeShapeType="1"/>
        </xdr:cNvSpPr>
      </xdr:nvSpPr>
      <xdr:spPr bwMode="auto">
        <a:xfrm>
          <a:off x="819150" y="9382125"/>
          <a:ext cx="5524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58</xdr:row>
      <xdr:rowOff>142875</xdr:rowOff>
    </xdr:from>
    <xdr:to>
      <xdr:col>2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45AA39D2-38B5-47EF-81C7-1E3594F40955}"/>
            </a:ext>
          </a:extLst>
        </xdr:cNvPr>
        <xdr:cNvSpPr>
          <a:spLocks noChangeShapeType="1"/>
        </xdr:cNvSpPr>
      </xdr:nvSpPr>
      <xdr:spPr bwMode="auto">
        <a:xfrm>
          <a:off x="828675" y="9534525"/>
          <a:ext cx="5429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59</xdr:row>
      <xdr:rowOff>104775</xdr:rowOff>
    </xdr:from>
    <xdr:to>
      <xdr:col>2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CCA71A0E-F4B0-4794-BCD8-33000252A03B}"/>
            </a:ext>
          </a:extLst>
        </xdr:cNvPr>
        <xdr:cNvSpPr>
          <a:spLocks noChangeShapeType="1"/>
        </xdr:cNvSpPr>
      </xdr:nvSpPr>
      <xdr:spPr bwMode="auto">
        <a:xfrm>
          <a:off x="828675" y="9658350"/>
          <a:ext cx="5429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2CA7AC6A-A191-4995-83A0-828F8B811BB5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092E57EF-8427-45B6-9040-53ADA67C31C4}"/>
            </a:ext>
          </a:extLst>
        </xdr:cNvPr>
        <xdr:cNvSpPr>
          <a:spLocks noChangeShapeType="1"/>
        </xdr:cNvSpPr>
      </xdr:nvSpPr>
      <xdr:spPr bwMode="auto">
        <a:xfrm>
          <a:off x="1609725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508CBFF9-31A5-4E2C-864D-53FF4E4C4215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66675</xdr:rowOff>
    </xdr:from>
    <xdr:to>
      <xdr:col>3</xdr:col>
      <xdr:colOff>0</xdr:colOff>
      <xdr:row>33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438275" y="5553075"/>
          <a:ext cx="0" cy="0"/>
        </a:xfrm>
        <a:prstGeom prst="line">
          <a:avLst/>
        </a:prstGeom>
        <a:noFill/>
        <a:ln w="28575">
          <a:solidFill>
            <a:srgbClr val="00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20</xdr:row>
      <xdr:rowOff>0</xdr:rowOff>
    </xdr:from>
    <xdr:to>
      <xdr:col>2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>
          <a:grpSpLocks/>
        </xdr:cNvGrpSpPr>
      </xdr:nvGrpSpPr>
      <xdr:grpSpPr bwMode="auto">
        <a:xfrm>
          <a:off x="276225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47625</xdr:colOff>
      <xdr:row>35</xdr:row>
      <xdr:rowOff>104775</xdr:rowOff>
    </xdr:from>
    <xdr:to>
      <xdr:col>2</xdr:col>
      <xdr:colOff>333375</xdr:colOff>
      <xdr:row>38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409575" y="5895975"/>
          <a:ext cx="2857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26</xdr:col>
      <xdr:colOff>0</xdr:colOff>
      <xdr:row>1</xdr:row>
      <xdr:rowOff>9525</xdr:rowOff>
    </xdr:from>
    <xdr:to>
      <xdr:col>26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1734800" y="285750"/>
          <a:ext cx="0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85725</xdr:rowOff>
    </xdr:from>
    <xdr:to>
      <xdr:col>3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1438275" y="2219325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16</xdr:row>
      <xdr:rowOff>85725</xdr:rowOff>
    </xdr:from>
    <xdr:to>
      <xdr:col>3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1438275" y="2981325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3</xdr:col>
      <xdr:colOff>0</xdr:colOff>
      <xdr:row>26</xdr:row>
      <xdr:rowOff>76200</xdr:rowOff>
    </xdr:from>
    <xdr:to>
      <xdr:col>3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1438275" y="449580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3</xdr:col>
      <xdr:colOff>0</xdr:colOff>
      <xdr:row>30</xdr:row>
      <xdr:rowOff>114300</xdr:rowOff>
    </xdr:from>
    <xdr:to>
      <xdr:col>3</xdr:col>
      <xdr:colOff>0</xdr:colOff>
      <xdr:row>32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1438275" y="51435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32</xdr:row>
      <xdr:rowOff>38100</xdr:rowOff>
    </xdr:from>
    <xdr:to>
      <xdr:col>3</xdr:col>
      <xdr:colOff>0</xdr:colOff>
      <xdr:row>33</xdr:row>
      <xdr:rowOff>66675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1438275" y="5372100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63500</xdr:colOff>
      <xdr:row>11</xdr:row>
      <xdr:rowOff>19049</xdr:rowOff>
    </xdr:from>
    <xdr:to>
      <xdr:col>46</xdr:col>
      <xdr:colOff>31750</xdr:colOff>
      <xdr:row>30</xdr:row>
      <xdr:rowOff>123824</xdr:rowOff>
    </xdr:to>
    <xdr:graphicFrame macro="">
      <xdr:nvGraphicFramePr>
        <xdr:cNvPr id="13" name="Chart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504825</xdr:colOff>
      <xdr:row>31</xdr:row>
      <xdr:rowOff>19050</xdr:rowOff>
    </xdr:from>
    <xdr:to>
      <xdr:col>46</xdr:col>
      <xdr:colOff>38100</xdr:colOff>
      <xdr:row>41</xdr:row>
      <xdr:rowOff>95250</xdr:rowOff>
    </xdr:to>
    <xdr:graphicFrame macro="">
      <xdr:nvGraphicFramePr>
        <xdr:cNvPr id="14" name="Chart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</xdr:colOff>
      <xdr:row>60</xdr:row>
      <xdr:rowOff>152400</xdr:rowOff>
    </xdr:from>
    <xdr:to>
      <xdr:col>2</xdr:col>
      <xdr:colOff>885825</xdr:colOff>
      <xdr:row>60</xdr:row>
      <xdr:rowOff>152400</xdr:rowOff>
    </xdr:to>
    <xdr:sp macro="" textlink="">
      <xdr:nvSpPr>
        <xdr:cNvPr id="15" name="Line 1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495300" y="10496550"/>
          <a:ext cx="752475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61</xdr:row>
      <xdr:rowOff>142875</xdr:rowOff>
    </xdr:from>
    <xdr:to>
      <xdr:col>2</xdr:col>
      <xdr:colOff>876300</xdr:colOff>
      <xdr:row>61</xdr:row>
      <xdr:rowOff>142875</xdr:rowOff>
    </xdr:to>
    <xdr:sp macro="" textlink="">
      <xdr:nvSpPr>
        <xdr:cNvPr id="16" name="Line 1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504825" y="1073467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62</xdr:row>
      <xdr:rowOff>104775</xdr:rowOff>
    </xdr:from>
    <xdr:to>
      <xdr:col>2</xdr:col>
      <xdr:colOff>876300</xdr:colOff>
      <xdr:row>62</xdr:row>
      <xdr:rowOff>104775</xdr:rowOff>
    </xdr:to>
    <xdr:sp macro="" textlink="">
      <xdr:nvSpPr>
        <xdr:cNvPr id="17" name="Line 1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504825" y="1094422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1609725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60</xdr:row>
      <xdr:rowOff>152400</xdr:rowOff>
    </xdr:from>
    <xdr:to>
      <xdr:col>2</xdr:col>
      <xdr:colOff>885825</xdr:colOff>
      <xdr:row>60</xdr:row>
      <xdr:rowOff>152400</xdr:rowOff>
    </xdr:to>
    <xdr:sp macro="" textlink="">
      <xdr:nvSpPr>
        <xdr:cNvPr id="19" name="Line 1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>
          <a:off x="495300" y="10496550"/>
          <a:ext cx="752475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61</xdr:row>
      <xdr:rowOff>142875</xdr:rowOff>
    </xdr:from>
    <xdr:to>
      <xdr:col>2</xdr:col>
      <xdr:colOff>876300</xdr:colOff>
      <xdr:row>61</xdr:row>
      <xdr:rowOff>142875</xdr:rowOff>
    </xdr:to>
    <xdr:sp macro="" textlink="">
      <xdr:nvSpPr>
        <xdr:cNvPr id="20" name="Line 16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ShapeType="1"/>
        </xdr:cNvSpPr>
      </xdr:nvSpPr>
      <xdr:spPr bwMode="auto">
        <a:xfrm>
          <a:off x="504825" y="1073467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62</xdr:row>
      <xdr:rowOff>104775</xdr:rowOff>
    </xdr:from>
    <xdr:to>
      <xdr:col>2</xdr:col>
      <xdr:colOff>876300</xdr:colOff>
      <xdr:row>62</xdr:row>
      <xdr:rowOff>104775</xdr:rowOff>
    </xdr:to>
    <xdr:sp macro="" textlink="">
      <xdr:nvSpPr>
        <xdr:cNvPr id="21" name="Line 1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ShapeType="1"/>
        </xdr:cNvSpPr>
      </xdr:nvSpPr>
      <xdr:spPr bwMode="auto">
        <a:xfrm>
          <a:off x="504825" y="1094422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60</xdr:row>
      <xdr:rowOff>152400</xdr:rowOff>
    </xdr:from>
    <xdr:to>
      <xdr:col>2</xdr:col>
      <xdr:colOff>885825</xdr:colOff>
      <xdr:row>60</xdr:row>
      <xdr:rowOff>152400</xdr:rowOff>
    </xdr:to>
    <xdr:sp macro="" textlink="">
      <xdr:nvSpPr>
        <xdr:cNvPr id="22" name="Line 15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ShapeType="1"/>
        </xdr:cNvSpPr>
      </xdr:nvSpPr>
      <xdr:spPr bwMode="auto">
        <a:xfrm>
          <a:off x="495300" y="10496550"/>
          <a:ext cx="752475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61</xdr:row>
      <xdr:rowOff>142875</xdr:rowOff>
    </xdr:from>
    <xdr:to>
      <xdr:col>2</xdr:col>
      <xdr:colOff>876300</xdr:colOff>
      <xdr:row>61</xdr:row>
      <xdr:rowOff>142875</xdr:rowOff>
    </xdr:to>
    <xdr:sp macro="" textlink="">
      <xdr:nvSpPr>
        <xdr:cNvPr id="23" name="Line 16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>
          <a:off x="504825" y="1073467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62</xdr:row>
      <xdr:rowOff>104775</xdr:rowOff>
    </xdr:from>
    <xdr:to>
      <xdr:col>2</xdr:col>
      <xdr:colOff>876300</xdr:colOff>
      <xdr:row>62</xdr:row>
      <xdr:rowOff>104775</xdr:rowOff>
    </xdr:to>
    <xdr:sp macro="" textlink="">
      <xdr:nvSpPr>
        <xdr:cNvPr id="24" name="Line 1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504825" y="10944225"/>
          <a:ext cx="733425" cy="0"/>
        </a:xfrm>
        <a:prstGeom prst="line">
          <a:avLst/>
        </a:prstGeom>
        <a:noFill/>
        <a:ln w="12700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37</xdr:row>
      <xdr:rowOff>66675</xdr:rowOff>
    </xdr:from>
    <xdr:to>
      <xdr:col>3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B090395-3BBD-4F5F-97C0-3736D83EE01A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20</xdr:row>
      <xdr:rowOff>0</xdr:rowOff>
    </xdr:from>
    <xdr:to>
      <xdr:col>2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63DDB25-F20F-4676-9A5C-360D1A06EA95}"/>
            </a:ext>
          </a:extLst>
        </xdr:cNvPr>
        <xdr:cNvGrpSpPr>
          <a:grpSpLocks/>
        </xdr:cNvGrpSpPr>
      </xdr:nvGrpSpPr>
      <xdr:grpSpPr bwMode="auto">
        <a:xfrm>
          <a:off x="276225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4EAF78CD-B9C9-42D5-AFAC-9E3CE8B3280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4879A3B3-C0F4-479B-9FE3-99CCEDA58E6F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47625</xdr:colOff>
      <xdr:row>39</xdr:row>
      <xdr:rowOff>104775</xdr:rowOff>
    </xdr:from>
    <xdr:to>
      <xdr:col>2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188890F-A879-4105-8CB7-4C3EC4115BBD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30</xdr:col>
      <xdr:colOff>0</xdr:colOff>
      <xdr:row>1</xdr:row>
      <xdr:rowOff>9525</xdr:rowOff>
    </xdr:from>
    <xdr:to>
      <xdr:col>30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D9295E88-2CAA-4D0E-B8BE-2E195B0C31F6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85725</xdr:rowOff>
    </xdr:from>
    <xdr:to>
      <xdr:col>3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291C10E-813D-4D09-9F31-5A5FBEA3A2E1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16</xdr:row>
      <xdr:rowOff>85725</xdr:rowOff>
    </xdr:from>
    <xdr:to>
      <xdr:col>3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92C511FC-4D9B-4DF0-861C-E6DD7E180471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3</xdr:col>
      <xdr:colOff>0</xdr:colOff>
      <xdr:row>26</xdr:row>
      <xdr:rowOff>76200</xdr:rowOff>
    </xdr:from>
    <xdr:to>
      <xdr:col>3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2ECAEDB-2F27-454D-99B1-04DF89E7EA62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3</xdr:col>
      <xdr:colOff>0</xdr:colOff>
      <xdr:row>31</xdr:row>
      <xdr:rowOff>85725</xdr:rowOff>
    </xdr:from>
    <xdr:to>
      <xdr:col>3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43F40230-0EB8-4D70-A708-40959A27C36B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3</xdr:col>
      <xdr:colOff>0</xdr:colOff>
      <xdr:row>34</xdr:row>
      <xdr:rowOff>114300</xdr:rowOff>
    </xdr:from>
    <xdr:to>
      <xdr:col>3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37CA0FC7-C1BF-40A1-B6E5-745656DFD569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3</xdr:col>
      <xdr:colOff>0</xdr:colOff>
      <xdr:row>36</xdr:row>
      <xdr:rowOff>38100</xdr:rowOff>
    </xdr:from>
    <xdr:to>
      <xdr:col>3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3A865834-3465-49CB-BC90-8B7985A8FDFD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65515</xdr:colOff>
      <xdr:row>11</xdr:row>
      <xdr:rowOff>0</xdr:rowOff>
    </xdr:from>
    <xdr:to>
      <xdr:col>46</xdr:col>
      <xdr:colOff>46464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BBA151E-5702-4A20-B41B-5DEEAB0E4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613833</xdr:colOff>
      <xdr:row>35</xdr:row>
      <xdr:rowOff>19050</xdr:rowOff>
    </xdr:from>
    <xdr:to>
      <xdr:col>46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7FEB402-2A52-465F-B20A-343AFF46A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</xdr:colOff>
      <xdr:row>57</xdr:row>
      <xdr:rowOff>152400</xdr:rowOff>
    </xdr:from>
    <xdr:to>
      <xdr:col>2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E8DA7A7-385D-4ABF-BEE9-05898CB8F008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58</xdr:row>
      <xdr:rowOff>142875</xdr:rowOff>
    </xdr:from>
    <xdr:to>
      <xdr:col>2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63E55747-9DEE-4468-954A-DDAFD0984F6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59</xdr:row>
      <xdr:rowOff>104775</xdr:rowOff>
    </xdr:from>
    <xdr:to>
      <xdr:col>2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768A3C67-95A4-4868-8DA9-5938498349DB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DF48E864-D208-4996-B0BC-45838B570FC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AADD9F21-E8EB-4EE3-B582-C4B892BA2C2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8C0AC2D9-6B0F-40DD-B3AC-180EDCA883A7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2" name="Line 18">
          <a:extLst>
            <a:ext uri="{FF2B5EF4-FFF2-40B4-BE49-F238E27FC236}">
              <a16:creationId xmlns:a16="http://schemas.microsoft.com/office/drawing/2014/main" id="{837E6DBB-F0CF-4604-95EA-BA5C91AE9F47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indexed="47"/>
  </sheetPr>
  <dimension ref="B2:D16"/>
  <sheetViews>
    <sheetView zoomScaleNormal="100" workbookViewId="0">
      <selection activeCell="D10" sqref="D10"/>
    </sheetView>
  </sheetViews>
  <sheetFormatPr defaultRowHeight="12.75"/>
  <cols>
    <col min="1" max="3" width="9.140625" style="148"/>
    <col min="4" max="4" width="27.28515625" style="148" customWidth="1"/>
    <col min="5" max="16384" width="9.140625" style="148"/>
  </cols>
  <sheetData>
    <row r="2" spans="2:4" ht="25.5">
      <c r="B2" s="147" t="s">
        <v>57</v>
      </c>
    </row>
    <row r="4" spans="2:4">
      <c r="B4" s="153" t="s">
        <v>58</v>
      </c>
      <c r="C4" s="153"/>
      <c r="D4" s="149"/>
    </row>
    <row r="10" spans="2:4">
      <c r="C10" s="150" t="s">
        <v>34</v>
      </c>
      <c r="D10" s="149" t="s">
        <v>59</v>
      </c>
    </row>
    <row r="11" spans="2:4">
      <c r="D11" s="149" t="s">
        <v>60</v>
      </c>
    </row>
    <row r="12" spans="2:4">
      <c r="D12" s="149" t="s">
        <v>61</v>
      </c>
    </row>
    <row r="13" spans="2:4">
      <c r="D13" s="149"/>
    </row>
    <row r="14" spans="2:4">
      <c r="D14" s="149"/>
    </row>
    <row r="15" spans="2:4">
      <c r="D15" s="149"/>
    </row>
    <row r="16" spans="2:4">
      <c r="D16" s="149"/>
    </row>
  </sheetData>
  <sheetProtection algorithmName="SHA-512" hashValue="A1xpVG3iMEfWa/3yKMW7vypXxDpOuBDW9SZYIEB9h9Jdl5FmwwbaEYRO+52VECCtho8y1lhaHaljhWbXttyR1w==" saltValue="1oAmI/UtWH5NG9FoR4YvXQ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indexed="47"/>
    <pageSetUpPr fitToPage="1"/>
  </sheetPr>
  <dimension ref="C1:BP75"/>
  <sheetViews>
    <sheetView showZeros="0" topLeftCell="A9" zoomScaleNormal="100" workbookViewId="0">
      <selection activeCell="I56" sqref="I56"/>
    </sheetView>
  </sheetViews>
  <sheetFormatPr defaultColWidth="10.28515625" defaultRowHeight="12.75"/>
  <cols>
    <col min="1" max="1" width="2" style="9" customWidth="1"/>
    <col min="2" max="2" width="1.5703125" style="9" customWidth="1"/>
    <col min="3" max="3" width="16.140625" style="9" customWidth="1"/>
    <col min="4" max="46" width="6.7109375" style="9" customWidth="1"/>
    <col min="47" max="47" width="3.140625" style="9" customWidth="1"/>
    <col min="48" max="68" width="6.7109375" style="9" customWidth="1"/>
    <col min="69" max="16384" width="10.28515625" style="9"/>
  </cols>
  <sheetData>
    <row r="1" spans="3:63" ht="21.75" thickBot="1">
      <c r="C1" s="96" t="s">
        <v>45</v>
      </c>
      <c r="D1" s="97"/>
      <c r="E1" s="97"/>
      <c r="F1" s="97"/>
      <c r="G1" s="98"/>
      <c r="H1" s="98"/>
      <c r="I1" s="99"/>
      <c r="J1" s="130" t="s">
        <v>36</v>
      </c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8"/>
      <c r="BK1" s="10"/>
    </row>
    <row r="2" spans="3:63" s="11" customFormat="1" ht="19.5" customHeight="1">
      <c r="C2" s="100" t="s">
        <v>46</v>
      </c>
      <c r="D2" s="101"/>
      <c r="E2" s="102"/>
      <c r="F2" s="102"/>
      <c r="G2" s="103"/>
      <c r="H2" s="103"/>
      <c r="I2" s="104"/>
      <c r="J2" s="181" t="s">
        <v>0</v>
      </c>
      <c r="K2" s="182"/>
      <c r="L2" s="185" t="s">
        <v>37</v>
      </c>
      <c r="M2" s="186"/>
      <c r="N2" s="189" t="s">
        <v>56</v>
      </c>
      <c r="O2" s="190"/>
      <c r="P2" s="190"/>
      <c r="Q2" s="190"/>
      <c r="R2" s="191"/>
      <c r="S2" s="195" t="s">
        <v>1</v>
      </c>
      <c r="T2" s="196"/>
      <c r="U2" s="197"/>
      <c r="V2" s="12" t="s">
        <v>39</v>
      </c>
      <c r="W2" s="13"/>
      <c r="X2" s="13"/>
      <c r="Y2" s="13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5"/>
      <c r="AS2" s="15"/>
      <c r="AT2" s="16"/>
    </row>
    <row r="3" spans="3:63" ht="16.899999999999999" customHeight="1" thickBot="1">
      <c r="C3" s="73"/>
      <c r="J3" s="183"/>
      <c r="K3" s="184"/>
      <c r="L3" s="187"/>
      <c r="M3" s="188"/>
      <c r="N3" s="192"/>
      <c r="O3" s="193"/>
      <c r="P3" s="193"/>
      <c r="Q3" s="193"/>
      <c r="R3" s="194"/>
      <c r="S3" s="198" t="s">
        <v>2</v>
      </c>
      <c r="T3" s="199"/>
      <c r="U3" s="200"/>
      <c r="V3" s="17" t="s">
        <v>54</v>
      </c>
      <c r="W3" s="18"/>
      <c r="X3" s="18"/>
      <c r="Y3" s="18"/>
      <c r="Z3" s="18"/>
      <c r="AA3" s="18"/>
      <c r="AB3" s="18"/>
      <c r="AC3" s="18"/>
      <c r="AD3" s="18"/>
      <c r="AE3" s="18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9"/>
      <c r="AS3" s="19"/>
      <c r="AT3" s="20"/>
    </row>
    <row r="4" spans="3:63" s="26" customFormat="1" ht="16.899999999999999" customHeight="1" thickTop="1">
      <c r="C4" s="74" t="s">
        <v>3</v>
      </c>
      <c r="D4" s="21"/>
      <c r="E4" s="22" t="s">
        <v>4</v>
      </c>
      <c r="F4" s="23">
        <f>F5+F7/2</f>
        <v>0.70000000000000007</v>
      </c>
      <c r="G4" s="24" t="s">
        <v>31</v>
      </c>
      <c r="H4" s="25">
        <v>0.65</v>
      </c>
      <c r="I4" s="128"/>
      <c r="J4" s="129"/>
      <c r="AA4" s="139"/>
      <c r="AB4" s="140"/>
      <c r="AC4" s="140"/>
      <c r="AD4" s="140"/>
      <c r="AE4" s="139"/>
      <c r="AF4" s="139"/>
      <c r="AG4" s="140"/>
      <c r="AH4" s="140"/>
      <c r="AI4" s="140"/>
      <c r="AJ4" s="140"/>
      <c r="AK4" s="140"/>
      <c r="AL4" s="140"/>
      <c r="AM4" s="175" t="str">
        <f ca="1">"MÊS: "&amp;MID(CELL("nome.arquivo"),SEARCH(".xl",CELL("nome.arquivo"))-2,2)</f>
        <v>MÊS: 03</v>
      </c>
      <c r="AN4" s="171"/>
      <c r="AO4" s="171"/>
      <c r="AP4" s="172"/>
      <c r="AQ4" s="171" t="str">
        <f ca="1">"ANO: 20"&amp;MID(CELL("nome.arquivo"),SEARCH(".xl",CELL("nome.arquivo"))-4,2)</f>
        <v>ANO: 2022</v>
      </c>
      <c r="AR4" s="171"/>
      <c r="AS4" s="171"/>
      <c r="AT4" s="172"/>
    </row>
    <row r="5" spans="3:63" s="26" customFormat="1" ht="16.899999999999999" customHeight="1" thickBot="1">
      <c r="C5" s="75" t="s">
        <v>44</v>
      </c>
      <c r="D5" s="90" t="s">
        <v>5</v>
      </c>
      <c r="E5" s="27" t="s">
        <v>33</v>
      </c>
      <c r="F5" s="28">
        <v>0.55000000000000004</v>
      </c>
      <c r="G5" s="29" t="s">
        <v>33</v>
      </c>
      <c r="H5" s="30">
        <v>0.55000000000000004</v>
      </c>
      <c r="I5" s="128"/>
      <c r="J5" s="26" t="s">
        <v>55</v>
      </c>
      <c r="S5" s="26" t="s">
        <v>6</v>
      </c>
      <c r="AA5" s="131"/>
      <c r="AB5" s="131"/>
      <c r="AC5" s="131"/>
      <c r="AD5" s="131"/>
      <c r="AG5" s="131"/>
      <c r="AH5" s="131"/>
      <c r="AI5" s="131"/>
      <c r="AJ5" s="131"/>
      <c r="AK5" s="131"/>
      <c r="AL5" s="131"/>
      <c r="AM5" s="176"/>
      <c r="AN5" s="173"/>
      <c r="AO5" s="173"/>
      <c r="AP5" s="174"/>
      <c r="AQ5" s="173"/>
      <c r="AR5" s="173"/>
      <c r="AS5" s="173"/>
      <c r="AT5" s="174"/>
    </row>
    <row r="6" spans="3:63" s="26" customFormat="1" ht="16.899999999999999" customHeight="1">
      <c r="C6" s="76" t="s">
        <v>7</v>
      </c>
      <c r="D6" s="31"/>
      <c r="E6" s="27" t="s">
        <v>8</v>
      </c>
      <c r="F6" s="28">
        <f>F5-F7/2</f>
        <v>0.4</v>
      </c>
      <c r="G6" s="29" t="s">
        <v>32</v>
      </c>
      <c r="H6" s="30">
        <v>0.45</v>
      </c>
      <c r="I6" s="128"/>
      <c r="J6" s="26" t="s">
        <v>9</v>
      </c>
      <c r="S6" s="26" t="s">
        <v>10</v>
      </c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T6" s="77"/>
    </row>
    <row r="7" spans="3:63" s="26" customFormat="1" ht="16.899999999999999" customHeight="1" thickBot="1">
      <c r="C7" s="78"/>
      <c r="D7" s="79" t="s">
        <v>11</v>
      </c>
      <c r="E7" s="80" t="s">
        <v>4</v>
      </c>
      <c r="F7" s="81">
        <v>0.3</v>
      </c>
      <c r="G7" s="82" t="s">
        <v>31</v>
      </c>
      <c r="H7" s="83">
        <v>0.2</v>
      </c>
      <c r="I7" s="127"/>
      <c r="J7" s="84" t="s">
        <v>12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4"/>
      <c r="AS7" s="84"/>
      <c r="AT7" s="86"/>
    </row>
    <row r="8" spans="3:63" s="26" customFormat="1" ht="4.5" customHeight="1" thickBot="1"/>
    <row r="9" spans="3:63" s="33" customFormat="1">
      <c r="C9" s="32" t="s">
        <v>13</v>
      </c>
      <c r="D9" s="60">
        <v>1</v>
      </c>
      <c r="E9" s="60">
        <v>2</v>
      </c>
      <c r="F9" s="60">
        <v>3</v>
      </c>
      <c r="G9" s="60">
        <v>4</v>
      </c>
      <c r="H9" s="60">
        <v>5</v>
      </c>
      <c r="I9" s="60">
        <v>6</v>
      </c>
      <c r="J9" s="60">
        <v>7</v>
      </c>
      <c r="K9" s="60">
        <v>8</v>
      </c>
      <c r="L9" s="60">
        <v>9</v>
      </c>
      <c r="M9" s="60">
        <v>10</v>
      </c>
      <c r="N9" s="60">
        <v>11</v>
      </c>
      <c r="O9" s="60">
        <v>12</v>
      </c>
      <c r="P9" s="60">
        <v>13</v>
      </c>
      <c r="Q9" s="60">
        <v>14</v>
      </c>
      <c r="R9" s="60">
        <v>15</v>
      </c>
      <c r="S9" s="60">
        <v>16</v>
      </c>
      <c r="T9" s="60">
        <v>17</v>
      </c>
      <c r="U9" s="60">
        <v>18</v>
      </c>
      <c r="V9" s="60">
        <v>19</v>
      </c>
      <c r="W9" s="60">
        <v>20</v>
      </c>
      <c r="X9" s="60">
        <v>21</v>
      </c>
      <c r="Y9" s="60">
        <v>22</v>
      </c>
      <c r="Z9" s="60">
        <v>23</v>
      </c>
      <c r="AA9" s="60">
        <v>24</v>
      </c>
      <c r="AB9" s="60">
        <v>25</v>
      </c>
      <c r="AC9" s="60">
        <v>26</v>
      </c>
      <c r="AD9" s="60">
        <v>27</v>
      </c>
      <c r="AE9" s="60">
        <v>28</v>
      </c>
      <c r="AF9" s="60">
        <v>29</v>
      </c>
      <c r="AG9" s="60">
        <v>30</v>
      </c>
      <c r="AH9" s="60">
        <v>31</v>
      </c>
      <c r="AI9" s="60">
        <v>32</v>
      </c>
      <c r="AJ9" s="60">
        <v>33</v>
      </c>
      <c r="AK9" s="60">
        <v>34</v>
      </c>
      <c r="AL9" s="60">
        <v>35</v>
      </c>
      <c r="AM9" s="60">
        <v>36</v>
      </c>
      <c r="AN9" s="60">
        <v>37</v>
      </c>
      <c r="AO9" s="60">
        <v>38</v>
      </c>
      <c r="AP9" s="60">
        <v>39</v>
      </c>
      <c r="AQ9" s="60">
        <v>40</v>
      </c>
      <c r="AR9" s="60">
        <v>41</v>
      </c>
      <c r="AS9" s="60">
        <v>42</v>
      </c>
      <c r="AT9" s="60">
        <v>43</v>
      </c>
    </row>
    <row r="10" spans="3:63" s="33" customFormat="1" ht="14.1" customHeight="1">
      <c r="C10" s="34" t="s">
        <v>14</v>
      </c>
      <c r="D10" s="7">
        <v>24</v>
      </c>
      <c r="E10" s="7">
        <v>24</v>
      </c>
      <c r="F10" s="7">
        <v>24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6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8"/>
    </row>
    <row r="11" spans="3:63" s="33" customFormat="1" ht="14.1" customHeight="1">
      <c r="C11" s="35" t="s">
        <v>34</v>
      </c>
      <c r="D11" s="7" t="s">
        <v>59</v>
      </c>
      <c r="E11" s="7" t="s">
        <v>60</v>
      </c>
      <c r="F11" s="7" t="s">
        <v>61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8"/>
    </row>
    <row r="12" spans="3:63" s="33" customFormat="1" ht="12" customHeight="1">
      <c r="C12" s="36"/>
      <c r="AT12" s="37"/>
    </row>
    <row r="13" spans="3:63" s="33" customFormat="1" ht="12" customHeight="1">
      <c r="C13" s="169"/>
      <c r="AT13" s="37"/>
    </row>
    <row r="14" spans="3:63" s="33" customFormat="1" ht="12" customHeight="1">
      <c r="C14" s="169"/>
      <c r="AT14" s="37"/>
    </row>
    <row r="15" spans="3:63" s="33" customFormat="1" ht="12" customHeight="1">
      <c r="C15" s="170"/>
      <c r="AT15" s="37"/>
    </row>
    <row r="16" spans="3:63" s="33" customFormat="1" ht="12" customHeight="1">
      <c r="C16" s="170"/>
      <c r="AT16" s="37"/>
    </row>
    <row r="17" spans="3:46" s="33" customFormat="1" ht="12" customHeight="1">
      <c r="C17" s="170"/>
      <c r="AT17" s="37"/>
    </row>
    <row r="18" spans="3:46" s="33" customFormat="1" ht="12" customHeight="1">
      <c r="C18" s="170"/>
      <c r="AT18" s="37"/>
    </row>
    <row r="19" spans="3:46" s="33" customFormat="1" ht="12" customHeight="1">
      <c r="C19" s="170"/>
      <c r="AT19" s="37"/>
    </row>
    <row r="20" spans="3:46" s="33" customFormat="1" ht="12" customHeight="1">
      <c r="C20" s="170"/>
      <c r="AT20" s="37"/>
    </row>
    <row r="21" spans="3:46" s="33" customFormat="1" ht="12" customHeight="1">
      <c r="C21" s="170"/>
      <c r="AT21" s="37"/>
    </row>
    <row r="22" spans="3:46" s="33" customFormat="1" ht="12" customHeight="1">
      <c r="C22" s="170"/>
      <c r="AT22" s="37"/>
    </row>
    <row r="23" spans="3:46" s="33" customFormat="1" ht="12" customHeight="1">
      <c r="C23" s="169"/>
      <c r="AT23" s="37"/>
    </row>
    <row r="24" spans="3:46" s="33" customFormat="1" ht="12" customHeight="1">
      <c r="C24" s="169"/>
      <c r="AT24" s="37"/>
    </row>
    <row r="25" spans="3:46" s="33" customFormat="1" ht="12" customHeight="1">
      <c r="C25" s="170"/>
      <c r="AT25" s="37"/>
    </row>
    <row r="26" spans="3:46" s="33" customFormat="1" ht="12" customHeight="1">
      <c r="C26" s="170"/>
      <c r="AT26" s="37"/>
    </row>
    <row r="27" spans="3:46" s="33" customFormat="1" ht="12" customHeight="1">
      <c r="C27" s="170"/>
      <c r="AT27" s="37"/>
    </row>
    <row r="28" spans="3:46" s="33" customFormat="1" ht="12" customHeight="1">
      <c r="C28" s="170"/>
      <c r="AT28" s="37"/>
    </row>
    <row r="29" spans="3:46" s="33" customFormat="1" ht="12" customHeight="1">
      <c r="C29" s="170"/>
      <c r="AT29" s="37"/>
    </row>
    <row r="30" spans="3:46" s="33" customFormat="1" ht="12" customHeight="1">
      <c r="C30" s="170"/>
      <c r="AT30" s="37"/>
    </row>
    <row r="31" spans="3:46" s="33" customFormat="1" ht="12" customHeight="1">
      <c r="C31" s="170"/>
      <c r="AT31" s="37"/>
    </row>
    <row r="32" spans="3:46" s="33" customFormat="1" ht="12" customHeight="1">
      <c r="C32" s="170"/>
      <c r="AT32" s="37"/>
    </row>
    <row r="33" spans="3:46" s="33" customFormat="1" ht="12" customHeight="1">
      <c r="C33" s="169"/>
      <c r="AT33" s="37"/>
    </row>
    <row r="34" spans="3:46" s="33" customFormat="1" ht="12" customHeight="1">
      <c r="C34" s="169"/>
      <c r="AT34" s="37"/>
    </row>
    <row r="35" spans="3:46" s="33" customFormat="1" ht="12" customHeight="1" thickBot="1">
      <c r="C35" s="38"/>
      <c r="AT35" s="37"/>
    </row>
    <row r="36" spans="3:46" s="33" customFormat="1" ht="12" customHeight="1">
      <c r="C36" s="177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40"/>
    </row>
    <row r="37" spans="3:46" s="33" customFormat="1" ht="12" customHeight="1">
      <c r="C37" s="169"/>
      <c r="AT37" s="37"/>
    </row>
    <row r="38" spans="3:46" s="33" customFormat="1" ht="12" customHeight="1">
      <c r="C38" s="91"/>
      <c r="AT38" s="37"/>
    </row>
    <row r="39" spans="3:46" s="33" customFormat="1" ht="12" customHeight="1">
      <c r="C39" s="91"/>
      <c r="AT39" s="37"/>
    </row>
    <row r="40" spans="3:46" s="33" customFormat="1" ht="12" customHeight="1">
      <c r="C40" s="91"/>
      <c r="AT40" s="37"/>
    </row>
    <row r="41" spans="3:46" s="33" customFormat="1" ht="12" customHeight="1">
      <c r="C41" s="169"/>
      <c r="AT41" s="37"/>
    </row>
    <row r="42" spans="3:46" s="33" customFormat="1" ht="12" customHeight="1">
      <c r="C42" s="169"/>
      <c r="AT42" s="37"/>
    </row>
    <row r="43" spans="3:46" s="33" customFormat="1" ht="12" customHeight="1">
      <c r="C43" s="91"/>
      <c r="AT43" s="37"/>
    </row>
    <row r="44" spans="3:46" s="33" customFormat="1" ht="12" customHeight="1">
      <c r="C44" s="91"/>
      <c r="AT44" s="37"/>
    </row>
    <row r="45" spans="3:46" s="33" customFormat="1" ht="12" customHeight="1">
      <c r="C45" s="91"/>
      <c r="AT45" s="37"/>
    </row>
    <row r="46" spans="3:46" s="33" customFormat="1" ht="12" customHeight="1" thickBot="1">
      <c r="C46" s="41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3"/>
    </row>
    <row r="47" spans="3:46" s="33" customFormat="1" ht="6" customHeight="1">
      <c r="C47" s="44"/>
      <c r="AT47" s="37"/>
    </row>
    <row r="48" spans="3:46" s="45" customFormat="1" ht="15" customHeight="1">
      <c r="C48" s="56">
        <v>1</v>
      </c>
      <c r="D48" s="1">
        <v>0.46</v>
      </c>
      <c r="E48" s="2">
        <v>0.5</v>
      </c>
      <c r="F48" s="2">
        <v>0.49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3"/>
    </row>
    <row r="49" spans="3:68" s="45" customFormat="1" ht="15" customHeight="1">
      <c r="C49" s="57">
        <v>2</v>
      </c>
      <c r="D49" s="4">
        <v>0.48</v>
      </c>
      <c r="E49" s="5">
        <v>0.47</v>
      </c>
      <c r="F49" s="5">
        <v>0.5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6"/>
    </row>
    <row r="50" spans="3:68" s="45" customFormat="1" ht="15" customHeight="1">
      <c r="C50" s="57">
        <v>3</v>
      </c>
      <c r="D50" s="4">
        <v>0.5</v>
      </c>
      <c r="E50" s="5">
        <v>0.48</v>
      </c>
      <c r="F50" s="5">
        <v>0.54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6"/>
    </row>
    <row r="51" spans="3:68" s="45" customFormat="1" ht="15" customHeight="1">
      <c r="C51" s="57">
        <v>4</v>
      </c>
      <c r="D51" s="4">
        <v>0.47</v>
      </c>
      <c r="E51" s="5">
        <v>0.48</v>
      </c>
      <c r="F51" s="5">
        <v>0.52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6"/>
    </row>
    <row r="52" spans="3:68" s="45" customFormat="1" ht="15" customHeight="1">
      <c r="C52" s="58">
        <v>5</v>
      </c>
      <c r="D52" s="4">
        <v>0.48</v>
      </c>
      <c r="E52" s="5">
        <v>0.5</v>
      </c>
      <c r="F52" s="5">
        <v>0.54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6"/>
    </row>
    <row r="53" spans="3:68" s="45" customFormat="1" ht="15" customHeight="1">
      <c r="C53" s="58" t="s">
        <v>15</v>
      </c>
      <c r="D53" s="95">
        <f t="shared" ref="D53:AT53" si="0">IF(ISERR(AVERAGE(D48:D52))," ",AVERAGE(D48:D52))</f>
        <v>0.47799999999999992</v>
      </c>
      <c r="E53" s="46">
        <f t="shared" si="0"/>
        <v>0.48599999999999993</v>
      </c>
      <c r="F53" s="46">
        <f t="shared" si="0"/>
        <v>0.51800000000000002</v>
      </c>
      <c r="G53" s="46" t="str">
        <f t="shared" si="0"/>
        <v xml:space="preserve"> </v>
      </c>
      <c r="H53" s="46" t="str">
        <f t="shared" si="0"/>
        <v xml:space="preserve"> </v>
      </c>
      <c r="I53" s="46" t="str">
        <f t="shared" si="0"/>
        <v xml:space="preserve"> </v>
      </c>
      <c r="J53" s="46" t="str">
        <f t="shared" si="0"/>
        <v xml:space="preserve"> </v>
      </c>
      <c r="K53" s="46" t="str">
        <f t="shared" si="0"/>
        <v xml:space="preserve"> </v>
      </c>
      <c r="L53" s="46" t="str">
        <f t="shared" si="0"/>
        <v xml:space="preserve"> </v>
      </c>
      <c r="M53" s="46" t="str">
        <f t="shared" si="0"/>
        <v xml:space="preserve"> </v>
      </c>
      <c r="N53" s="46" t="str">
        <f t="shared" si="0"/>
        <v xml:space="preserve"> </v>
      </c>
      <c r="O53" s="46" t="str">
        <f t="shared" si="0"/>
        <v xml:space="preserve"> </v>
      </c>
      <c r="P53" s="46" t="str">
        <f t="shared" si="0"/>
        <v xml:space="preserve"> </v>
      </c>
      <c r="Q53" s="46" t="str">
        <f t="shared" si="0"/>
        <v xml:space="preserve"> </v>
      </c>
      <c r="R53" s="46" t="str">
        <f t="shared" si="0"/>
        <v xml:space="preserve"> </v>
      </c>
      <c r="S53" s="46" t="str">
        <f t="shared" si="0"/>
        <v xml:space="preserve"> </v>
      </c>
      <c r="T53" s="46" t="str">
        <f t="shared" si="0"/>
        <v xml:space="preserve"> </v>
      </c>
      <c r="U53" s="46" t="str">
        <f t="shared" si="0"/>
        <v xml:space="preserve"> </v>
      </c>
      <c r="V53" s="46" t="str">
        <f>IF(ISERR(AVERAGE(V49:V52))," ",AVERAGE(V49:V52))</f>
        <v xml:space="preserve"> </v>
      </c>
      <c r="W53" s="46" t="str">
        <f t="shared" si="0"/>
        <v xml:space="preserve"> </v>
      </c>
      <c r="X53" s="46" t="str">
        <f t="shared" si="0"/>
        <v xml:space="preserve"> </v>
      </c>
      <c r="Y53" s="46" t="str">
        <f t="shared" si="0"/>
        <v xml:space="preserve"> </v>
      </c>
      <c r="Z53" s="46" t="str">
        <f t="shared" si="0"/>
        <v xml:space="preserve"> </v>
      </c>
      <c r="AA53" s="46" t="str">
        <f t="shared" si="0"/>
        <v xml:space="preserve"> </v>
      </c>
      <c r="AB53" s="46" t="str">
        <f t="shared" si="0"/>
        <v xml:space="preserve"> </v>
      </c>
      <c r="AC53" s="46" t="str">
        <f t="shared" si="0"/>
        <v xml:space="preserve"> </v>
      </c>
      <c r="AD53" s="46" t="str">
        <f t="shared" si="0"/>
        <v xml:space="preserve"> </v>
      </c>
      <c r="AE53" s="46" t="str">
        <f t="shared" si="0"/>
        <v xml:space="preserve"> </v>
      </c>
      <c r="AF53" s="46" t="str">
        <f t="shared" si="0"/>
        <v xml:space="preserve"> </v>
      </c>
      <c r="AG53" s="46" t="str">
        <f t="shared" si="0"/>
        <v xml:space="preserve"> </v>
      </c>
      <c r="AH53" s="46" t="str">
        <f t="shared" si="0"/>
        <v xml:space="preserve"> </v>
      </c>
      <c r="AI53" s="46" t="str">
        <f t="shared" si="0"/>
        <v xml:space="preserve"> </v>
      </c>
      <c r="AJ53" s="46" t="str">
        <f t="shared" si="0"/>
        <v xml:space="preserve"> </v>
      </c>
      <c r="AK53" s="46" t="str">
        <f t="shared" si="0"/>
        <v xml:space="preserve"> </v>
      </c>
      <c r="AL53" s="46" t="str">
        <f t="shared" ref="AL53:AR53" si="1">IF(ISERR(AVERAGE(AL48:AL52))," ",AVERAGE(AL48:AL52))</f>
        <v xml:space="preserve"> </v>
      </c>
      <c r="AM53" s="46" t="str">
        <f t="shared" si="1"/>
        <v xml:space="preserve"> </v>
      </c>
      <c r="AN53" s="46" t="str">
        <f t="shared" si="1"/>
        <v xml:space="preserve"> </v>
      </c>
      <c r="AO53" s="46" t="str">
        <f t="shared" si="1"/>
        <v xml:space="preserve"> </v>
      </c>
      <c r="AP53" s="46" t="str">
        <f t="shared" si="1"/>
        <v xml:space="preserve"> </v>
      </c>
      <c r="AQ53" s="46" t="str">
        <f t="shared" si="1"/>
        <v xml:space="preserve"> </v>
      </c>
      <c r="AR53" s="46" t="str">
        <f t="shared" si="1"/>
        <v xml:space="preserve"> </v>
      </c>
      <c r="AS53" s="46" t="str">
        <f t="shared" si="0"/>
        <v xml:space="preserve"> </v>
      </c>
      <c r="AT53" s="137" t="str">
        <f t="shared" si="0"/>
        <v xml:space="preserve"> </v>
      </c>
    </row>
    <row r="54" spans="3:68" s="45" customFormat="1" ht="15" customHeight="1">
      <c r="C54" s="58" t="s">
        <v>11</v>
      </c>
      <c r="D54" s="126">
        <f t="shared" ref="D54:AT54" si="2">MAX(D48:D52)-MIN(D48:D52)</f>
        <v>3.999999999999998E-2</v>
      </c>
      <c r="E54" s="59">
        <f t="shared" si="2"/>
        <v>3.0000000000000027E-2</v>
      </c>
      <c r="F54" s="59">
        <f t="shared" si="2"/>
        <v>5.0000000000000044E-2</v>
      </c>
      <c r="G54" s="59">
        <f t="shared" si="2"/>
        <v>0</v>
      </c>
      <c r="H54" s="59">
        <f t="shared" si="2"/>
        <v>0</v>
      </c>
      <c r="I54" s="59">
        <f t="shared" si="2"/>
        <v>0</v>
      </c>
      <c r="J54" s="59">
        <f t="shared" si="2"/>
        <v>0</v>
      </c>
      <c r="K54" s="59">
        <f t="shared" si="2"/>
        <v>0</v>
      </c>
      <c r="L54" s="59">
        <f t="shared" si="2"/>
        <v>0</v>
      </c>
      <c r="M54" s="59">
        <f t="shared" si="2"/>
        <v>0</v>
      </c>
      <c r="N54" s="59">
        <f t="shared" si="2"/>
        <v>0</v>
      </c>
      <c r="O54" s="59">
        <f t="shared" si="2"/>
        <v>0</v>
      </c>
      <c r="P54" s="59">
        <f t="shared" si="2"/>
        <v>0</v>
      </c>
      <c r="Q54" s="59">
        <f t="shared" si="2"/>
        <v>0</v>
      </c>
      <c r="R54" s="59">
        <f t="shared" si="2"/>
        <v>0</v>
      </c>
      <c r="S54" s="47">
        <f t="shared" si="2"/>
        <v>0</v>
      </c>
      <c r="T54" s="47">
        <f t="shared" si="2"/>
        <v>0</v>
      </c>
      <c r="U54" s="47">
        <f t="shared" si="2"/>
        <v>0</v>
      </c>
      <c r="V54" s="47">
        <f>MAX(V49:V52)-MIN(V49:V52)</f>
        <v>0</v>
      </c>
      <c r="W54" s="47">
        <f t="shared" si="2"/>
        <v>0</v>
      </c>
      <c r="X54" s="47">
        <f t="shared" si="2"/>
        <v>0</v>
      </c>
      <c r="Y54" s="47">
        <f t="shared" si="2"/>
        <v>0</v>
      </c>
      <c r="Z54" s="47">
        <f t="shared" si="2"/>
        <v>0</v>
      </c>
      <c r="AA54" s="47">
        <f t="shared" si="2"/>
        <v>0</v>
      </c>
      <c r="AB54" s="47">
        <f t="shared" si="2"/>
        <v>0</v>
      </c>
      <c r="AC54" s="47">
        <f t="shared" si="2"/>
        <v>0</v>
      </c>
      <c r="AD54" s="47">
        <f t="shared" si="2"/>
        <v>0</v>
      </c>
      <c r="AE54" s="47">
        <f t="shared" si="2"/>
        <v>0</v>
      </c>
      <c r="AF54" s="47">
        <f t="shared" si="2"/>
        <v>0</v>
      </c>
      <c r="AG54" s="47">
        <f t="shared" si="2"/>
        <v>0</v>
      </c>
      <c r="AH54" s="47">
        <f t="shared" si="2"/>
        <v>0</v>
      </c>
      <c r="AI54" s="47">
        <f t="shared" si="2"/>
        <v>0</v>
      </c>
      <c r="AJ54" s="47">
        <f t="shared" si="2"/>
        <v>0</v>
      </c>
      <c r="AK54" s="47">
        <f t="shared" si="2"/>
        <v>0</v>
      </c>
      <c r="AL54" s="47">
        <f t="shared" ref="AL54:AR54" si="3">MAX(AL48:AL52)-MIN(AL48:AL52)</f>
        <v>0</v>
      </c>
      <c r="AM54" s="47">
        <f t="shared" si="3"/>
        <v>0</v>
      </c>
      <c r="AN54" s="47">
        <f t="shared" si="3"/>
        <v>0</v>
      </c>
      <c r="AO54" s="47">
        <f t="shared" si="3"/>
        <v>0</v>
      </c>
      <c r="AP54" s="47">
        <f t="shared" si="3"/>
        <v>0</v>
      </c>
      <c r="AQ54" s="47">
        <f t="shared" si="3"/>
        <v>0</v>
      </c>
      <c r="AR54" s="47">
        <f t="shared" si="3"/>
        <v>0</v>
      </c>
      <c r="AS54" s="47">
        <f t="shared" si="2"/>
        <v>0</v>
      </c>
      <c r="AT54" s="141">
        <f t="shared" si="2"/>
        <v>0</v>
      </c>
    </row>
    <row r="55" spans="3:68" s="45" customFormat="1" ht="20.100000000000001" customHeight="1">
      <c r="C55" s="48" t="s">
        <v>16</v>
      </c>
      <c r="D55" s="61"/>
      <c r="E55" s="62"/>
      <c r="F55" s="62"/>
      <c r="G55" s="62"/>
      <c r="H55" s="62"/>
      <c r="I55" s="62"/>
      <c r="J55" s="62"/>
      <c r="K55" s="62"/>
      <c r="L55" s="62"/>
      <c r="M55" s="62"/>
      <c r="N55" s="62" t="s">
        <v>62</v>
      </c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3"/>
    </row>
    <row r="56" spans="3:68" s="45" customFormat="1" ht="26.25" thickBot="1">
      <c r="C56" s="151" t="s">
        <v>63</v>
      </c>
      <c r="D56" s="64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6"/>
    </row>
    <row r="57" spans="3:68" s="33" customFormat="1" ht="20.100000000000001" customHeight="1">
      <c r="C57" s="178" t="s">
        <v>18</v>
      </c>
      <c r="D57" s="179"/>
      <c r="E57" s="179"/>
      <c r="F57" s="180"/>
      <c r="G57" s="50" t="s">
        <v>19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40"/>
    </row>
    <row r="58" spans="3:68" s="33" customFormat="1" ht="20.100000000000001" customHeight="1">
      <c r="C58" s="125"/>
      <c r="D58" s="26" t="s">
        <v>41</v>
      </c>
      <c r="E58" s="26"/>
      <c r="F58" s="3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8"/>
    </row>
    <row r="59" spans="3:68" s="33" customFormat="1" ht="20.100000000000001" customHeight="1">
      <c r="C59" s="155" t="s">
        <v>42</v>
      </c>
      <c r="D59" s="156"/>
      <c r="E59" s="156"/>
      <c r="F59" s="37"/>
      <c r="G59" s="67"/>
      <c r="H59" s="67"/>
      <c r="I59" s="67"/>
      <c r="J59" s="67"/>
      <c r="K59" s="67"/>
      <c r="L59" s="67"/>
      <c r="M59" s="67"/>
      <c r="N59" s="67"/>
      <c r="O59" s="67"/>
      <c r="P59" s="124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8"/>
    </row>
    <row r="60" spans="3:68" s="33" customFormat="1" ht="20.100000000000001" customHeight="1" thickBot="1">
      <c r="C60" s="123"/>
      <c r="D60" s="122" t="s">
        <v>15</v>
      </c>
      <c r="E60" s="42"/>
      <c r="F60" s="43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70"/>
    </row>
    <row r="61" spans="3:68" s="33" customFormat="1" ht="7.5" customHeight="1"/>
    <row r="62" spans="3:68" s="33" customFormat="1" ht="15.75">
      <c r="C62" s="157" t="s">
        <v>29</v>
      </c>
      <c r="D62" s="158"/>
      <c r="E62" s="158"/>
      <c r="F62" s="158"/>
      <c r="G62" s="158"/>
      <c r="H62" s="161" t="s">
        <v>20</v>
      </c>
      <c r="I62" s="161"/>
      <c r="J62" s="161"/>
      <c r="K62" s="161"/>
      <c r="L62" s="167"/>
      <c r="M62" s="161" t="s">
        <v>28</v>
      </c>
      <c r="N62" s="161"/>
      <c r="O62" s="161"/>
      <c r="P62" s="161"/>
      <c r="Q62" s="161"/>
      <c r="R62" s="161"/>
      <c r="S62" s="161"/>
      <c r="T62" s="158" t="s">
        <v>30</v>
      </c>
      <c r="U62" s="158"/>
      <c r="V62" s="158"/>
      <c r="W62" s="158"/>
      <c r="X62" s="163" t="s">
        <v>50</v>
      </c>
      <c r="Y62" s="158"/>
      <c r="Z62" s="158"/>
      <c r="AA62" s="158"/>
      <c r="AB62" s="158"/>
      <c r="AC62" s="158"/>
      <c r="AD62" s="158" t="s">
        <v>20</v>
      </c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65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</row>
    <row r="63" spans="3:68" s="33" customFormat="1" ht="15.75">
      <c r="C63" s="159"/>
      <c r="D63" s="160"/>
      <c r="E63" s="160"/>
      <c r="F63" s="160"/>
      <c r="G63" s="160"/>
      <c r="H63" s="162"/>
      <c r="I63" s="162"/>
      <c r="J63" s="162"/>
      <c r="K63" s="162"/>
      <c r="L63" s="168"/>
      <c r="M63" s="162"/>
      <c r="N63" s="162"/>
      <c r="O63" s="162"/>
      <c r="P63" s="162"/>
      <c r="Q63" s="162"/>
      <c r="R63" s="162"/>
      <c r="S63" s="162"/>
      <c r="T63" s="160"/>
      <c r="U63" s="160"/>
      <c r="V63" s="160"/>
      <c r="W63" s="160"/>
      <c r="X63" s="164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6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</row>
    <row r="64" spans="3:68" ht="14.25">
      <c r="C64" s="52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2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  <c r="BP64" s="154"/>
    </row>
    <row r="65" spans="3:6">
      <c r="C65" s="9" t="s">
        <v>23</v>
      </c>
    </row>
    <row r="66" spans="3:6">
      <c r="C66" s="9" t="s">
        <v>21</v>
      </c>
      <c r="D66" s="54">
        <f>AVERAGE(D53:AT53)+0.577*D69</f>
        <v>0.54281419999999991</v>
      </c>
    </row>
    <row r="67" spans="3:6">
      <c r="C67" s="9" t="s">
        <v>5</v>
      </c>
      <c r="D67" s="54">
        <f>AVERAGE(D53:AT53)</f>
        <v>0.49399999999999994</v>
      </c>
      <c r="E67" s="55" t="s">
        <v>24</v>
      </c>
      <c r="F67" s="9">
        <f>STDEV(D48:AS52)</f>
        <v>2.414243448488871E-2</v>
      </c>
    </row>
    <row r="68" spans="3:6">
      <c r="C68" s="9" t="s">
        <v>22</v>
      </c>
      <c r="D68" s="54">
        <f>D67-0.577*D69</f>
        <v>0.44518579999999991</v>
      </c>
    </row>
    <row r="69" spans="3:6">
      <c r="C69" s="9" t="s">
        <v>11</v>
      </c>
      <c r="D69" s="54">
        <f>2.115*(SUM(D54:AT54)/COUNTIF(D54:AT54,"&lt;&gt;0"))</f>
        <v>8.4600000000000036E-2</v>
      </c>
    </row>
    <row r="71" spans="3:6">
      <c r="C71" s="9" t="s">
        <v>25</v>
      </c>
    </row>
    <row r="73" spans="3:6">
      <c r="C73" s="9" t="s">
        <v>26</v>
      </c>
      <c r="D73" s="54">
        <f>F7/(6*F67)</f>
        <v>2.0710421739487836</v>
      </c>
    </row>
    <row r="74" spans="3:6">
      <c r="C74" s="9" t="s">
        <v>27</v>
      </c>
      <c r="D74" s="54">
        <f>MIN((F4-D67)/(3*F67),(D67-F6)/(3*F67))</f>
        <v>1.29785309567457</v>
      </c>
    </row>
    <row r="75" spans="3:6">
      <c r="D75" s="9">
        <f>COUNTIF(D10:AT10,"&gt;0")</f>
        <v>3</v>
      </c>
    </row>
  </sheetData>
  <sheetProtection algorithmName="SHA-512" hashValue="xjkS4Jp25KD6yF/3EJ9xoY/5BHJuW8wjTEvylf7DYsZhOi0AgyTnDgck/b4aSHjhkjMytqW9kBY4xWBoxKsFQA==" saltValue="KfcwNYwRZ8Zd2cefOK/+yg==" spinCount="100000" sheet="1" objects="1" scenarios="1" selectLockedCells="1"/>
  <mergeCells count="29">
    <mergeCell ref="J2:K3"/>
    <mergeCell ref="L2:M3"/>
    <mergeCell ref="N2:R3"/>
    <mergeCell ref="S2:U2"/>
    <mergeCell ref="S3:U3"/>
    <mergeCell ref="C21:C22"/>
    <mergeCell ref="C23:C24"/>
    <mergeCell ref="C25:C26"/>
    <mergeCell ref="C27:C28"/>
    <mergeCell ref="C29:C30"/>
    <mergeCell ref="C31:C32"/>
    <mergeCell ref="C33:C34"/>
    <mergeCell ref="C36:C37"/>
    <mergeCell ref="C41:C42"/>
    <mergeCell ref="C57:F57"/>
    <mergeCell ref="C13:C14"/>
    <mergeCell ref="C15:C16"/>
    <mergeCell ref="C17:C18"/>
    <mergeCell ref="C19:C20"/>
    <mergeCell ref="AQ4:AT5"/>
    <mergeCell ref="AM4:AP5"/>
    <mergeCell ref="BF64:BP64"/>
    <mergeCell ref="C59:E59"/>
    <mergeCell ref="C62:G63"/>
    <mergeCell ref="M62:S63"/>
    <mergeCell ref="T62:W63"/>
    <mergeCell ref="X62:AC63"/>
    <mergeCell ref="AD62:AT63"/>
    <mergeCell ref="H62:L63"/>
  </mergeCells>
  <conditionalFormatting sqref="W48:AT52 D48:U52">
    <cfRule type="expression" dxfId="5" priority="3">
      <formula>(D48&gt;$H$4)*(D48&lt;&gt;0)</formula>
    </cfRule>
    <cfRule type="expression" dxfId="4" priority="4">
      <formula>(D48&lt;$H$6)*(D48&lt;&gt;0)</formula>
    </cfRule>
  </conditionalFormatting>
  <conditionalFormatting sqref="V48:V52">
    <cfRule type="expression" dxfId="3" priority="1">
      <formula>(V48&gt;$H$4)*(V48&lt;&gt;0)</formula>
    </cfRule>
    <cfRule type="expression" dxfId="2" priority="2">
      <formula>(V48&lt;$H$6)*(V48&lt;&gt;0)</formula>
    </cfRule>
  </conditionalFormatting>
  <dataValidations count="4">
    <dataValidation type="whole" showErrorMessage="1" errorTitle="Data" error="Digite apenas o dia entre 1 e 31" sqref="D10:E10">
      <formula1>1</formula1>
      <formula2>31</formula2>
    </dataValidation>
    <dataValidation type="whole" showInputMessage="1" showErrorMessage="1" errorTitle="Data" error="Digite apenas o dia entre 1 e 31" sqref="F10:W10 AD10:AT10">
      <formula1>1</formula1>
      <formula2>31</formula2>
    </dataValidation>
    <dataValidation type="list" showErrorMessage="1" promptTitle="Turno" prompt="Escolha" sqref="D11:AT11">
      <formula1>Turnos</formula1>
    </dataValidation>
    <dataValidation type="whole" errorStyle="warning" showErrorMessage="1" errorTitle="Data" error="Digite apenas o dia entre 1 e 31" sqref="X10:AC10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48" orientation="landscape" r:id="rId1"/>
  <headerFooter alignWithMargins="0">
    <oddFooter xml:space="preserve">&amp;RSJCPIL-R 16-402-01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indexed="40"/>
    <pageSetUpPr fitToPage="1"/>
  </sheetPr>
  <dimension ref="B1:BP82"/>
  <sheetViews>
    <sheetView showZeros="0" zoomScaleNormal="100" workbookViewId="0">
      <selection activeCell="D48" sqref="D48"/>
    </sheetView>
  </sheetViews>
  <sheetFormatPr defaultColWidth="10.28515625" defaultRowHeight="12.75"/>
  <cols>
    <col min="1" max="1" width="1.42578125" style="9" customWidth="1"/>
    <col min="2" max="2" width="2.28515625" style="9" customWidth="1"/>
    <col min="3" max="3" width="16.140625" style="9" customWidth="1"/>
    <col min="4" max="68" width="6.7109375" style="9" customWidth="1"/>
    <col min="69" max="16384" width="10.28515625" style="9"/>
  </cols>
  <sheetData>
    <row r="1" spans="2:63" ht="21.75" thickBot="1">
      <c r="C1" s="96" t="s">
        <v>45</v>
      </c>
      <c r="D1" s="97"/>
      <c r="E1" s="97"/>
      <c r="F1" s="97"/>
      <c r="G1" s="98"/>
      <c r="H1" s="98"/>
      <c r="I1" s="99"/>
      <c r="J1" s="89" t="s">
        <v>36</v>
      </c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8"/>
      <c r="BK1" s="10"/>
    </row>
    <row r="2" spans="2:63" s="11" customFormat="1" ht="19.5" customHeight="1">
      <c r="B2" s="9"/>
      <c r="C2" s="100" t="s">
        <v>46</v>
      </c>
      <c r="D2" s="101"/>
      <c r="E2" s="102"/>
      <c r="F2" s="102"/>
      <c r="G2" s="103"/>
      <c r="H2" s="103"/>
      <c r="I2" s="104"/>
      <c r="J2" s="181" t="s">
        <v>0</v>
      </c>
      <c r="K2" s="182"/>
      <c r="L2" s="185" t="s">
        <v>37</v>
      </c>
      <c r="M2" s="186"/>
      <c r="N2" s="189" t="str">
        <f>'SJCPIL-R 16-402-02 - Esp. Fundo'!N2</f>
        <v>SETOR:  PRENSA</v>
      </c>
      <c r="O2" s="190"/>
      <c r="P2" s="190"/>
      <c r="Q2" s="190"/>
      <c r="R2" s="191"/>
      <c r="S2" s="195" t="s">
        <v>1</v>
      </c>
      <c r="T2" s="196"/>
      <c r="U2" s="197"/>
      <c r="V2" s="12" t="s">
        <v>39</v>
      </c>
      <c r="W2" s="13"/>
      <c r="X2" s="13"/>
      <c r="Y2" s="13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  <c r="AT2" s="16"/>
    </row>
    <row r="3" spans="2:63" ht="16.899999999999999" customHeight="1" thickBot="1">
      <c r="C3" s="73"/>
      <c r="J3" s="183"/>
      <c r="K3" s="184"/>
      <c r="L3" s="187"/>
      <c r="M3" s="188"/>
      <c r="N3" s="192"/>
      <c r="O3" s="193"/>
      <c r="P3" s="193"/>
      <c r="Q3" s="193"/>
      <c r="R3" s="194"/>
      <c r="S3" s="198" t="s">
        <v>2</v>
      </c>
      <c r="T3" s="199"/>
      <c r="U3" s="200"/>
      <c r="V3" s="17" t="s">
        <v>47</v>
      </c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9"/>
      <c r="AT3" s="20"/>
    </row>
    <row r="4" spans="2:63" s="26" customFormat="1" ht="16.899999999999999" customHeight="1" thickTop="1">
      <c r="C4" s="74" t="s">
        <v>3</v>
      </c>
      <c r="D4" s="21"/>
      <c r="E4" s="22" t="s">
        <v>4</v>
      </c>
      <c r="F4" s="23">
        <f>F5+0.03</f>
        <v>0.31000000000000005</v>
      </c>
      <c r="G4" s="24" t="s">
        <v>31</v>
      </c>
      <c r="H4" s="25">
        <f>H5+0.02</f>
        <v>0.30000000000000004</v>
      </c>
      <c r="I4" s="71"/>
      <c r="AB4" s="131"/>
      <c r="AC4" s="131"/>
      <c r="AD4" s="131"/>
      <c r="AE4" s="131"/>
      <c r="AF4" s="139"/>
      <c r="AG4" s="145"/>
      <c r="AH4" s="145"/>
      <c r="AI4" s="145"/>
      <c r="AJ4" s="145"/>
      <c r="AK4" s="145"/>
      <c r="AL4" s="139"/>
      <c r="AM4" s="206" t="str">
        <f ca="1">'SJCPIL-R 16-402-02 - Esp. Fundo'!AM4</f>
        <v>MÊS: 03</v>
      </c>
      <c r="AN4" s="202"/>
      <c r="AO4" s="202"/>
      <c r="AP4" s="203"/>
      <c r="AQ4" s="202" t="str">
        <f ca="1">'SJCPIL-R 16-402-02 - Esp. Fundo'!AQ4</f>
        <v>ANO: 2022</v>
      </c>
      <c r="AR4" s="202"/>
      <c r="AS4" s="202"/>
      <c r="AT4" s="203"/>
    </row>
    <row r="5" spans="2:63" s="26" customFormat="1" ht="16.899999999999999" customHeight="1" thickBot="1">
      <c r="C5" s="75" t="s">
        <v>44</v>
      </c>
      <c r="D5" s="90" t="s">
        <v>5</v>
      </c>
      <c r="E5" s="27" t="s">
        <v>33</v>
      </c>
      <c r="F5" s="28">
        <v>0.28000000000000003</v>
      </c>
      <c r="G5" s="29" t="s">
        <v>33</v>
      </c>
      <c r="H5" s="30">
        <f>F5</f>
        <v>0.28000000000000003</v>
      </c>
      <c r="I5" s="71"/>
      <c r="J5" s="26" t="s">
        <v>38</v>
      </c>
      <c r="S5" s="26" t="s">
        <v>6</v>
      </c>
      <c r="AB5" s="131"/>
      <c r="AC5" s="131"/>
      <c r="AD5" s="131"/>
      <c r="AE5" s="131"/>
      <c r="AF5" s="146"/>
      <c r="AG5" s="146"/>
      <c r="AH5" s="146"/>
      <c r="AI5" s="146"/>
      <c r="AJ5" s="146"/>
      <c r="AK5" s="146"/>
      <c r="AL5" s="146"/>
      <c r="AM5" s="207"/>
      <c r="AN5" s="204"/>
      <c r="AO5" s="204"/>
      <c r="AP5" s="205"/>
      <c r="AQ5" s="204"/>
      <c r="AR5" s="204"/>
      <c r="AS5" s="204"/>
      <c r="AT5" s="205"/>
    </row>
    <row r="6" spans="2:63" s="26" customFormat="1" ht="16.899999999999999" customHeight="1">
      <c r="C6" s="76" t="s">
        <v>7</v>
      </c>
      <c r="D6" s="31"/>
      <c r="E6" s="27" t="s">
        <v>8</v>
      </c>
      <c r="F6" s="28">
        <f>F5-0.03</f>
        <v>0.25</v>
      </c>
      <c r="G6" s="29" t="s">
        <v>32</v>
      </c>
      <c r="H6" s="30">
        <f>H5-0.02</f>
        <v>0.26</v>
      </c>
      <c r="I6" s="71"/>
      <c r="J6" s="26" t="s">
        <v>9</v>
      </c>
      <c r="S6" s="26" t="s">
        <v>10</v>
      </c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T6" s="77"/>
    </row>
    <row r="7" spans="2:63" s="26" customFormat="1" ht="16.899999999999999" customHeight="1" thickBot="1">
      <c r="C7" s="78"/>
      <c r="D7" s="79" t="s">
        <v>11</v>
      </c>
      <c r="E7" s="80" t="s">
        <v>4</v>
      </c>
      <c r="F7" s="81">
        <f>F4-F6</f>
        <v>6.0000000000000053E-2</v>
      </c>
      <c r="G7" s="82" t="s">
        <v>31</v>
      </c>
      <c r="H7" s="83">
        <f>H4-H6</f>
        <v>4.0000000000000036E-2</v>
      </c>
      <c r="I7" s="84"/>
      <c r="J7" s="84" t="s">
        <v>12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4"/>
      <c r="AT7" s="86"/>
    </row>
    <row r="8" spans="2:63" s="26" customFormat="1" ht="4.5" customHeight="1" thickBot="1"/>
    <row r="9" spans="2:63" s="33" customFormat="1">
      <c r="C9" s="32" t="s">
        <v>13</v>
      </c>
      <c r="D9" s="60">
        <v>1</v>
      </c>
      <c r="E9" s="60">
        <v>2</v>
      </c>
      <c r="F9" s="60">
        <v>3</v>
      </c>
      <c r="G9" s="60">
        <v>4</v>
      </c>
      <c r="H9" s="60">
        <v>5</v>
      </c>
      <c r="I9" s="60">
        <v>6</v>
      </c>
      <c r="J9" s="60">
        <v>7</v>
      </c>
      <c r="K9" s="60">
        <v>8</v>
      </c>
      <c r="L9" s="60">
        <v>9</v>
      </c>
      <c r="M9" s="60">
        <v>10</v>
      </c>
      <c r="N9" s="60">
        <v>11</v>
      </c>
      <c r="O9" s="60">
        <v>12</v>
      </c>
      <c r="P9" s="60">
        <v>13</v>
      </c>
      <c r="Q9" s="60">
        <v>14</v>
      </c>
      <c r="R9" s="60">
        <v>15</v>
      </c>
      <c r="S9" s="60">
        <v>16</v>
      </c>
      <c r="T9" s="60">
        <v>17</v>
      </c>
      <c r="U9" s="60">
        <v>18</v>
      </c>
      <c r="V9" s="60">
        <v>19</v>
      </c>
      <c r="W9" s="60">
        <v>20</v>
      </c>
      <c r="X9" s="60">
        <v>21</v>
      </c>
      <c r="Y9" s="60">
        <v>22</v>
      </c>
      <c r="Z9" s="60">
        <v>23</v>
      </c>
      <c r="AA9" s="60">
        <v>24</v>
      </c>
      <c r="AB9" s="60">
        <v>25</v>
      </c>
      <c r="AC9" s="60">
        <v>26</v>
      </c>
      <c r="AD9" s="60">
        <v>27</v>
      </c>
      <c r="AE9" s="60">
        <v>28</v>
      </c>
      <c r="AF9" s="60">
        <v>29</v>
      </c>
      <c r="AG9" s="60">
        <v>30</v>
      </c>
      <c r="AH9" s="60">
        <v>31</v>
      </c>
      <c r="AI9" s="60">
        <v>32</v>
      </c>
      <c r="AJ9" s="60">
        <v>33</v>
      </c>
      <c r="AK9" s="60">
        <v>34</v>
      </c>
      <c r="AL9" s="60">
        <v>35</v>
      </c>
      <c r="AM9" s="60">
        <v>36</v>
      </c>
      <c r="AN9" s="60">
        <v>37</v>
      </c>
      <c r="AO9" s="60">
        <v>38</v>
      </c>
      <c r="AP9" s="60">
        <v>39</v>
      </c>
      <c r="AQ9" s="60">
        <v>40</v>
      </c>
      <c r="AR9" s="60">
        <v>41</v>
      </c>
      <c r="AS9" s="60">
        <v>42</v>
      </c>
      <c r="AT9" s="142">
        <v>43</v>
      </c>
    </row>
    <row r="10" spans="2:63" s="33" customFormat="1" ht="14.1" customHeight="1">
      <c r="C10" s="34" t="s">
        <v>14</v>
      </c>
      <c r="D10" s="7">
        <v>24</v>
      </c>
      <c r="E10" s="7">
        <v>24</v>
      </c>
      <c r="F10" s="7">
        <v>24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6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8"/>
    </row>
    <row r="11" spans="2:63" s="33" customFormat="1" ht="14.1" customHeight="1">
      <c r="C11" s="35" t="s">
        <v>34</v>
      </c>
      <c r="D11" s="7" t="s">
        <v>59</v>
      </c>
      <c r="E11" s="7" t="s">
        <v>60</v>
      </c>
      <c r="F11" s="7" t="s">
        <v>61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8"/>
    </row>
    <row r="12" spans="2:63" s="33" customFormat="1" ht="12" customHeight="1">
      <c r="C12" s="36"/>
      <c r="AT12" s="37"/>
    </row>
    <row r="13" spans="2:63" s="33" customFormat="1" ht="12" customHeight="1">
      <c r="C13" s="169"/>
      <c r="AT13" s="37"/>
    </row>
    <row r="14" spans="2:63" s="33" customFormat="1" ht="12" customHeight="1">
      <c r="C14" s="169"/>
      <c r="AT14" s="37"/>
    </row>
    <row r="15" spans="2:63" s="33" customFormat="1" ht="12" customHeight="1">
      <c r="C15" s="170"/>
      <c r="AT15" s="37"/>
    </row>
    <row r="16" spans="2:63" s="33" customFormat="1" ht="12" customHeight="1">
      <c r="C16" s="170"/>
      <c r="AT16" s="37"/>
    </row>
    <row r="17" spans="3:46" s="33" customFormat="1" ht="12" customHeight="1">
      <c r="C17" s="170"/>
      <c r="AT17" s="37"/>
    </row>
    <row r="18" spans="3:46" s="33" customFormat="1" ht="12" customHeight="1">
      <c r="C18" s="170"/>
      <c r="AT18" s="37"/>
    </row>
    <row r="19" spans="3:46" s="33" customFormat="1" ht="12" customHeight="1">
      <c r="C19" s="170"/>
      <c r="AT19" s="37"/>
    </row>
    <row r="20" spans="3:46" s="33" customFormat="1" ht="12" customHeight="1">
      <c r="C20" s="170"/>
      <c r="AT20" s="37"/>
    </row>
    <row r="21" spans="3:46" s="33" customFormat="1" ht="12" customHeight="1">
      <c r="C21" s="170"/>
      <c r="AT21" s="37"/>
    </row>
    <row r="22" spans="3:46" s="33" customFormat="1" ht="12" customHeight="1">
      <c r="C22" s="170"/>
      <c r="AT22" s="37"/>
    </row>
    <row r="23" spans="3:46" s="33" customFormat="1" ht="12" customHeight="1">
      <c r="C23" s="169"/>
      <c r="AT23" s="37"/>
    </row>
    <row r="24" spans="3:46" s="33" customFormat="1" ht="12" customHeight="1">
      <c r="C24" s="169"/>
      <c r="AT24" s="37"/>
    </row>
    <row r="25" spans="3:46" s="33" customFormat="1" ht="12" customHeight="1">
      <c r="C25" s="170"/>
      <c r="AT25" s="37"/>
    </row>
    <row r="26" spans="3:46" s="33" customFormat="1" ht="12" customHeight="1">
      <c r="C26" s="170"/>
      <c r="AT26" s="37"/>
    </row>
    <row r="27" spans="3:46" s="33" customFormat="1" ht="12" customHeight="1">
      <c r="C27" s="170"/>
      <c r="AT27" s="37"/>
    </row>
    <row r="28" spans="3:46" s="33" customFormat="1" ht="12" customHeight="1">
      <c r="C28" s="170"/>
      <c r="AT28" s="37"/>
    </row>
    <row r="29" spans="3:46" s="33" customFormat="1" ht="12" customHeight="1">
      <c r="C29" s="170"/>
      <c r="AT29" s="37"/>
    </row>
    <row r="30" spans="3:46" s="33" customFormat="1" ht="12" customHeight="1">
      <c r="C30" s="170"/>
      <c r="AT30" s="37"/>
    </row>
    <row r="31" spans="3:46" s="33" customFormat="1" ht="12" customHeight="1" thickBot="1">
      <c r="C31" s="38"/>
      <c r="AT31" s="37"/>
    </row>
    <row r="32" spans="3:46" s="33" customFormat="1" ht="12" customHeight="1">
      <c r="C32" s="177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40"/>
    </row>
    <row r="33" spans="2:46" s="33" customFormat="1" ht="12" customHeight="1">
      <c r="C33" s="169"/>
      <c r="AT33" s="37"/>
    </row>
    <row r="34" spans="2:46" s="33" customFormat="1" ht="12" customHeight="1">
      <c r="C34" s="91"/>
      <c r="AT34" s="37"/>
    </row>
    <row r="35" spans="2:46" s="33" customFormat="1" ht="12" customHeight="1">
      <c r="C35" s="91"/>
      <c r="AT35" s="37"/>
    </row>
    <row r="36" spans="2:46" s="33" customFormat="1" ht="12" customHeight="1">
      <c r="C36" s="91"/>
      <c r="AT36" s="37"/>
    </row>
    <row r="37" spans="2:46" s="33" customFormat="1" ht="12" customHeight="1">
      <c r="C37" s="169"/>
      <c r="AT37" s="37"/>
    </row>
    <row r="38" spans="2:46" s="33" customFormat="1" ht="12" customHeight="1">
      <c r="C38" s="169"/>
      <c r="AT38" s="37"/>
    </row>
    <row r="39" spans="2:46" s="33" customFormat="1" ht="12" customHeight="1">
      <c r="C39" s="91"/>
      <c r="AT39" s="37"/>
    </row>
    <row r="40" spans="2:46" s="33" customFormat="1" ht="12" customHeight="1">
      <c r="C40" s="91"/>
      <c r="AT40" s="37"/>
    </row>
    <row r="41" spans="2:46" s="33" customFormat="1" ht="12" customHeight="1">
      <c r="C41" s="91"/>
      <c r="AT41" s="37"/>
    </row>
    <row r="42" spans="2:46" s="33" customFormat="1" ht="12" customHeight="1" thickBot="1">
      <c r="C42" s="41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3"/>
    </row>
    <row r="43" spans="2:46" s="33" customFormat="1" ht="6" customHeight="1" thickBot="1">
      <c r="C43" s="44"/>
      <c r="AT43" s="37"/>
    </row>
    <row r="44" spans="2:46" s="45" customFormat="1" ht="15" customHeight="1">
      <c r="B44" s="208" t="s">
        <v>48</v>
      </c>
      <c r="C44" s="105"/>
      <c r="D44" s="106">
        <v>0.26</v>
      </c>
      <c r="E44" s="107">
        <v>0.28999999999999998</v>
      </c>
      <c r="F44" s="107">
        <v>0.27</v>
      </c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2:46" s="45" customFormat="1" ht="15" customHeight="1">
      <c r="B45" s="209"/>
      <c r="C45" s="57"/>
      <c r="D45" s="4">
        <v>0.26</v>
      </c>
      <c r="E45" s="5">
        <v>0.3</v>
      </c>
      <c r="F45" s="5">
        <v>0.26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6"/>
    </row>
    <row r="46" spans="2:46" s="45" customFormat="1" ht="15" customHeight="1">
      <c r="B46" s="209"/>
      <c r="C46" s="57"/>
      <c r="D46" s="4">
        <v>0.27</v>
      </c>
      <c r="E46" s="5">
        <v>0.28999999999999998</v>
      </c>
      <c r="F46" s="5">
        <v>0.27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6"/>
    </row>
    <row r="47" spans="2:46" s="45" customFormat="1" ht="15" customHeight="1">
      <c r="B47" s="209"/>
      <c r="C47" s="57"/>
      <c r="D47" s="4">
        <v>0.27</v>
      </c>
      <c r="E47" s="5">
        <v>0.28999999999999998</v>
      </c>
      <c r="F47" s="5">
        <v>0.26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6"/>
    </row>
    <row r="48" spans="2:46" s="45" customFormat="1" ht="15" customHeight="1">
      <c r="B48" s="209"/>
      <c r="C48" s="58"/>
      <c r="D48" s="4">
        <v>0.26</v>
      </c>
      <c r="E48" s="5">
        <v>0.28000000000000003</v>
      </c>
      <c r="F48" s="5">
        <v>0.26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6"/>
    </row>
    <row r="49" spans="2:46" s="45" customFormat="1" ht="15" customHeight="1">
      <c r="B49" s="209"/>
      <c r="C49" s="58" t="s">
        <v>15</v>
      </c>
      <c r="D49" s="118">
        <f t="shared" ref="D49:H49" si="0">IF(ISERR(AVERAGE(D44:D48))," ",AVERAGE(D44:D48))</f>
        <v>0.26400000000000001</v>
      </c>
      <c r="E49" s="46">
        <f t="shared" ref="E49:F49" si="1">IF(ISERR(AVERAGE(E44:E48))," ",AVERAGE(E44:E48))</f>
        <v>0.28999999999999998</v>
      </c>
      <c r="F49" s="46">
        <f t="shared" si="1"/>
        <v>0.26400000000000001</v>
      </c>
      <c r="G49" s="46" t="str">
        <f t="shared" si="0"/>
        <v xml:space="preserve"> </v>
      </c>
      <c r="H49" s="46" t="str">
        <f t="shared" si="0"/>
        <v xml:space="preserve"> </v>
      </c>
      <c r="I49" s="46" t="str">
        <f>IF(ISERR(AVERAGE(I44:I48))," ",AVERAGE(I44:I48))</f>
        <v xml:space="preserve"> </v>
      </c>
      <c r="J49" s="46" t="str">
        <f>IF(ISERR(AVERAGE(J44:J48))," ",AVERAGE(J44:J48))</f>
        <v xml:space="preserve"> </v>
      </c>
      <c r="K49" s="46" t="str">
        <f>IF(ISERR(AVERAGE(K44:K48))," ",AVERAGE(K44:K48))</f>
        <v xml:space="preserve"> </v>
      </c>
      <c r="L49" s="46" t="str">
        <f t="shared" ref="L49:P49" si="2">IF(ISERR(AVERAGE(L44:L48))," ",AVERAGE(L44:L48))</f>
        <v xml:space="preserve"> </v>
      </c>
      <c r="M49" s="46" t="str">
        <f t="shared" si="2"/>
        <v xml:space="preserve"> </v>
      </c>
      <c r="N49" s="46" t="str">
        <f t="shared" si="2"/>
        <v xml:space="preserve"> </v>
      </c>
      <c r="O49" s="46" t="str">
        <f t="shared" si="2"/>
        <v xml:space="preserve"> </v>
      </c>
      <c r="P49" s="46" t="str">
        <f t="shared" si="2"/>
        <v xml:space="preserve"> </v>
      </c>
      <c r="Q49" s="46" t="str">
        <f>IF(ISERR(AVERAGE(Q44:Q48))," ",AVERAGE(Q44:Q48))</f>
        <v xml:space="preserve"> </v>
      </c>
      <c r="R49" s="46" t="str">
        <f>IF(ISERR(AVERAGE(R44:R48))," ",AVERAGE(R44:R48))</f>
        <v xml:space="preserve"> </v>
      </c>
      <c r="S49" s="46" t="str">
        <f>IF(ISERR(AVERAGE(S44:S48))," ",AVERAGE(S44:S48))</f>
        <v xml:space="preserve"> </v>
      </c>
      <c r="T49" s="46" t="str">
        <f t="shared" ref="T49" si="3">IF(ISERR(AVERAGE(T44:T48))," ",AVERAGE(T44:T48))</f>
        <v xml:space="preserve"> </v>
      </c>
      <c r="U49" s="46" t="str">
        <f>IF(ISERR(AVERAGE(U44:U48))," ",AVERAGE(U44:U48))</f>
        <v xml:space="preserve"> </v>
      </c>
      <c r="V49" s="46" t="str">
        <f>IF(ISERR(AVERAGE(V44:V48))," ",AVERAGE(V44:V48))</f>
        <v xml:space="preserve"> </v>
      </c>
      <c r="W49" s="46" t="str">
        <f t="shared" ref="W49:Z49" si="4">IF(ISERR(AVERAGE(W44:W48))," ",AVERAGE(W44:W48))</f>
        <v xml:space="preserve"> </v>
      </c>
      <c r="X49" s="46" t="str">
        <f t="shared" si="4"/>
        <v xml:space="preserve"> </v>
      </c>
      <c r="Y49" s="46" t="str">
        <f t="shared" si="4"/>
        <v xml:space="preserve"> </v>
      </c>
      <c r="Z49" s="46" t="str">
        <f t="shared" si="4"/>
        <v xml:space="preserve"> </v>
      </c>
      <c r="AA49" s="46" t="str">
        <f t="shared" ref="AA49:AF49" si="5">IF(ISERR(AVERAGE(AA44:AA48))," ",AVERAGE(AA44:AA48))</f>
        <v xml:space="preserve"> </v>
      </c>
      <c r="AB49" s="46" t="str">
        <f t="shared" si="5"/>
        <v xml:space="preserve"> </v>
      </c>
      <c r="AC49" s="46" t="str">
        <f t="shared" si="5"/>
        <v xml:space="preserve"> </v>
      </c>
      <c r="AD49" s="46" t="str">
        <f t="shared" ref="AD49:AE49" si="6">IF(ISERR(AVERAGE(AD44:AD48))," ",AVERAGE(AD44:AD48))</f>
        <v xml:space="preserve"> </v>
      </c>
      <c r="AE49" s="46" t="str">
        <f t="shared" si="6"/>
        <v xml:space="preserve"> </v>
      </c>
      <c r="AF49" s="46" t="str">
        <f t="shared" si="5"/>
        <v xml:space="preserve"> </v>
      </c>
      <c r="AG49" s="46" t="str">
        <f t="shared" ref="AG49:AT49" si="7">IF(ISERR(AVERAGE(AG44:AG48))," ",AVERAGE(AG44:AG48))</f>
        <v xml:space="preserve"> </v>
      </c>
      <c r="AH49" s="46" t="str">
        <f t="shared" si="7"/>
        <v xml:space="preserve"> </v>
      </c>
      <c r="AI49" s="46" t="str">
        <f t="shared" ref="AI49:AL49" si="8">IF(ISERR(AVERAGE(AI44:AI48))," ",AVERAGE(AI44:AI48))</f>
        <v xml:space="preserve"> </v>
      </c>
      <c r="AJ49" s="46" t="str">
        <f t="shared" si="8"/>
        <v xml:space="preserve"> </v>
      </c>
      <c r="AK49" s="46" t="str">
        <f t="shared" si="8"/>
        <v xml:space="preserve"> </v>
      </c>
      <c r="AL49" s="46" t="str">
        <f t="shared" si="8"/>
        <v xml:space="preserve"> </v>
      </c>
      <c r="AM49" s="46" t="str">
        <f t="shared" si="7"/>
        <v xml:space="preserve"> </v>
      </c>
      <c r="AN49" s="46" t="str">
        <f t="shared" si="7"/>
        <v xml:space="preserve"> </v>
      </c>
      <c r="AO49" s="46" t="str">
        <f t="shared" si="7"/>
        <v xml:space="preserve"> </v>
      </c>
      <c r="AP49" s="46" t="str">
        <f t="shared" si="7"/>
        <v xml:space="preserve"> </v>
      </c>
      <c r="AQ49" s="46" t="str">
        <f t="shared" si="7"/>
        <v xml:space="preserve"> </v>
      </c>
      <c r="AR49" s="46" t="str">
        <f t="shared" si="7"/>
        <v xml:space="preserve"> </v>
      </c>
      <c r="AS49" s="46" t="str">
        <f t="shared" si="7"/>
        <v xml:space="preserve"> </v>
      </c>
      <c r="AT49" s="137" t="str">
        <f t="shared" si="7"/>
        <v xml:space="preserve"> </v>
      </c>
    </row>
    <row r="50" spans="2:46" s="45" customFormat="1" ht="15" customHeight="1" thickBot="1">
      <c r="B50" s="210"/>
      <c r="C50" s="120" t="s">
        <v>11</v>
      </c>
      <c r="D50" s="119">
        <f t="shared" ref="D50:M50" si="9">MAX(D44:D48)-MIN(D44:D48)</f>
        <v>1.0000000000000009E-2</v>
      </c>
      <c r="E50" s="111">
        <f t="shared" si="9"/>
        <v>1.9999999999999962E-2</v>
      </c>
      <c r="F50" s="111">
        <f t="shared" si="9"/>
        <v>1.0000000000000009E-2</v>
      </c>
      <c r="G50" s="111">
        <f t="shared" si="9"/>
        <v>0</v>
      </c>
      <c r="H50" s="111">
        <f t="shared" si="9"/>
        <v>0</v>
      </c>
      <c r="I50" s="111">
        <f>MAX(I44:I48)-MIN(I44:I48)</f>
        <v>0</v>
      </c>
      <c r="J50" s="111">
        <f>MAX(J44:J48)-MIN(J44:J48)</f>
        <v>0</v>
      </c>
      <c r="K50" s="111">
        <f t="shared" si="9"/>
        <v>0</v>
      </c>
      <c r="L50" s="111">
        <f t="shared" si="9"/>
        <v>0</v>
      </c>
      <c r="M50" s="111">
        <f t="shared" si="9"/>
        <v>0</v>
      </c>
      <c r="N50" s="111">
        <f>MAX(N44:N48)-MIN(N44:N48)</f>
        <v>0</v>
      </c>
      <c r="O50" s="111">
        <f t="shared" ref="O50:AF50" si="10">MAX(O44:O48)-MIN(O44:O48)</f>
        <v>0</v>
      </c>
      <c r="P50" s="111">
        <f t="shared" si="10"/>
        <v>0</v>
      </c>
      <c r="Q50" s="111">
        <f>MAX(Q44:Q48)-MIN(Q44:Q48)</f>
        <v>0</v>
      </c>
      <c r="R50" s="111">
        <f t="shared" si="10"/>
        <v>0</v>
      </c>
      <c r="S50" s="111">
        <f t="shared" si="10"/>
        <v>0</v>
      </c>
      <c r="T50" s="111">
        <f t="shared" si="10"/>
        <v>0</v>
      </c>
      <c r="U50" s="111">
        <f t="shared" si="10"/>
        <v>0</v>
      </c>
      <c r="V50" s="111">
        <f t="shared" si="10"/>
        <v>0</v>
      </c>
      <c r="W50" s="111">
        <f t="shared" si="10"/>
        <v>0</v>
      </c>
      <c r="X50" s="111">
        <f t="shared" si="10"/>
        <v>0</v>
      </c>
      <c r="Y50" s="111">
        <f t="shared" si="10"/>
        <v>0</v>
      </c>
      <c r="Z50" s="111">
        <f t="shared" si="10"/>
        <v>0</v>
      </c>
      <c r="AA50" s="111">
        <f t="shared" si="10"/>
        <v>0</v>
      </c>
      <c r="AB50" s="111">
        <f t="shared" si="10"/>
        <v>0</v>
      </c>
      <c r="AC50" s="111">
        <f t="shared" si="10"/>
        <v>0</v>
      </c>
      <c r="AD50" s="111">
        <f t="shared" ref="AD50:AE50" si="11">MAX(AD44:AD48)-MIN(AD44:AD48)</f>
        <v>0</v>
      </c>
      <c r="AE50" s="111">
        <f t="shared" si="11"/>
        <v>0</v>
      </c>
      <c r="AF50" s="111">
        <f t="shared" si="10"/>
        <v>0</v>
      </c>
      <c r="AG50" s="111">
        <f t="shared" ref="AG50:AT50" si="12">MAX(AG44:AG48)-MIN(AG44:AG48)</f>
        <v>0</v>
      </c>
      <c r="AH50" s="111">
        <f t="shared" si="12"/>
        <v>0</v>
      </c>
      <c r="AI50" s="111">
        <f t="shared" ref="AI50:AL50" si="13">MAX(AI44:AI48)-MIN(AI44:AI48)</f>
        <v>0</v>
      </c>
      <c r="AJ50" s="111">
        <f t="shared" si="13"/>
        <v>0</v>
      </c>
      <c r="AK50" s="111">
        <f t="shared" si="13"/>
        <v>0</v>
      </c>
      <c r="AL50" s="111">
        <f t="shared" si="13"/>
        <v>0</v>
      </c>
      <c r="AM50" s="111">
        <f t="shared" si="12"/>
        <v>0</v>
      </c>
      <c r="AN50" s="111">
        <f t="shared" si="12"/>
        <v>0</v>
      </c>
      <c r="AO50" s="111">
        <f t="shared" si="12"/>
        <v>0</v>
      </c>
      <c r="AP50" s="111">
        <f t="shared" si="12"/>
        <v>0</v>
      </c>
      <c r="AQ50" s="111">
        <f t="shared" si="12"/>
        <v>0</v>
      </c>
      <c r="AR50" s="111">
        <f t="shared" si="12"/>
        <v>0</v>
      </c>
      <c r="AS50" s="111">
        <f t="shared" si="12"/>
        <v>0</v>
      </c>
      <c r="AT50" s="138">
        <f t="shared" si="12"/>
        <v>0</v>
      </c>
    </row>
    <row r="51" spans="2:46" s="45" customFormat="1" ht="15" customHeight="1">
      <c r="B51" s="208" t="s">
        <v>49</v>
      </c>
      <c r="C51" s="105"/>
      <c r="D51" s="106">
        <v>0.3</v>
      </c>
      <c r="E51" s="107">
        <v>0.3</v>
      </c>
      <c r="F51" s="107">
        <v>0.31</v>
      </c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8"/>
    </row>
    <row r="52" spans="2:46" s="45" customFormat="1" ht="15" customHeight="1">
      <c r="B52" s="209"/>
      <c r="C52" s="57"/>
      <c r="D52" s="4">
        <v>0.28999999999999998</v>
      </c>
      <c r="E52" s="5">
        <v>0.32</v>
      </c>
      <c r="F52" s="5">
        <v>0.28999999999999998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6"/>
    </row>
    <row r="53" spans="2:46" s="45" customFormat="1" ht="15" customHeight="1">
      <c r="B53" s="209"/>
      <c r="C53" s="57"/>
      <c r="D53" s="4">
        <v>0.3</v>
      </c>
      <c r="E53" s="5">
        <v>0.31</v>
      </c>
      <c r="F53" s="5">
        <v>0.3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6"/>
    </row>
    <row r="54" spans="2:46" s="45" customFormat="1" ht="15" customHeight="1">
      <c r="B54" s="209"/>
      <c r="C54" s="57"/>
      <c r="D54" s="4">
        <v>0.3</v>
      </c>
      <c r="E54" s="5">
        <v>0.32</v>
      </c>
      <c r="F54" s="5">
        <v>0.31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6"/>
    </row>
    <row r="55" spans="2:46" s="45" customFormat="1" ht="15" customHeight="1">
      <c r="B55" s="209"/>
      <c r="C55" s="58"/>
      <c r="D55" s="4">
        <v>0.31</v>
      </c>
      <c r="E55" s="5">
        <v>0.31</v>
      </c>
      <c r="F55" s="5">
        <v>0.3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6"/>
    </row>
    <row r="56" spans="2:46" s="45" customFormat="1" ht="16.5">
      <c r="B56" s="209"/>
      <c r="C56" s="152" t="str">
        <f>C49</f>
        <v>Média</v>
      </c>
      <c r="D56" s="95">
        <f t="shared" ref="D56:J56" si="14">IF(ISERR(AVERAGE(D51:D55))," ",AVERAGE(D51:D55))</f>
        <v>0.3</v>
      </c>
      <c r="E56" s="46">
        <f t="shared" si="14"/>
        <v>0.312</v>
      </c>
      <c r="F56" s="46">
        <f t="shared" si="14"/>
        <v>0.30199999999999999</v>
      </c>
      <c r="G56" s="46" t="str">
        <f t="shared" si="14"/>
        <v xml:space="preserve"> </v>
      </c>
      <c r="H56" s="46" t="str">
        <f t="shared" si="14"/>
        <v xml:space="preserve"> </v>
      </c>
      <c r="I56" s="46" t="str">
        <f t="shared" si="14"/>
        <v xml:space="preserve"> </v>
      </c>
      <c r="J56" s="46" t="str">
        <f t="shared" si="14"/>
        <v xml:space="preserve"> </v>
      </c>
      <c r="K56" s="46" t="str">
        <f>IF(ISERR(AVERAGE(K51:K55))," ",AVERAGE(K51:K55))</f>
        <v xml:space="preserve"> </v>
      </c>
      <c r="L56" s="46" t="str">
        <f t="shared" ref="L56:M56" si="15">IF(ISERR(AVERAGE(L51:L55))," ",AVERAGE(L51:L55))</f>
        <v xml:space="preserve"> </v>
      </c>
      <c r="M56" s="46" t="str">
        <f t="shared" si="15"/>
        <v xml:space="preserve"> </v>
      </c>
      <c r="N56" s="46" t="str">
        <f t="shared" ref="N56:P56" si="16">IF(ISERR(AVERAGE(N51:N55))," ",AVERAGE(N51:N55))</f>
        <v xml:space="preserve"> </v>
      </c>
      <c r="O56" s="46" t="str">
        <f t="shared" si="16"/>
        <v xml:space="preserve"> </v>
      </c>
      <c r="P56" s="46" t="str">
        <f t="shared" si="16"/>
        <v xml:space="preserve"> </v>
      </c>
      <c r="Q56" s="46" t="str">
        <f>IF(ISERR(AVERAGE(Q51:Q55))," ",AVERAGE(Q51:Q55))</f>
        <v xml:space="preserve"> </v>
      </c>
      <c r="R56" s="46" t="str">
        <f>IF(ISERR(AVERAGE(R51:R55))," ",AVERAGE(R51:R55))</f>
        <v xml:space="preserve"> </v>
      </c>
      <c r="S56" s="46" t="str">
        <f>IF(ISERR(AVERAGE(S51:S55))," ",AVERAGE(S51:S55))</f>
        <v xml:space="preserve"> </v>
      </c>
      <c r="T56" s="46" t="str">
        <f t="shared" ref="T56" si="17">IF(ISERR(AVERAGE(T51:T55))," ",AVERAGE(T51:T55))</f>
        <v xml:space="preserve"> </v>
      </c>
      <c r="U56" s="46" t="str">
        <f>IF(ISERR(AVERAGE(U51:U55))," ",AVERAGE(U51:U55))</f>
        <v xml:space="preserve"> </v>
      </c>
      <c r="V56" s="46" t="str">
        <f>IF(ISERR(AVERAGE(V51:V55))," ",AVERAGE(V51:V55))</f>
        <v xml:space="preserve"> </v>
      </c>
      <c r="W56" s="46" t="str">
        <f>IF(ISERR(AVERAGE(W51:W55))," ",AVERAGE(W51:W55))</f>
        <v xml:space="preserve"> </v>
      </c>
      <c r="X56" s="46" t="str">
        <f>IF(ISERR(AVERAGE(X51:X55))," ",AVERAGE(X51:X55))</f>
        <v xml:space="preserve"> </v>
      </c>
      <c r="Y56" s="46" t="str">
        <f t="shared" ref="Y56:AF56" si="18">IF(ISERR(AVERAGE(Y51:Y55))," ",AVERAGE(Y51:Y55))</f>
        <v xml:space="preserve"> </v>
      </c>
      <c r="Z56" s="46" t="str">
        <f t="shared" si="18"/>
        <v xml:space="preserve"> </v>
      </c>
      <c r="AA56" s="46" t="str">
        <f t="shared" si="18"/>
        <v xml:space="preserve"> </v>
      </c>
      <c r="AB56" s="46" t="str">
        <f t="shared" si="18"/>
        <v xml:space="preserve"> </v>
      </c>
      <c r="AC56" s="46" t="str">
        <f t="shared" si="18"/>
        <v xml:space="preserve"> </v>
      </c>
      <c r="AD56" s="46" t="str">
        <f t="shared" ref="AD56:AE56" si="19">IF(ISERR(AVERAGE(AD51:AD55))," ",AVERAGE(AD51:AD55))</f>
        <v xml:space="preserve"> </v>
      </c>
      <c r="AE56" s="46" t="str">
        <f t="shared" si="19"/>
        <v xml:space="preserve"> </v>
      </c>
      <c r="AF56" s="46" t="str">
        <f t="shared" si="18"/>
        <v xml:space="preserve"> </v>
      </c>
      <c r="AG56" s="46" t="str">
        <f t="shared" ref="AG56:AJ56" si="20">IF(ISERR(AVERAGE(AG51:AG55))," ",AVERAGE(AG51:AG55))</f>
        <v xml:space="preserve"> </v>
      </c>
      <c r="AH56" s="46" t="str">
        <f t="shared" si="20"/>
        <v xml:space="preserve"> </v>
      </c>
      <c r="AI56" s="46" t="str">
        <f t="shared" si="20"/>
        <v xml:space="preserve"> </v>
      </c>
      <c r="AJ56" s="46" t="str">
        <f t="shared" si="20"/>
        <v xml:space="preserve"> </v>
      </c>
      <c r="AK56" s="46" t="str">
        <f t="shared" ref="AK56:AT56" si="21">IF(ISERR(AVERAGE(AK51:AK55))," ",AVERAGE(AK51:AK55))</f>
        <v xml:space="preserve"> </v>
      </c>
      <c r="AL56" s="46" t="str">
        <f t="shared" si="21"/>
        <v xml:space="preserve"> </v>
      </c>
      <c r="AM56" s="46" t="str">
        <f t="shared" si="21"/>
        <v xml:space="preserve"> </v>
      </c>
      <c r="AN56" s="46" t="str">
        <f t="shared" si="21"/>
        <v xml:space="preserve"> </v>
      </c>
      <c r="AO56" s="46" t="str">
        <f t="shared" si="21"/>
        <v xml:space="preserve"> </v>
      </c>
      <c r="AP56" s="46" t="str">
        <f t="shared" si="21"/>
        <v xml:space="preserve"> </v>
      </c>
      <c r="AQ56" s="46" t="str">
        <f t="shared" si="21"/>
        <v xml:space="preserve"> </v>
      </c>
      <c r="AR56" s="46" t="str">
        <f t="shared" si="21"/>
        <v xml:space="preserve"> </v>
      </c>
      <c r="AS56" s="46" t="str">
        <f t="shared" si="21"/>
        <v xml:space="preserve"> </v>
      </c>
      <c r="AT56" s="137" t="str">
        <f t="shared" si="21"/>
        <v xml:space="preserve"> </v>
      </c>
    </row>
    <row r="57" spans="2:46" s="45" customFormat="1" ht="15" customHeight="1" thickBot="1">
      <c r="B57" s="210"/>
      <c r="C57" s="109" t="s">
        <v>11</v>
      </c>
      <c r="D57" s="110">
        <f t="shared" ref="D57:M57" si="22">MAX(D51:D55)-MIN(D51:D55)</f>
        <v>2.0000000000000018E-2</v>
      </c>
      <c r="E57" s="111">
        <f t="shared" si="22"/>
        <v>2.0000000000000018E-2</v>
      </c>
      <c r="F57" s="111">
        <f t="shared" si="22"/>
        <v>2.0000000000000018E-2</v>
      </c>
      <c r="G57" s="111">
        <f t="shared" si="22"/>
        <v>0</v>
      </c>
      <c r="H57" s="111">
        <f t="shared" si="22"/>
        <v>0</v>
      </c>
      <c r="I57" s="111">
        <f t="shared" si="22"/>
        <v>0</v>
      </c>
      <c r="J57" s="111">
        <f t="shared" si="22"/>
        <v>0</v>
      </c>
      <c r="K57" s="111">
        <f t="shared" si="22"/>
        <v>0</v>
      </c>
      <c r="L57" s="111">
        <f t="shared" si="22"/>
        <v>0</v>
      </c>
      <c r="M57" s="111">
        <f t="shared" si="22"/>
        <v>0</v>
      </c>
      <c r="N57" s="112">
        <f>MAX(N51:N55)-MIN(N51:N55)</f>
        <v>0</v>
      </c>
      <c r="O57" s="111">
        <f t="shared" ref="O57:AF57" si="23">MAX(O51:O55)-MIN(O51:O55)</f>
        <v>0</v>
      </c>
      <c r="P57" s="111">
        <f t="shared" si="23"/>
        <v>0</v>
      </c>
      <c r="Q57" s="111">
        <f t="shared" si="23"/>
        <v>0</v>
      </c>
      <c r="R57" s="111">
        <f t="shared" si="23"/>
        <v>0</v>
      </c>
      <c r="S57" s="111">
        <f t="shared" si="23"/>
        <v>0</v>
      </c>
      <c r="T57" s="111">
        <f t="shared" si="23"/>
        <v>0</v>
      </c>
      <c r="U57" s="111">
        <f t="shared" si="23"/>
        <v>0</v>
      </c>
      <c r="V57" s="111">
        <f t="shared" si="23"/>
        <v>0</v>
      </c>
      <c r="W57" s="111">
        <f t="shared" si="23"/>
        <v>0</v>
      </c>
      <c r="X57" s="111">
        <f t="shared" si="23"/>
        <v>0</v>
      </c>
      <c r="Y57" s="111">
        <f t="shared" si="23"/>
        <v>0</v>
      </c>
      <c r="Z57" s="111">
        <f t="shared" si="23"/>
        <v>0</v>
      </c>
      <c r="AA57" s="111">
        <f t="shared" si="23"/>
        <v>0</v>
      </c>
      <c r="AB57" s="111">
        <f t="shared" si="23"/>
        <v>0</v>
      </c>
      <c r="AC57" s="111">
        <f t="shared" si="23"/>
        <v>0</v>
      </c>
      <c r="AD57" s="111">
        <f t="shared" ref="AD57:AE57" si="24">MAX(AD51:AD55)-MIN(AD51:AD55)</f>
        <v>0</v>
      </c>
      <c r="AE57" s="111">
        <f t="shared" si="24"/>
        <v>0</v>
      </c>
      <c r="AF57" s="111">
        <f t="shared" si="23"/>
        <v>0</v>
      </c>
      <c r="AG57" s="111">
        <f t="shared" ref="AG57:AT57" si="25">MAX(AG51:AG55)-MIN(AG51:AG55)</f>
        <v>0</v>
      </c>
      <c r="AH57" s="111">
        <f t="shared" si="25"/>
        <v>0</v>
      </c>
      <c r="AI57" s="111">
        <f t="shared" si="25"/>
        <v>0</v>
      </c>
      <c r="AJ57" s="111">
        <f t="shared" si="25"/>
        <v>0</v>
      </c>
      <c r="AK57" s="111">
        <f t="shared" ref="AK57:AL57" si="26">MAX(AK51:AK55)-MIN(AK51:AK55)</f>
        <v>0</v>
      </c>
      <c r="AL57" s="111">
        <f t="shared" si="26"/>
        <v>0</v>
      </c>
      <c r="AM57" s="111">
        <f t="shared" si="25"/>
        <v>0</v>
      </c>
      <c r="AN57" s="111">
        <f t="shared" si="25"/>
        <v>0</v>
      </c>
      <c r="AO57" s="111">
        <f t="shared" si="25"/>
        <v>0</v>
      </c>
      <c r="AP57" s="111">
        <f t="shared" si="25"/>
        <v>0</v>
      </c>
      <c r="AQ57" s="111">
        <f t="shared" si="25"/>
        <v>0</v>
      </c>
      <c r="AR57" s="111">
        <f t="shared" si="25"/>
        <v>0</v>
      </c>
      <c r="AS57" s="111">
        <f t="shared" si="25"/>
        <v>0</v>
      </c>
      <c r="AT57" s="138">
        <f t="shared" si="25"/>
        <v>0</v>
      </c>
    </row>
    <row r="58" spans="2:46" s="45" customFormat="1" ht="20.100000000000001" customHeight="1">
      <c r="B58" s="33"/>
      <c r="C58" s="113" t="s">
        <v>16</v>
      </c>
      <c r="D58" s="114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6"/>
    </row>
    <row r="59" spans="2:46" s="45" customFormat="1" ht="20.100000000000001" customHeight="1" thickBot="1">
      <c r="B59" s="33"/>
      <c r="C59" s="49" t="s">
        <v>17</v>
      </c>
      <c r="D59" s="64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6"/>
    </row>
    <row r="60" spans="2:46" s="33" customFormat="1" ht="20.100000000000001" customHeight="1">
      <c r="C60" s="178" t="s">
        <v>18</v>
      </c>
      <c r="D60" s="179"/>
      <c r="E60" s="179"/>
      <c r="F60" s="180"/>
      <c r="G60" s="50" t="s">
        <v>19</v>
      </c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40"/>
    </row>
    <row r="61" spans="2:46" s="33" customFormat="1" ht="20.100000000000001" customHeight="1">
      <c r="C61" s="44"/>
      <c r="D61" s="26" t="s">
        <v>41</v>
      </c>
      <c r="E61" s="26"/>
      <c r="F61" s="7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8"/>
    </row>
    <row r="62" spans="2:46" s="33" customFormat="1" ht="20.100000000000001" customHeight="1">
      <c r="C62" s="44"/>
      <c r="D62" s="26" t="s">
        <v>42</v>
      </c>
      <c r="E62" s="26"/>
      <c r="F62" s="7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8"/>
    </row>
    <row r="63" spans="2:46" s="33" customFormat="1" ht="20.100000000000001" customHeight="1" thickBot="1">
      <c r="C63" s="92"/>
      <c r="D63" s="93" t="s">
        <v>43</v>
      </c>
      <c r="E63" s="93"/>
      <c r="F63" s="94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70"/>
    </row>
    <row r="64" spans="2:46" s="33" customFormat="1" ht="7.5" customHeight="1"/>
    <row r="65" spans="2:68" s="33" customFormat="1" ht="15.75">
      <c r="C65" s="157" t="s">
        <v>29</v>
      </c>
      <c r="D65" s="158"/>
      <c r="E65" s="158"/>
      <c r="F65" s="158"/>
      <c r="G65" s="158"/>
      <c r="H65" s="161" t="s">
        <v>20</v>
      </c>
      <c r="I65" s="161"/>
      <c r="J65" s="161"/>
      <c r="K65" s="161"/>
      <c r="L65" s="167"/>
      <c r="M65" s="161" t="s">
        <v>28</v>
      </c>
      <c r="N65" s="161"/>
      <c r="O65" s="161"/>
      <c r="P65" s="161"/>
      <c r="Q65" s="161"/>
      <c r="R65" s="161"/>
      <c r="S65" s="161"/>
      <c r="T65" s="158" t="s">
        <v>30</v>
      </c>
      <c r="U65" s="158"/>
      <c r="V65" s="158"/>
      <c r="W65" s="158"/>
      <c r="X65" s="163" t="s">
        <v>50</v>
      </c>
      <c r="Y65" s="158"/>
      <c r="Z65" s="158"/>
      <c r="AA65" s="158"/>
      <c r="AB65" s="158"/>
      <c r="AC65" s="158"/>
      <c r="AD65" s="134"/>
      <c r="AE65" s="158" t="s">
        <v>20</v>
      </c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65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</row>
    <row r="66" spans="2:68" s="33" customFormat="1" ht="15.75">
      <c r="C66" s="159"/>
      <c r="D66" s="160"/>
      <c r="E66" s="160"/>
      <c r="F66" s="160"/>
      <c r="G66" s="160"/>
      <c r="H66" s="162"/>
      <c r="I66" s="162"/>
      <c r="J66" s="162"/>
      <c r="K66" s="162"/>
      <c r="L66" s="168"/>
      <c r="M66" s="162"/>
      <c r="N66" s="162"/>
      <c r="O66" s="162"/>
      <c r="P66" s="162"/>
      <c r="Q66" s="162"/>
      <c r="R66" s="162"/>
      <c r="S66" s="162"/>
      <c r="T66" s="160"/>
      <c r="U66" s="160"/>
      <c r="V66" s="160"/>
      <c r="W66" s="160"/>
      <c r="X66" s="164"/>
      <c r="Y66" s="160"/>
      <c r="Z66" s="160"/>
      <c r="AA66" s="160"/>
      <c r="AB66" s="160"/>
      <c r="AC66" s="160"/>
      <c r="AD66" s="135"/>
      <c r="AE66" s="160"/>
      <c r="AF66" s="160"/>
      <c r="AG66" s="160"/>
      <c r="AH66" s="160"/>
      <c r="AI66" s="160"/>
      <c r="AJ66" s="160"/>
      <c r="AK66" s="160"/>
      <c r="AL66" s="160"/>
      <c r="AM66" s="160"/>
      <c r="AN66" s="160"/>
      <c r="AO66" s="160"/>
      <c r="AP66" s="160"/>
      <c r="AQ66" s="160"/>
      <c r="AR66" s="160"/>
      <c r="AS66" s="160"/>
      <c r="AT66" s="166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</row>
    <row r="67" spans="2:68" ht="14.25">
      <c r="C67" s="52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117" t="s">
        <v>51</v>
      </c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2"/>
      <c r="BF67" s="154"/>
      <c r="BG67" s="154"/>
      <c r="BH67" s="154"/>
      <c r="BI67" s="154"/>
      <c r="BJ67" s="154"/>
      <c r="BK67" s="154"/>
      <c r="BL67" s="154"/>
      <c r="BM67" s="154"/>
      <c r="BN67" s="154"/>
      <c r="BO67" s="154"/>
      <c r="BP67" s="154"/>
    </row>
    <row r="68" spans="2:68">
      <c r="C68" s="9" t="s">
        <v>52</v>
      </c>
      <c r="D68" s="54">
        <f>AVERAGE(D44:D48,D51:D55)</f>
        <v>0.28199999999999997</v>
      </c>
      <c r="E68" s="54">
        <f t="shared" ref="E68:AT68" si="27">AVERAGE(E44:E48,E51:E55)</f>
        <v>0.30099999999999999</v>
      </c>
      <c r="F68" s="54">
        <f t="shared" si="27"/>
        <v>0.28300000000000003</v>
      </c>
      <c r="G68" s="54" t="e">
        <f t="shared" si="27"/>
        <v>#DIV/0!</v>
      </c>
      <c r="H68" s="54" t="e">
        <f t="shared" si="27"/>
        <v>#DIV/0!</v>
      </c>
      <c r="I68" s="54" t="e">
        <f>AVERAGE(I44:I48,I51:I55)</f>
        <v>#DIV/0!</v>
      </c>
      <c r="J68" s="54" t="e">
        <f>AVERAGE(J44:J48,J51:J55)</f>
        <v>#DIV/0!</v>
      </c>
      <c r="K68" s="54" t="e">
        <f t="shared" si="27"/>
        <v>#DIV/0!</v>
      </c>
      <c r="L68" s="54" t="e">
        <f t="shared" si="27"/>
        <v>#DIV/0!</v>
      </c>
      <c r="M68" s="54" t="e">
        <f t="shared" si="27"/>
        <v>#DIV/0!</v>
      </c>
      <c r="N68" s="54" t="e">
        <f t="shared" si="27"/>
        <v>#DIV/0!</v>
      </c>
      <c r="O68" s="54" t="e">
        <f t="shared" si="27"/>
        <v>#DIV/0!</v>
      </c>
      <c r="P68" s="54" t="e">
        <f t="shared" si="27"/>
        <v>#DIV/0!</v>
      </c>
      <c r="Q68" s="54" t="e">
        <f>AVERAGE(Q44:Q48,Q51:Q55)</f>
        <v>#DIV/0!</v>
      </c>
      <c r="R68" s="54" t="e">
        <f t="shared" si="27"/>
        <v>#DIV/0!</v>
      </c>
      <c r="S68" s="54" t="e">
        <f t="shared" si="27"/>
        <v>#DIV/0!</v>
      </c>
      <c r="T68" s="54" t="e">
        <f t="shared" si="27"/>
        <v>#DIV/0!</v>
      </c>
      <c r="U68" s="54" t="e">
        <f t="shared" si="27"/>
        <v>#DIV/0!</v>
      </c>
      <c r="V68" s="54" t="e">
        <f t="shared" si="27"/>
        <v>#DIV/0!</v>
      </c>
      <c r="W68" s="54" t="e">
        <f t="shared" si="27"/>
        <v>#DIV/0!</v>
      </c>
      <c r="X68" s="54" t="e">
        <f t="shared" si="27"/>
        <v>#DIV/0!</v>
      </c>
      <c r="Y68" s="54" t="e">
        <f t="shared" si="27"/>
        <v>#DIV/0!</v>
      </c>
      <c r="Z68" s="54" t="e">
        <f t="shared" si="27"/>
        <v>#DIV/0!</v>
      </c>
      <c r="AA68" s="54" t="e">
        <f t="shared" si="27"/>
        <v>#DIV/0!</v>
      </c>
      <c r="AB68" s="54" t="e">
        <f t="shared" si="27"/>
        <v>#DIV/0!</v>
      </c>
      <c r="AC68" s="54" t="e">
        <f t="shared" si="27"/>
        <v>#DIV/0!</v>
      </c>
      <c r="AD68" s="54"/>
      <c r="AE68" s="54" t="e">
        <f t="shared" si="27"/>
        <v>#DIV/0!</v>
      </c>
      <c r="AF68" s="54" t="e">
        <f t="shared" si="27"/>
        <v>#DIV/0!</v>
      </c>
      <c r="AG68" s="54" t="e">
        <f t="shared" ref="AG68:AR68" si="28">AVERAGE(AG44:AG48,AG51:AG55)</f>
        <v>#DIV/0!</v>
      </c>
      <c r="AH68" s="54" t="e">
        <f t="shared" si="28"/>
        <v>#DIV/0!</v>
      </c>
      <c r="AI68" s="54" t="e">
        <f t="shared" si="28"/>
        <v>#DIV/0!</v>
      </c>
      <c r="AJ68" s="54" t="e">
        <f t="shared" si="28"/>
        <v>#DIV/0!</v>
      </c>
      <c r="AK68" s="54" t="e">
        <f t="shared" si="28"/>
        <v>#DIV/0!</v>
      </c>
      <c r="AL68" s="54" t="e">
        <f t="shared" si="28"/>
        <v>#DIV/0!</v>
      </c>
      <c r="AM68" s="54" t="e">
        <f t="shared" si="28"/>
        <v>#DIV/0!</v>
      </c>
      <c r="AN68" s="54" t="e">
        <f t="shared" si="28"/>
        <v>#DIV/0!</v>
      </c>
      <c r="AO68" s="54"/>
      <c r="AP68" s="54"/>
      <c r="AQ68" s="54"/>
      <c r="AR68" s="54" t="e">
        <f t="shared" si="28"/>
        <v>#DIV/0!</v>
      </c>
      <c r="AS68" s="54" t="e">
        <f t="shared" si="27"/>
        <v>#DIV/0!</v>
      </c>
      <c r="AT68" s="54" t="e">
        <f t="shared" si="27"/>
        <v>#DIV/0!</v>
      </c>
    </row>
    <row r="69" spans="2:68">
      <c r="C69" s="9" t="s">
        <v>23</v>
      </c>
      <c r="I69" s="9" t="s">
        <v>25</v>
      </c>
    </row>
    <row r="70" spans="2:68">
      <c r="B70" s="201"/>
      <c r="C70" s="9" t="s">
        <v>21</v>
      </c>
      <c r="D70" s="54">
        <f>AVERAGE(D49:AT49,D56:AT56)+0.577*D73</f>
        <v>0.32934516666666669</v>
      </c>
    </row>
    <row r="71" spans="2:68">
      <c r="B71" s="201"/>
      <c r="C71" s="9" t="s">
        <v>5</v>
      </c>
      <c r="D71" s="54">
        <f>AVERAGE(D49:AT49)</f>
        <v>0.27266666666666667</v>
      </c>
      <c r="E71" s="55" t="s">
        <v>24</v>
      </c>
      <c r="F71" s="9">
        <f>STDEV(D44:AT48)</f>
        <v>1.3870146083619741E-2</v>
      </c>
      <c r="I71" s="9" t="s">
        <v>26</v>
      </c>
      <c r="J71" s="54">
        <f>F7/(6*F71)</f>
        <v>0.72097293999013701</v>
      </c>
    </row>
    <row r="72" spans="2:68">
      <c r="B72" s="201"/>
      <c r="C72" s="9" t="s">
        <v>22</v>
      </c>
      <c r="D72" s="54">
        <f>D71-0.577*D73</f>
        <v>0.23198816666666666</v>
      </c>
      <c r="I72" s="9" t="s">
        <v>27</v>
      </c>
      <c r="J72" s="54">
        <f>MIN(($F$4-D71)/(3*F71),(D71-$F$6)/(3*F71))</f>
        <v>0.54473511021476972</v>
      </c>
    </row>
    <row r="73" spans="2:68">
      <c r="B73" s="201"/>
      <c r="C73" s="9" t="s">
        <v>11</v>
      </c>
      <c r="D73" s="54">
        <f>2.115*(SUM(D50:AT50,D57:AT57)/COUNTIF(D50:AT50,"&lt;&gt;0"))</f>
        <v>7.0500000000000035E-2</v>
      </c>
      <c r="I73" s="9" t="s">
        <v>35</v>
      </c>
      <c r="J73" s="9">
        <f>COUNTIF($D$10:$AT$10,"&gt;0")</f>
        <v>3</v>
      </c>
    </row>
    <row r="75" spans="2:68">
      <c r="C75" s="9" t="s">
        <v>21</v>
      </c>
      <c r="D75" s="54">
        <f>AVERAGE(D49:AT49,D56:AT56)+0.577*D78</f>
        <v>0.32934516666666669</v>
      </c>
      <c r="I75" s="9" t="s">
        <v>26</v>
      </c>
      <c r="J75" s="54">
        <f>F7/(6*F76)</f>
        <v>1.0923286218816286</v>
      </c>
    </row>
    <row r="76" spans="2:68">
      <c r="C76" s="9" t="s">
        <v>5</v>
      </c>
      <c r="D76" s="54">
        <f>AVERAGE(D56:AT56,D49:AT49)</f>
        <v>0.28866666666666668</v>
      </c>
      <c r="E76" s="55" t="s">
        <v>24</v>
      </c>
      <c r="F76" s="9">
        <f>STDEV(D51:AT55)</f>
        <v>9.1547541643412778E-3</v>
      </c>
      <c r="I76" s="9" t="s">
        <v>27</v>
      </c>
      <c r="J76" s="54">
        <f>MIN(($F$4-D76)/(3*F76),(D76-$F$6)/(3*F76))</f>
        <v>0.77676702000471443</v>
      </c>
    </row>
    <row r="77" spans="2:68">
      <c r="C77" s="9" t="s">
        <v>22</v>
      </c>
      <c r="D77" s="54">
        <f>D76-0.577*D78</f>
        <v>0.24798816666666668</v>
      </c>
      <c r="I77" s="9" t="s">
        <v>35</v>
      </c>
      <c r="J77" s="9">
        <f>COUNTIF($D$10:$AT$10,"&gt;0")</f>
        <v>3</v>
      </c>
    </row>
    <row r="78" spans="2:68">
      <c r="C78" s="9" t="s">
        <v>11</v>
      </c>
      <c r="D78" s="54">
        <f>2.115*(SUM(D50:AT50,D57:AT57)/COUNTIF(D57:AT57,"&lt;&gt;0"))</f>
        <v>7.0500000000000035E-2</v>
      </c>
    </row>
    <row r="79" spans="2:68">
      <c r="J79" s="54">
        <f>AVERAGE(J71,J75)</f>
        <v>0.90665078093588281</v>
      </c>
    </row>
    <row r="80" spans="2:68">
      <c r="J80" s="54">
        <f>AVERAGE(J72,J76)</f>
        <v>0.66075106510974213</v>
      </c>
    </row>
    <row r="82" spans="3:4">
      <c r="C82" s="9" t="s">
        <v>53</v>
      </c>
      <c r="D82" s="121">
        <f>AVERAGE(D44:AT48,D51:AT55)</f>
        <v>0.28866666666666668</v>
      </c>
    </row>
  </sheetData>
  <sheetProtection algorithmName="SHA-512" hashValue="tqR8E6Ltr1Tdw/Gf2mVQ+VPJ9yOfWIkiUiO6CaSlGrEyJar3EfVHEOhMmettUCc3e5TM7H1RLuT57o0KAHdxkA==" saltValue="/p0c7G7hKR5iEgyqbYMY0Q==" spinCount="100000" sheet="1" objects="1" scenarios="1" selectLockedCells="1"/>
  <mergeCells count="29">
    <mergeCell ref="BF67:BP67"/>
    <mergeCell ref="B44:B50"/>
    <mergeCell ref="B51:B57"/>
    <mergeCell ref="C60:F60"/>
    <mergeCell ref="C65:G66"/>
    <mergeCell ref="H65:L66"/>
    <mergeCell ref="M65:S66"/>
    <mergeCell ref="C17:C18"/>
    <mergeCell ref="C19:C20"/>
    <mergeCell ref="X65:AC66"/>
    <mergeCell ref="AE65:AT66"/>
    <mergeCell ref="AQ4:AT5"/>
    <mergeCell ref="AM4:AP5"/>
    <mergeCell ref="B70:B73"/>
    <mergeCell ref="J2:K3"/>
    <mergeCell ref="L2:M3"/>
    <mergeCell ref="N2:R3"/>
    <mergeCell ref="S2:U2"/>
    <mergeCell ref="S3:U3"/>
    <mergeCell ref="C37:C38"/>
    <mergeCell ref="C21:C22"/>
    <mergeCell ref="C23:C24"/>
    <mergeCell ref="C25:C26"/>
    <mergeCell ref="C27:C28"/>
    <mergeCell ref="C29:C30"/>
    <mergeCell ref="C32:C33"/>
    <mergeCell ref="T65:W66"/>
    <mergeCell ref="C13:C14"/>
    <mergeCell ref="C15:C16"/>
  </mergeCells>
  <dataValidations count="4">
    <dataValidation type="whole" errorStyle="warning" showErrorMessage="1" errorTitle="Data" error="Digite apenas o dia entre 1 e 31" sqref="X10:AT10">
      <formula1>1</formula1>
      <formula2>31</formula2>
    </dataValidation>
    <dataValidation type="whole" showInputMessage="1" showErrorMessage="1" errorTitle="Data" error="Digite apenas o dia entre 1 e 31" sqref="F10:W10">
      <formula1>1</formula1>
      <formula2>31</formula2>
    </dataValidation>
    <dataValidation type="whole" showErrorMessage="1" errorTitle="Data" error="Digite apenas o dia entre 1 e 31" sqref="D10:E10">
      <formula1>1</formula1>
      <formula2>31</formula2>
    </dataValidation>
    <dataValidation type="list" showErrorMessage="1" promptTitle="Turno" prompt="Escolha" sqref="D11:AT11">
      <formula1>Turnos</formula1>
    </dataValidation>
  </dataValidations>
  <printOptions horizontalCentered="1"/>
  <pageMargins left="0" right="0" top="0.59055118110236227" bottom="0.43307086614173229" header="0.39370078740157483" footer="0.23622047244094491"/>
  <pageSetup paperSize="9" scale="52" orientation="landscape" r:id="rId1"/>
  <headerFooter alignWithMargins="0">
    <oddFooter>&amp;RSJCPIL-R 16-403-02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indexed="47"/>
    <pageSetUpPr fitToPage="1"/>
  </sheetPr>
  <dimension ref="C1:BP75"/>
  <sheetViews>
    <sheetView showZeros="0" tabSelected="1" zoomScaleNormal="100" workbookViewId="0">
      <selection activeCell="F55" sqref="F55"/>
    </sheetView>
  </sheetViews>
  <sheetFormatPr defaultColWidth="10.28515625" defaultRowHeight="12.75"/>
  <cols>
    <col min="1" max="1" width="2.140625" style="9" customWidth="1"/>
    <col min="2" max="2" width="1.5703125" style="9" customWidth="1"/>
    <col min="3" max="3" width="16.140625" style="9" customWidth="1"/>
    <col min="4" max="46" width="6.7109375" style="9" customWidth="1"/>
    <col min="47" max="47" width="3.140625" style="9" customWidth="1"/>
    <col min="48" max="68" width="6.7109375" style="9" customWidth="1"/>
    <col min="69" max="16384" width="10.28515625" style="9"/>
  </cols>
  <sheetData>
    <row r="1" spans="3:63" ht="21.75" thickBot="1">
      <c r="C1" s="96" t="s">
        <v>45</v>
      </c>
      <c r="D1" s="97"/>
      <c r="E1" s="97"/>
      <c r="F1" s="97"/>
      <c r="G1" s="98"/>
      <c r="H1" s="98"/>
      <c r="I1" s="99"/>
      <c r="J1" s="130" t="s">
        <v>36</v>
      </c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8"/>
      <c r="BK1" s="10"/>
    </row>
    <row r="2" spans="3:63" s="11" customFormat="1" ht="19.5" customHeight="1">
      <c r="C2" s="100" t="s">
        <v>46</v>
      </c>
      <c r="D2" s="101"/>
      <c r="E2" s="102"/>
      <c r="F2" s="102"/>
      <c r="G2" s="103"/>
      <c r="H2" s="103"/>
      <c r="I2" s="104"/>
      <c r="J2" s="181" t="s">
        <v>0</v>
      </c>
      <c r="K2" s="182"/>
      <c r="L2" s="185" t="s">
        <v>37</v>
      </c>
      <c r="M2" s="186"/>
      <c r="N2" s="189" t="str">
        <f>'SJCPIL-R 16-402-02 - Esp. Fundo'!N2</f>
        <v>SETOR:  PRENSA</v>
      </c>
      <c r="O2" s="190"/>
      <c r="P2" s="190"/>
      <c r="Q2" s="190"/>
      <c r="R2" s="191"/>
      <c r="S2" s="195" t="s">
        <v>1</v>
      </c>
      <c r="T2" s="196"/>
      <c r="U2" s="197"/>
      <c r="V2" s="12" t="s">
        <v>39</v>
      </c>
      <c r="W2" s="13"/>
      <c r="X2" s="13"/>
      <c r="Y2" s="13"/>
      <c r="Z2" s="13"/>
      <c r="AA2" s="13"/>
      <c r="AB2" s="13"/>
      <c r="AC2" s="13"/>
      <c r="AD2" s="13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5"/>
      <c r="AS2" s="15"/>
      <c r="AT2" s="16"/>
    </row>
    <row r="3" spans="3:63" ht="16.899999999999999" customHeight="1" thickBot="1">
      <c r="C3" s="73"/>
      <c r="J3" s="183"/>
      <c r="K3" s="184"/>
      <c r="L3" s="187"/>
      <c r="M3" s="188"/>
      <c r="N3" s="192"/>
      <c r="O3" s="193"/>
      <c r="P3" s="193"/>
      <c r="Q3" s="193"/>
      <c r="R3" s="194"/>
      <c r="S3" s="198" t="s">
        <v>2</v>
      </c>
      <c r="T3" s="199"/>
      <c r="U3" s="200"/>
      <c r="V3" s="17" t="s">
        <v>40</v>
      </c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9"/>
      <c r="AT3" s="20"/>
    </row>
    <row r="4" spans="3:63" s="26" customFormat="1" ht="16.899999999999999" customHeight="1" thickTop="1">
      <c r="C4" s="74" t="s">
        <v>3</v>
      </c>
      <c r="D4" s="21"/>
      <c r="E4" s="22" t="s">
        <v>4</v>
      </c>
      <c r="F4" s="23">
        <f>F5+0.2</f>
        <v>43.7</v>
      </c>
      <c r="G4" s="24" t="s">
        <v>31</v>
      </c>
      <c r="H4" s="25">
        <f>H5+0.1</f>
        <v>43.6</v>
      </c>
      <c r="I4" s="128"/>
      <c r="J4" s="129"/>
      <c r="AI4" s="143"/>
      <c r="AJ4" s="143"/>
      <c r="AK4" s="143"/>
      <c r="AL4" s="144"/>
      <c r="AM4" s="175" t="str">
        <f ca="1">"MÊS: "&amp;RIGHT(LEFT(CELL("filename"),SEARCH(".xl",CELL("Filename"))-1),2)</f>
        <v>MÊS: 03</v>
      </c>
      <c r="AN4" s="171"/>
      <c r="AO4" s="171"/>
      <c r="AP4" s="172"/>
      <c r="AQ4" s="211" t="str">
        <f ca="1">'SJCPIL-R 16-403-04 - Esp. Lado '!AQ4</f>
        <v>ANO: 2022</v>
      </c>
      <c r="AR4" s="211"/>
      <c r="AS4" s="211"/>
      <c r="AT4" s="212"/>
    </row>
    <row r="5" spans="3:63" s="26" customFormat="1" ht="16.899999999999999" customHeight="1" thickBot="1">
      <c r="C5" s="75" t="s">
        <v>44</v>
      </c>
      <c r="D5" s="90" t="s">
        <v>5</v>
      </c>
      <c r="E5" s="27" t="s">
        <v>33</v>
      </c>
      <c r="F5" s="28">
        <v>43.5</v>
      </c>
      <c r="G5" s="29" t="s">
        <v>33</v>
      </c>
      <c r="H5" s="30">
        <f>F5</f>
        <v>43.5</v>
      </c>
      <c r="I5" s="128"/>
      <c r="J5" s="26" t="s">
        <v>55</v>
      </c>
      <c r="S5" s="26" t="s">
        <v>6</v>
      </c>
      <c r="AI5" s="132"/>
      <c r="AJ5" s="132"/>
      <c r="AK5" s="132"/>
      <c r="AL5" s="136"/>
      <c r="AM5" s="176"/>
      <c r="AN5" s="173"/>
      <c r="AO5" s="173"/>
      <c r="AP5" s="174"/>
      <c r="AQ5" s="173"/>
      <c r="AR5" s="173"/>
      <c r="AS5" s="173"/>
      <c r="AT5" s="174"/>
    </row>
    <row r="6" spans="3:63" s="26" customFormat="1" ht="16.899999999999999" customHeight="1">
      <c r="C6" s="76" t="s">
        <v>7</v>
      </c>
      <c r="D6" s="31"/>
      <c r="E6" s="27" t="s">
        <v>8</v>
      </c>
      <c r="F6" s="28">
        <f>F5-0.2</f>
        <v>43.3</v>
      </c>
      <c r="G6" s="29" t="s">
        <v>32</v>
      </c>
      <c r="H6" s="30">
        <f>H5-0.1</f>
        <v>43.4</v>
      </c>
      <c r="I6" s="128"/>
      <c r="J6" s="26" t="s">
        <v>9</v>
      </c>
      <c r="S6" s="26" t="s">
        <v>10</v>
      </c>
      <c r="AH6" s="72"/>
      <c r="AI6" s="72"/>
      <c r="AJ6" s="72"/>
      <c r="AK6" s="72"/>
      <c r="AL6" s="72"/>
      <c r="AM6" s="72"/>
      <c r="AN6" s="72"/>
      <c r="AO6" s="72"/>
      <c r="AP6" s="72"/>
      <c r="AQ6" s="72"/>
      <c r="AT6" s="77"/>
    </row>
    <row r="7" spans="3:63" s="26" customFormat="1" ht="16.899999999999999" customHeight="1" thickBot="1">
      <c r="C7" s="78"/>
      <c r="D7" s="79" t="s">
        <v>11</v>
      </c>
      <c r="E7" s="80" t="s">
        <v>4</v>
      </c>
      <c r="F7" s="81">
        <f>F4-F6</f>
        <v>0.40000000000000568</v>
      </c>
      <c r="G7" s="82" t="s">
        <v>31</v>
      </c>
      <c r="H7" s="83">
        <f>H4-H6</f>
        <v>0.20000000000000284</v>
      </c>
      <c r="I7" s="127"/>
      <c r="J7" s="84" t="s">
        <v>12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4"/>
      <c r="AS7" s="84"/>
      <c r="AT7" s="86"/>
    </row>
    <row r="8" spans="3:63" s="26" customFormat="1" ht="4.5" customHeight="1" thickBot="1"/>
    <row r="9" spans="3:63" s="33" customFormat="1">
      <c r="C9" s="32" t="s">
        <v>13</v>
      </c>
      <c r="D9" s="60">
        <v>1</v>
      </c>
      <c r="E9" s="60">
        <v>2</v>
      </c>
      <c r="F9" s="60">
        <v>3</v>
      </c>
      <c r="G9" s="60">
        <v>4</v>
      </c>
      <c r="H9" s="60">
        <v>5</v>
      </c>
      <c r="I9" s="60">
        <v>6</v>
      </c>
      <c r="J9" s="60">
        <v>7</v>
      </c>
      <c r="K9" s="60">
        <v>8</v>
      </c>
      <c r="L9" s="60">
        <v>9</v>
      </c>
      <c r="M9" s="60">
        <v>10</v>
      </c>
      <c r="N9" s="60">
        <v>11</v>
      </c>
      <c r="O9" s="60">
        <v>12</v>
      </c>
      <c r="P9" s="60">
        <v>13</v>
      </c>
      <c r="Q9" s="60">
        <v>14</v>
      </c>
      <c r="R9" s="60">
        <v>15</v>
      </c>
      <c r="S9" s="60">
        <v>16</v>
      </c>
      <c r="T9" s="60">
        <v>17</v>
      </c>
      <c r="U9" s="60">
        <v>18</v>
      </c>
      <c r="V9" s="60">
        <v>19</v>
      </c>
      <c r="W9" s="60">
        <v>20</v>
      </c>
      <c r="X9" s="60">
        <v>21</v>
      </c>
      <c r="Y9" s="60">
        <v>22</v>
      </c>
      <c r="Z9" s="60">
        <v>23</v>
      </c>
      <c r="AA9" s="60">
        <v>24</v>
      </c>
      <c r="AB9" s="60">
        <v>25</v>
      </c>
      <c r="AC9" s="60">
        <v>26</v>
      </c>
      <c r="AD9" s="60">
        <v>27</v>
      </c>
      <c r="AE9" s="60">
        <v>28</v>
      </c>
      <c r="AF9" s="60">
        <v>29</v>
      </c>
      <c r="AG9" s="60">
        <v>30</v>
      </c>
      <c r="AH9" s="60">
        <v>31</v>
      </c>
      <c r="AI9" s="60">
        <v>32</v>
      </c>
      <c r="AJ9" s="60">
        <v>33</v>
      </c>
      <c r="AK9" s="60">
        <v>34</v>
      </c>
      <c r="AL9" s="60">
        <v>35</v>
      </c>
      <c r="AM9" s="60">
        <v>36</v>
      </c>
      <c r="AN9" s="60">
        <v>37</v>
      </c>
      <c r="AO9" s="60">
        <v>38</v>
      </c>
      <c r="AP9" s="60">
        <v>39</v>
      </c>
      <c r="AQ9" s="60">
        <v>40</v>
      </c>
      <c r="AR9" s="60">
        <v>41</v>
      </c>
      <c r="AS9" s="60">
        <v>42</v>
      </c>
      <c r="AT9" s="60">
        <v>43</v>
      </c>
    </row>
    <row r="10" spans="3:63" s="33" customFormat="1" ht="14.1" customHeight="1">
      <c r="C10" s="34" t="s">
        <v>14</v>
      </c>
      <c r="D10" s="7">
        <v>24</v>
      </c>
      <c r="E10" s="7">
        <v>24</v>
      </c>
      <c r="F10" s="7">
        <v>24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6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8"/>
    </row>
    <row r="11" spans="3:63" s="33" customFormat="1" ht="14.1" customHeight="1">
      <c r="C11" s="35" t="s">
        <v>34</v>
      </c>
      <c r="D11" s="7" t="s">
        <v>59</v>
      </c>
      <c r="E11" s="7" t="s">
        <v>60</v>
      </c>
      <c r="F11" s="7" t="s">
        <v>61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8"/>
    </row>
    <row r="12" spans="3:63" s="33" customFormat="1" ht="12" customHeight="1">
      <c r="C12" s="36"/>
      <c r="AT12" s="37"/>
    </row>
    <row r="13" spans="3:63" s="33" customFormat="1" ht="12" customHeight="1">
      <c r="C13" s="169"/>
      <c r="AT13" s="37"/>
    </row>
    <row r="14" spans="3:63" s="33" customFormat="1" ht="12" customHeight="1">
      <c r="C14" s="169"/>
      <c r="AT14" s="37"/>
    </row>
    <row r="15" spans="3:63" s="33" customFormat="1" ht="12" customHeight="1">
      <c r="C15" s="170"/>
      <c r="AT15" s="37"/>
    </row>
    <row r="16" spans="3:63" s="33" customFormat="1" ht="12" customHeight="1">
      <c r="C16" s="170"/>
      <c r="AT16" s="37"/>
    </row>
    <row r="17" spans="3:46" s="33" customFormat="1" ht="12" customHeight="1">
      <c r="C17" s="170"/>
      <c r="AT17" s="37"/>
    </row>
    <row r="18" spans="3:46" s="33" customFormat="1" ht="12" customHeight="1">
      <c r="C18" s="170"/>
      <c r="AT18" s="37"/>
    </row>
    <row r="19" spans="3:46" s="33" customFormat="1" ht="12" customHeight="1">
      <c r="C19" s="170"/>
      <c r="AT19" s="37"/>
    </row>
    <row r="20" spans="3:46" s="33" customFormat="1" ht="12" customHeight="1">
      <c r="C20" s="170"/>
      <c r="AT20" s="37"/>
    </row>
    <row r="21" spans="3:46" s="33" customFormat="1" ht="12" customHeight="1">
      <c r="C21" s="170"/>
      <c r="AT21" s="37"/>
    </row>
    <row r="22" spans="3:46" s="33" customFormat="1" ht="12" customHeight="1">
      <c r="C22" s="170"/>
      <c r="AT22" s="37"/>
    </row>
    <row r="23" spans="3:46" s="33" customFormat="1" ht="12" customHeight="1">
      <c r="C23" s="169"/>
      <c r="AT23" s="37"/>
    </row>
    <row r="24" spans="3:46" s="33" customFormat="1" ht="12" customHeight="1">
      <c r="C24" s="169"/>
      <c r="AT24" s="37"/>
    </row>
    <row r="25" spans="3:46" s="33" customFormat="1" ht="12" customHeight="1">
      <c r="C25" s="170"/>
      <c r="AT25" s="37"/>
    </row>
    <row r="26" spans="3:46" s="33" customFormat="1" ht="12" customHeight="1">
      <c r="C26" s="170"/>
      <c r="AT26" s="37"/>
    </row>
    <row r="27" spans="3:46" s="33" customFormat="1" ht="12" customHeight="1">
      <c r="C27" s="170"/>
      <c r="AT27" s="37"/>
    </row>
    <row r="28" spans="3:46" s="33" customFormat="1" ht="12" customHeight="1">
      <c r="C28" s="170"/>
      <c r="AT28" s="37"/>
    </row>
    <row r="29" spans="3:46" s="33" customFormat="1" ht="12" customHeight="1">
      <c r="C29" s="170"/>
      <c r="AT29" s="37"/>
    </row>
    <row r="30" spans="3:46" s="33" customFormat="1" ht="12" customHeight="1">
      <c r="C30" s="170"/>
      <c r="AT30" s="37"/>
    </row>
    <row r="31" spans="3:46" s="33" customFormat="1" ht="12" customHeight="1">
      <c r="C31" s="170"/>
      <c r="AT31" s="37"/>
    </row>
    <row r="32" spans="3:46" s="33" customFormat="1" ht="12" customHeight="1">
      <c r="C32" s="170"/>
      <c r="AT32" s="37"/>
    </row>
    <row r="33" spans="3:46" s="33" customFormat="1" ht="12" customHeight="1">
      <c r="C33" s="169"/>
      <c r="AT33" s="37"/>
    </row>
    <row r="34" spans="3:46" s="33" customFormat="1" ht="12" customHeight="1">
      <c r="C34" s="169"/>
      <c r="AT34" s="37"/>
    </row>
    <row r="35" spans="3:46" s="33" customFormat="1" ht="12" customHeight="1" thickBot="1">
      <c r="C35" s="38"/>
      <c r="AT35" s="37"/>
    </row>
    <row r="36" spans="3:46" s="33" customFormat="1" ht="12" customHeight="1">
      <c r="C36" s="177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40"/>
    </row>
    <row r="37" spans="3:46" s="33" customFormat="1" ht="12" customHeight="1">
      <c r="C37" s="169"/>
      <c r="AT37" s="37"/>
    </row>
    <row r="38" spans="3:46" s="33" customFormat="1" ht="12" customHeight="1">
      <c r="C38" s="91"/>
      <c r="AT38" s="37"/>
    </row>
    <row r="39" spans="3:46" s="33" customFormat="1" ht="12" customHeight="1">
      <c r="C39" s="91"/>
      <c r="AT39" s="37"/>
    </row>
    <row r="40" spans="3:46" s="33" customFormat="1" ht="12" customHeight="1">
      <c r="C40" s="91"/>
      <c r="AT40" s="37"/>
    </row>
    <row r="41" spans="3:46" s="33" customFormat="1" ht="12" customHeight="1">
      <c r="C41" s="169"/>
      <c r="AT41" s="37"/>
    </row>
    <row r="42" spans="3:46" s="33" customFormat="1" ht="12" customHeight="1">
      <c r="C42" s="169"/>
      <c r="AT42" s="37"/>
    </row>
    <row r="43" spans="3:46" s="33" customFormat="1" ht="12" customHeight="1">
      <c r="C43" s="91"/>
      <c r="AT43" s="37"/>
    </row>
    <row r="44" spans="3:46" s="33" customFormat="1" ht="12" customHeight="1">
      <c r="C44" s="91"/>
      <c r="AT44" s="37"/>
    </row>
    <row r="45" spans="3:46" s="33" customFormat="1" ht="12" customHeight="1">
      <c r="C45" s="91"/>
      <c r="AT45" s="37"/>
    </row>
    <row r="46" spans="3:46" s="33" customFormat="1" ht="12" customHeight="1" thickBot="1">
      <c r="C46" s="41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3"/>
    </row>
    <row r="47" spans="3:46" s="33" customFormat="1" ht="6" customHeight="1">
      <c r="C47" s="44"/>
      <c r="AT47" s="37"/>
    </row>
    <row r="48" spans="3:46" s="45" customFormat="1" ht="15" customHeight="1">
      <c r="C48" s="56">
        <v>1</v>
      </c>
      <c r="D48" s="1">
        <v>43.4</v>
      </c>
      <c r="E48" s="2">
        <v>43.51</v>
      </c>
      <c r="F48" s="2">
        <v>43.51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3"/>
    </row>
    <row r="49" spans="3:68" s="45" customFormat="1" ht="15" customHeight="1">
      <c r="C49" s="57">
        <v>2</v>
      </c>
      <c r="D49" s="4">
        <v>43.48</v>
      </c>
      <c r="E49" s="5">
        <v>43.43</v>
      </c>
      <c r="F49" s="5">
        <v>43.47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6"/>
    </row>
    <row r="50" spans="3:68" s="45" customFormat="1" ht="15" customHeight="1">
      <c r="C50" s="57">
        <v>3</v>
      </c>
      <c r="D50" s="4">
        <v>43.46</v>
      </c>
      <c r="E50" s="5">
        <v>43.5</v>
      </c>
      <c r="F50" s="5">
        <v>43.44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6"/>
    </row>
    <row r="51" spans="3:68" s="45" customFormat="1" ht="15" customHeight="1">
      <c r="C51" s="57">
        <v>4</v>
      </c>
      <c r="D51" s="4">
        <v>43.47</v>
      </c>
      <c r="E51" s="5">
        <v>43.42</v>
      </c>
      <c r="F51" s="5">
        <v>43.42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6"/>
    </row>
    <row r="52" spans="3:68" s="45" customFormat="1" ht="15" customHeight="1">
      <c r="C52" s="58">
        <v>5</v>
      </c>
      <c r="D52" s="4">
        <v>43.44</v>
      </c>
      <c r="E52" s="5">
        <v>43.43</v>
      </c>
      <c r="F52" s="5">
        <v>43.46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6"/>
    </row>
    <row r="53" spans="3:68" s="45" customFormat="1" ht="15" customHeight="1">
      <c r="C53" s="58" t="s">
        <v>15</v>
      </c>
      <c r="D53" s="95">
        <f t="shared" ref="D53:AT53" si="0">IF(ISERR(AVERAGE(D48:D52))," ",AVERAGE(D48:D52))</f>
        <v>43.45</v>
      </c>
      <c r="E53" s="46">
        <f t="shared" si="0"/>
        <v>43.458000000000006</v>
      </c>
      <c r="F53" s="46">
        <f t="shared" si="0"/>
        <v>43.459999999999994</v>
      </c>
      <c r="G53" s="46" t="str">
        <f t="shared" si="0"/>
        <v xml:space="preserve"> </v>
      </c>
      <c r="H53" s="46" t="str">
        <f t="shared" si="0"/>
        <v xml:space="preserve"> </v>
      </c>
      <c r="I53" s="46" t="str">
        <f t="shared" si="0"/>
        <v xml:space="preserve"> </v>
      </c>
      <c r="J53" s="46" t="str">
        <f t="shared" si="0"/>
        <v xml:space="preserve"> </v>
      </c>
      <c r="K53" s="46" t="str">
        <f t="shared" si="0"/>
        <v xml:space="preserve"> </v>
      </c>
      <c r="L53" s="46" t="str">
        <f t="shared" si="0"/>
        <v xml:space="preserve"> </v>
      </c>
      <c r="M53" s="46" t="str">
        <f t="shared" si="0"/>
        <v xml:space="preserve"> </v>
      </c>
      <c r="N53" s="46" t="str">
        <f t="shared" si="0"/>
        <v xml:space="preserve"> </v>
      </c>
      <c r="O53" s="46" t="str">
        <f t="shared" ref="O53:S53" si="1">IF(ISERR(AVERAGE(O48:O52))," ",AVERAGE(O48:O52))</f>
        <v xml:space="preserve"> </v>
      </c>
      <c r="P53" s="46" t="str">
        <f t="shared" si="1"/>
        <v xml:space="preserve"> </v>
      </c>
      <c r="Q53" s="46" t="str">
        <f t="shared" si="1"/>
        <v xml:space="preserve"> </v>
      </c>
      <c r="R53" s="46" t="str">
        <f t="shared" si="1"/>
        <v xml:space="preserve"> </v>
      </c>
      <c r="S53" s="46" t="str">
        <f t="shared" si="1"/>
        <v xml:space="preserve"> </v>
      </c>
      <c r="T53" s="46" t="str">
        <f t="shared" si="0"/>
        <v xml:space="preserve"> </v>
      </c>
      <c r="U53" s="46" t="str">
        <f t="shared" si="0"/>
        <v xml:space="preserve"> </v>
      </c>
      <c r="V53" s="46" t="str">
        <f t="shared" si="0"/>
        <v xml:space="preserve"> </v>
      </c>
      <c r="W53" s="46" t="str">
        <f t="shared" si="0"/>
        <v xml:space="preserve"> </v>
      </c>
      <c r="X53" s="46" t="str">
        <f t="shared" si="0"/>
        <v xml:space="preserve"> </v>
      </c>
      <c r="Y53" s="46" t="str">
        <f t="shared" si="0"/>
        <v xml:space="preserve"> </v>
      </c>
      <c r="Z53" s="46" t="str">
        <f t="shared" si="0"/>
        <v xml:space="preserve"> </v>
      </c>
      <c r="AA53" s="46" t="str">
        <f t="shared" si="0"/>
        <v xml:space="preserve"> </v>
      </c>
      <c r="AB53" s="46" t="str">
        <f t="shared" si="0"/>
        <v xml:space="preserve"> </v>
      </c>
      <c r="AC53" s="46" t="str">
        <f t="shared" si="0"/>
        <v xml:space="preserve"> </v>
      </c>
      <c r="AD53" s="46" t="str">
        <f t="shared" si="0"/>
        <v xml:space="preserve"> </v>
      </c>
      <c r="AE53" s="46" t="str">
        <f t="shared" si="0"/>
        <v xml:space="preserve"> </v>
      </c>
      <c r="AF53" s="46" t="str">
        <f t="shared" si="0"/>
        <v xml:space="preserve"> </v>
      </c>
      <c r="AG53" s="46" t="str">
        <f t="shared" si="0"/>
        <v xml:space="preserve"> </v>
      </c>
      <c r="AH53" s="46" t="str">
        <f t="shared" si="0"/>
        <v xml:space="preserve"> </v>
      </c>
      <c r="AI53" s="46" t="str">
        <f t="shared" si="0"/>
        <v xml:space="preserve"> </v>
      </c>
      <c r="AJ53" s="46" t="str">
        <f t="shared" si="0"/>
        <v xml:space="preserve"> </v>
      </c>
      <c r="AK53" s="46" t="str">
        <f t="shared" si="0"/>
        <v xml:space="preserve"> </v>
      </c>
      <c r="AL53" s="46" t="str">
        <f t="shared" si="0"/>
        <v xml:space="preserve"> </v>
      </c>
      <c r="AM53" s="46" t="str">
        <f t="shared" si="0"/>
        <v xml:space="preserve"> </v>
      </c>
      <c r="AN53" s="46" t="str">
        <f t="shared" si="0"/>
        <v xml:space="preserve"> </v>
      </c>
      <c r="AO53" s="46" t="str">
        <f t="shared" si="0"/>
        <v xml:space="preserve"> </v>
      </c>
      <c r="AP53" s="46" t="str">
        <f t="shared" si="0"/>
        <v xml:space="preserve"> </v>
      </c>
      <c r="AQ53" s="46" t="str">
        <f t="shared" si="0"/>
        <v xml:space="preserve"> </v>
      </c>
      <c r="AR53" s="46" t="str">
        <f t="shared" si="0"/>
        <v xml:space="preserve"> </v>
      </c>
      <c r="AS53" s="46" t="str">
        <f t="shared" si="0"/>
        <v xml:space="preserve"> </v>
      </c>
      <c r="AT53" s="137" t="str">
        <f t="shared" si="0"/>
        <v xml:space="preserve"> </v>
      </c>
    </row>
    <row r="54" spans="3:68" s="45" customFormat="1" ht="15" customHeight="1">
      <c r="C54" s="58" t="s">
        <v>11</v>
      </c>
      <c r="D54" s="126">
        <f t="shared" ref="D54:AT54" si="2">MAX(D48:D52)-MIN(D48:D52)</f>
        <v>7.9999999999998295E-2</v>
      </c>
      <c r="E54" s="59">
        <f t="shared" si="2"/>
        <v>8.9999999999996305E-2</v>
      </c>
      <c r="F54" s="59">
        <f t="shared" si="2"/>
        <v>8.9999999999996305E-2</v>
      </c>
      <c r="G54" s="59">
        <f t="shared" si="2"/>
        <v>0</v>
      </c>
      <c r="H54" s="59">
        <f t="shared" si="2"/>
        <v>0</v>
      </c>
      <c r="I54" s="59">
        <f t="shared" si="2"/>
        <v>0</v>
      </c>
      <c r="J54" s="59">
        <f t="shared" si="2"/>
        <v>0</v>
      </c>
      <c r="K54" s="59">
        <f t="shared" si="2"/>
        <v>0</v>
      </c>
      <c r="L54" s="59">
        <f t="shared" si="2"/>
        <v>0</v>
      </c>
      <c r="M54" s="59">
        <f t="shared" si="2"/>
        <v>0</v>
      </c>
      <c r="N54" s="59">
        <f t="shared" si="2"/>
        <v>0</v>
      </c>
      <c r="O54" s="59">
        <f t="shared" ref="O54:S54" si="3">MAX(O48:O52)-MIN(O48:O52)</f>
        <v>0</v>
      </c>
      <c r="P54" s="59">
        <f t="shared" si="3"/>
        <v>0</v>
      </c>
      <c r="Q54" s="59">
        <f t="shared" si="3"/>
        <v>0</v>
      </c>
      <c r="R54" s="59">
        <f t="shared" si="3"/>
        <v>0</v>
      </c>
      <c r="S54" s="59">
        <f t="shared" si="3"/>
        <v>0</v>
      </c>
      <c r="T54" s="47">
        <f t="shared" si="2"/>
        <v>0</v>
      </c>
      <c r="U54" s="47">
        <f t="shared" si="2"/>
        <v>0</v>
      </c>
      <c r="V54" s="47">
        <f t="shared" si="2"/>
        <v>0</v>
      </c>
      <c r="W54" s="47">
        <f t="shared" si="2"/>
        <v>0</v>
      </c>
      <c r="X54" s="47">
        <f t="shared" si="2"/>
        <v>0</v>
      </c>
      <c r="Y54" s="47">
        <f t="shared" si="2"/>
        <v>0</v>
      </c>
      <c r="Z54" s="47">
        <f t="shared" si="2"/>
        <v>0</v>
      </c>
      <c r="AA54" s="47">
        <f t="shared" si="2"/>
        <v>0</v>
      </c>
      <c r="AB54" s="47">
        <f t="shared" si="2"/>
        <v>0</v>
      </c>
      <c r="AC54" s="47">
        <f t="shared" si="2"/>
        <v>0</v>
      </c>
      <c r="AD54" s="47">
        <f t="shared" si="2"/>
        <v>0</v>
      </c>
      <c r="AE54" s="47">
        <f t="shared" si="2"/>
        <v>0</v>
      </c>
      <c r="AF54" s="47">
        <f t="shared" si="2"/>
        <v>0</v>
      </c>
      <c r="AG54" s="47">
        <f t="shared" si="2"/>
        <v>0</v>
      </c>
      <c r="AH54" s="47">
        <f t="shared" si="2"/>
        <v>0</v>
      </c>
      <c r="AI54" s="47">
        <f t="shared" si="2"/>
        <v>0</v>
      </c>
      <c r="AJ54" s="47">
        <f t="shared" si="2"/>
        <v>0</v>
      </c>
      <c r="AK54" s="47">
        <f t="shared" si="2"/>
        <v>0</v>
      </c>
      <c r="AL54" s="47">
        <f t="shared" si="2"/>
        <v>0</v>
      </c>
      <c r="AM54" s="47">
        <f t="shared" si="2"/>
        <v>0</v>
      </c>
      <c r="AN54" s="47">
        <f t="shared" si="2"/>
        <v>0</v>
      </c>
      <c r="AO54" s="47">
        <f t="shared" si="2"/>
        <v>0</v>
      </c>
      <c r="AP54" s="47">
        <f t="shared" si="2"/>
        <v>0</v>
      </c>
      <c r="AQ54" s="47">
        <f t="shared" si="2"/>
        <v>0</v>
      </c>
      <c r="AR54" s="47">
        <f t="shared" si="2"/>
        <v>0</v>
      </c>
      <c r="AS54" s="47">
        <f t="shared" si="2"/>
        <v>0</v>
      </c>
      <c r="AT54" s="141">
        <f t="shared" si="2"/>
        <v>0</v>
      </c>
    </row>
    <row r="55" spans="3:68" s="45" customFormat="1" ht="20.100000000000001" customHeight="1">
      <c r="C55" s="48" t="s">
        <v>16</v>
      </c>
      <c r="D55" s="61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3"/>
    </row>
    <row r="56" spans="3:68" s="45" customFormat="1" ht="26.25" thickBot="1">
      <c r="C56" s="151" t="s">
        <v>63</v>
      </c>
      <c r="D56" s="64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6"/>
    </row>
    <row r="57" spans="3:68" s="33" customFormat="1" ht="20.100000000000001" customHeight="1">
      <c r="C57" s="178" t="s">
        <v>18</v>
      </c>
      <c r="D57" s="179"/>
      <c r="E57" s="179"/>
      <c r="F57" s="180"/>
      <c r="G57" s="50" t="s">
        <v>19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40"/>
    </row>
    <row r="58" spans="3:68" s="33" customFormat="1" ht="20.100000000000001" customHeight="1">
      <c r="C58" s="125"/>
      <c r="D58" s="26" t="s">
        <v>41</v>
      </c>
      <c r="E58" s="26"/>
      <c r="F58" s="3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8"/>
    </row>
    <row r="59" spans="3:68" s="33" customFormat="1" ht="20.100000000000001" customHeight="1">
      <c r="C59" s="155" t="s">
        <v>42</v>
      </c>
      <c r="D59" s="156"/>
      <c r="E59" s="156"/>
      <c r="F59" s="37"/>
      <c r="G59" s="67"/>
      <c r="H59" s="67"/>
      <c r="I59" s="67"/>
      <c r="J59" s="67"/>
      <c r="K59" s="67"/>
      <c r="L59" s="67"/>
      <c r="M59" s="67"/>
      <c r="N59" s="67"/>
      <c r="O59" s="67"/>
      <c r="P59" s="124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8"/>
    </row>
    <row r="60" spans="3:68" s="33" customFormat="1" ht="20.100000000000001" customHeight="1" thickBot="1">
      <c r="C60" s="123"/>
      <c r="D60" s="122" t="s">
        <v>15</v>
      </c>
      <c r="E60" s="42"/>
      <c r="F60" s="43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70"/>
    </row>
    <row r="61" spans="3:68" s="33" customFormat="1" ht="7.5" customHeight="1"/>
    <row r="62" spans="3:68" s="33" customFormat="1" ht="15.75">
      <c r="C62" s="157" t="s">
        <v>29</v>
      </c>
      <c r="D62" s="158"/>
      <c r="E62" s="158"/>
      <c r="F62" s="158"/>
      <c r="G62" s="158"/>
      <c r="H62" s="161" t="s">
        <v>20</v>
      </c>
      <c r="I62" s="161"/>
      <c r="J62" s="161"/>
      <c r="K62" s="161"/>
      <c r="L62" s="167"/>
      <c r="M62" s="161" t="s">
        <v>28</v>
      </c>
      <c r="N62" s="161"/>
      <c r="O62" s="161"/>
      <c r="P62" s="161"/>
      <c r="Q62" s="161"/>
      <c r="R62" s="161"/>
      <c r="S62" s="161"/>
      <c r="T62" s="158" t="s">
        <v>30</v>
      </c>
      <c r="U62" s="158"/>
      <c r="V62" s="158"/>
      <c r="W62" s="158"/>
      <c r="X62" s="134"/>
      <c r="Y62" s="134"/>
      <c r="Z62" s="134"/>
      <c r="AA62" s="134"/>
      <c r="AB62" s="134"/>
      <c r="AC62" s="158"/>
      <c r="AD62" s="158"/>
      <c r="AE62" s="158"/>
      <c r="AF62" s="158"/>
      <c r="AG62" s="158"/>
      <c r="AH62" s="158" t="s">
        <v>20</v>
      </c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65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</row>
    <row r="63" spans="3:68" s="33" customFormat="1" ht="15.75">
      <c r="C63" s="159"/>
      <c r="D63" s="160"/>
      <c r="E63" s="160"/>
      <c r="F63" s="160"/>
      <c r="G63" s="160"/>
      <c r="H63" s="162"/>
      <c r="I63" s="162"/>
      <c r="J63" s="162"/>
      <c r="K63" s="162"/>
      <c r="L63" s="168"/>
      <c r="M63" s="162"/>
      <c r="N63" s="162"/>
      <c r="O63" s="162"/>
      <c r="P63" s="162"/>
      <c r="Q63" s="162"/>
      <c r="R63" s="162"/>
      <c r="S63" s="162"/>
      <c r="T63" s="160"/>
      <c r="U63" s="160"/>
      <c r="V63" s="160"/>
      <c r="W63" s="160"/>
      <c r="X63" s="135"/>
      <c r="Y63" s="135"/>
      <c r="Z63" s="135"/>
      <c r="AA63" s="135"/>
      <c r="AB63" s="135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6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</row>
    <row r="64" spans="3:68" ht="14.25">
      <c r="C64" s="52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2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  <c r="BP64" s="154"/>
    </row>
    <row r="65" spans="3:6">
      <c r="C65" s="9" t="s">
        <v>23</v>
      </c>
    </row>
    <row r="66" spans="3:6">
      <c r="C66" s="9" t="s">
        <v>21</v>
      </c>
      <c r="D66" s="54">
        <f>AVERAGE(D53:AT53)+0.577*D69</f>
        <v>43.561764099999991</v>
      </c>
    </row>
    <row r="67" spans="3:6">
      <c r="C67" s="9" t="s">
        <v>5</v>
      </c>
      <c r="D67" s="54">
        <f>AVERAGE(D53:AT53)</f>
        <v>43.455999999999996</v>
      </c>
      <c r="E67" s="55" t="s">
        <v>24</v>
      </c>
      <c r="F67" s="9">
        <f>STDEV(D48:AS52)</f>
        <v>3.418437404094727E-2</v>
      </c>
    </row>
    <row r="68" spans="3:6">
      <c r="C68" s="9" t="s">
        <v>22</v>
      </c>
      <c r="D68" s="54">
        <f>D67-0.577*D69</f>
        <v>43.350235900000001</v>
      </c>
    </row>
    <row r="69" spans="3:6">
      <c r="C69" s="9" t="s">
        <v>11</v>
      </c>
      <c r="D69" s="54">
        <f>2.115*(SUM(D54:AT54)/COUNTIF(D54:AT54,"&lt;&gt;0"))</f>
        <v>0.18329999999999361</v>
      </c>
    </row>
    <row r="71" spans="3:6">
      <c r="C71" s="9" t="s">
        <v>25</v>
      </c>
    </row>
    <row r="73" spans="3:6">
      <c r="C73" s="9" t="s">
        <v>26</v>
      </c>
      <c r="D73" s="54">
        <f>F7/(6*F67)</f>
        <v>1.9502087879921945</v>
      </c>
    </row>
    <row r="74" spans="3:6">
      <c r="C74" s="9" t="s">
        <v>27</v>
      </c>
      <c r="D74" s="54">
        <f>MIN((F4-D67)/(3*F67),(D67-F6)/(3*F67))</f>
        <v>1.5211628546338785</v>
      </c>
    </row>
    <row r="75" spans="3:6">
      <c r="D75" s="9">
        <f>COUNTIF(D10:AT10,"&gt;0")</f>
        <v>3</v>
      </c>
    </row>
  </sheetData>
  <sheetProtection algorithmName="SHA-512" hashValue="wcRFCeH+UyZq1J1Yn7/UsXmE6x3wKxHD0awmmttAoyb0AybvI3Eu43bsTbgmNX22+dFojg2K1GwfhCCmMECZZw==" saltValue="gZ27ri9t9KLt2KbtALDQUQ==" spinCount="100000" sheet="1" objects="1" scenarios="1" selectLockedCells="1"/>
  <mergeCells count="29">
    <mergeCell ref="M62:S63"/>
    <mergeCell ref="T62:W63"/>
    <mergeCell ref="AC62:AG63"/>
    <mergeCell ref="AH62:AT63"/>
    <mergeCell ref="BF64:BP64"/>
    <mergeCell ref="H62:L63"/>
    <mergeCell ref="C23:C24"/>
    <mergeCell ref="C25:C26"/>
    <mergeCell ref="C27:C28"/>
    <mergeCell ref="C29:C30"/>
    <mergeCell ref="C31:C32"/>
    <mergeCell ref="C33:C34"/>
    <mergeCell ref="C36:C37"/>
    <mergeCell ref="C41:C42"/>
    <mergeCell ref="C57:F57"/>
    <mergeCell ref="C59:E59"/>
    <mergeCell ref="C62:G63"/>
    <mergeCell ref="AQ4:AT5"/>
    <mergeCell ref="C13:C14"/>
    <mergeCell ref="C15:C16"/>
    <mergeCell ref="C17:C18"/>
    <mergeCell ref="C19:C20"/>
    <mergeCell ref="AM4:AP5"/>
    <mergeCell ref="C21:C22"/>
    <mergeCell ref="J2:K3"/>
    <mergeCell ref="L2:M3"/>
    <mergeCell ref="N2:R3"/>
    <mergeCell ref="S2:U2"/>
    <mergeCell ref="S3:U3"/>
  </mergeCells>
  <conditionalFormatting sqref="D48:AT52">
    <cfRule type="expression" dxfId="1" priority="3">
      <formula>(D48&gt;$H$4)*(D48&lt;&gt;0)</formula>
    </cfRule>
    <cfRule type="expression" dxfId="0" priority="4">
      <formula>(D48&lt;$H$6)*(D48&lt;&gt;0)</formula>
    </cfRule>
  </conditionalFormatting>
  <dataValidations count="4">
    <dataValidation type="whole" showErrorMessage="1" errorTitle="Data" error="Digite apenas o dia entre 1 e 31" sqref="D10:E10">
      <formula1>1</formula1>
      <formula2>31</formula2>
    </dataValidation>
    <dataValidation type="whole" showInputMessage="1" showErrorMessage="1" errorTitle="Data" error="Digite apenas o dia entre 1 e 31" sqref="AD10:AT10 R10:W10 F10:P10">
      <formula1>1</formula1>
      <formula2>31</formula2>
    </dataValidation>
    <dataValidation type="whole" errorStyle="warning" showErrorMessage="1" errorTitle="Data" error="Digite apenas o dia entre 1 e 31" sqref="X10:AC10">
      <formula1>1</formula1>
      <formula2>31</formula2>
    </dataValidation>
    <dataValidation type="list" showErrorMessage="1" promptTitle="Turno" prompt="Escolha" sqref="D11:AT11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16-404-01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Configurações</vt:lpstr>
      <vt:lpstr>SJCPIL-R 16-402-02 - Esp. Fundo</vt:lpstr>
      <vt:lpstr>SJCPIL-R 16-403-04 - Esp. Lado </vt:lpstr>
      <vt:lpstr>SJCPIL-R 16-404-03-Alt. tb cort</vt:lpstr>
      <vt:lpstr>'SJCPIL-R 16-402-02 - Esp. Fundo'!Area_de_impressao</vt:lpstr>
      <vt:lpstr>'SJCPIL-R 16-403-04 - Esp. Lado '!Area_de_impressao</vt:lpstr>
      <vt:lpstr>'SJCPIL-R 16-404-03-Alt. tb cort'!Area_de_impressao</vt:lpstr>
      <vt:lpstr>XM_bottom_thickness</vt:lpstr>
      <vt:lpstr>XM_UM4_Side_Thickness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Kleber Rodrigues de Oliveira</cp:lastModifiedBy>
  <cp:lastPrinted>2020-12-21T18:14:16Z</cp:lastPrinted>
  <dcterms:created xsi:type="dcterms:W3CDTF">2010-12-15T17:36:09Z</dcterms:created>
  <dcterms:modified xsi:type="dcterms:W3CDTF">2022-02-25T17:13:03Z</dcterms:modified>
</cp:coreProperties>
</file>