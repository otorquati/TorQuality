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J:\DADOS\PIL\PUB\QUALIDADE\FY2021\(2) Resultados\2.6 - CEP\Prensa\PESO\"/>
    </mc:Choice>
  </mc:AlternateContent>
  <bookViews>
    <workbookView xWindow="-120" yWindow="-120" windowWidth="29040" windowHeight="16440" activeTab="1"/>
  </bookViews>
  <sheets>
    <sheet name="Configurações" sheetId="3" r:id="rId1"/>
    <sheet name="SJCPIL-R 15-077-04" sheetId="1" r:id="rId2"/>
  </sheets>
  <definedNames>
    <definedName name="_xlnm.Print_Area" localSheetId="1">'SJCPIL-R 15-077-04'!$A$1:$AW$86</definedName>
    <definedName name="_xlnm.Print_Titles" localSheetId="1">'SJCPIL-R 15-077-04'!$1:$10</definedName>
    <definedName name="Turnos">OFFSET(Configurações!$D$10,,,COUNTA(Configurações!$D$10:$D$16))</definedName>
    <definedName name="UM_1_XM_PESO_TB">'SJCPIL-R 15-077-04'!$D$92</definedName>
    <definedName name="UM_3_XM_PESO_TB">'SJCPIL-R 15-077-04'!$D$93</definedName>
    <definedName name="UM_4_XM_PESO_TB">'SJCPIL-R 15-077-04'!$D$94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5" i="1" l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W37" i="1"/>
  <c r="AN37" i="1"/>
  <c r="AO37" i="1"/>
  <c r="E23" i="1"/>
  <c r="M45" i="1"/>
  <c r="M44" i="1"/>
  <c r="M38" i="1"/>
  <c r="M37" i="1"/>
  <c r="M31" i="1"/>
  <c r="M30" i="1"/>
  <c r="M24" i="1"/>
  <c r="M23" i="1"/>
  <c r="AF70" i="1"/>
  <c r="AE70" i="1"/>
  <c r="F44" i="1" l="1"/>
  <c r="C78" i="1" l="1"/>
  <c r="C79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M62" i="1"/>
  <c r="AN62" i="1"/>
  <c r="AO62" i="1"/>
  <c r="AP62" i="1"/>
  <c r="AQ62" i="1"/>
  <c r="AR62" i="1"/>
  <c r="AS62" i="1"/>
  <c r="AT62" i="1"/>
  <c r="AU62" i="1"/>
  <c r="AV62" i="1"/>
  <c r="AW62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R55" i="1"/>
  <c r="AS55" i="1"/>
  <c r="AT55" i="1"/>
  <c r="AU55" i="1"/>
  <c r="AV55" i="1"/>
  <c r="AW55" i="1"/>
  <c r="AA44" i="1"/>
  <c r="N69" i="1" l="1"/>
  <c r="AN3" i="1" l="1"/>
  <c r="Y16" i="1" l="1"/>
  <c r="Z16" i="1"/>
  <c r="AA16" i="1"/>
  <c r="AB16" i="1"/>
  <c r="AC16" i="1"/>
  <c r="AD16" i="1"/>
  <c r="AE16" i="1"/>
  <c r="AF16" i="1"/>
  <c r="AG16" i="1"/>
  <c r="AH16" i="1"/>
  <c r="AI16" i="1"/>
  <c r="Y17" i="1"/>
  <c r="Z17" i="1"/>
  <c r="AA17" i="1"/>
  <c r="AB17" i="1"/>
  <c r="AC17" i="1"/>
  <c r="AD17" i="1"/>
  <c r="AE17" i="1"/>
  <c r="AF17" i="1"/>
  <c r="AG17" i="1"/>
  <c r="AH17" i="1"/>
  <c r="AI17" i="1"/>
  <c r="Y23" i="1"/>
  <c r="Z23" i="1"/>
  <c r="AA23" i="1"/>
  <c r="AB23" i="1"/>
  <c r="AC23" i="1"/>
  <c r="AD23" i="1"/>
  <c r="AE23" i="1"/>
  <c r="AF23" i="1"/>
  <c r="AG23" i="1"/>
  <c r="AH23" i="1"/>
  <c r="AI23" i="1"/>
  <c r="Y24" i="1"/>
  <c r="Z24" i="1"/>
  <c r="AA24" i="1"/>
  <c r="AB24" i="1"/>
  <c r="AC24" i="1"/>
  <c r="AD24" i="1"/>
  <c r="AE24" i="1"/>
  <c r="AF24" i="1"/>
  <c r="AG24" i="1"/>
  <c r="AH24" i="1"/>
  <c r="AI24" i="1"/>
  <c r="Y30" i="1"/>
  <c r="Z30" i="1"/>
  <c r="AA30" i="1"/>
  <c r="AB30" i="1"/>
  <c r="AC30" i="1"/>
  <c r="AD30" i="1"/>
  <c r="AE30" i="1"/>
  <c r="AF30" i="1"/>
  <c r="AG30" i="1"/>
  <c r="AH30" i="1"/>
  <c r="AI30" i="1"/>
  <c r="Y31" i="1"/>
  <c r="Z31" i="1"/>
  <c r="AA31" i="1"/>
  <c r="AB31" i="1"/>
  <c r="AC31" i="1"/>
  <c r="AD31" i="1"/>
  <c r="AE31" i="1"/>
  <c r="AF31" i="1"/>
  <c r="AG31" i="1"/>
  <c r="AH31" i="1"/>
  <c r="AI31" i="1"/>
  <c r="Y37" i="1"/>
  <c r="Z37" i="1"/>
  <c r="AA37" i="1"/>
  <c r="AB37" i="1"/>
  <c r="AC37" i="1"/>
  <c r="AD37" i="1"/>
  <c r="AE37" i="1"/>
  <c r="AF37" i="1"/>
  <c r="AG37" i="1"/>
  <c r="AH37" i="1"/>
  <c r="AI37" i="1"/>
  <c r="Y38" i="1"/>
  <c r="Z38" i="1"/>
  <c r="AA38" i="1"/>
  <c r="AB38" i="1"/>
  <c r="AC38" i="1"/>
  <c r="AD38" i="1"/>
  <c r="AE38" i="1"/>
  <c r="AF38" i="1"/>
  <c r="AG38" i="1"/>
  <c r="AH38" i="1"/>
  <c r="AI38" i="1"/>
  <c r="Y44" i="1"/>
  <c r="Z44" i="1"/>
  <c r="AB44" i="1"/>
  <c r="AC44" i="1"/>
  <c r="AD44" i="1"/>
  <c r="AE44" i="1"/>
  <c r="AF44" i="1"/>
  <c r="AG44" i="1"/>
  <c r="AH44" i="1"/>
  <c r="AI44" i="1"/>
  <c r="Y45" i="1"/>
  <c r="Z45" i="1"/>
  <c r="AA45" i="1"/>
  <c r="AB45" i="1"/>
  <c r="AC45" i="1"/>
  <c r="AD45" i="1"/>
  <c r="AE45" i="1"/>
  <c r="AF45" i="1"/>
  <c r="AG45" i="1"/>
  <c r="AH45" i="1"/>
  <c r="AI45" i="1"/>
  <c r="D92" i="1"/>
  <c r="D94" i="1"/>
  <c r="D93" i="1"/>
  <c r="AW45" i="1" l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X45" i="1"/>
  <c r="W45" i="1"/>
  <c r="V45" i="1"/>
  <c r="U45" i="1"/>
  <c r="T45" i="1"/>
  <c r="S45" i="1"/>
  <c r="R45" i="1"/>
  <c r="Q45" i="1"/>
  <c r="P45" i="1"/>
  <c r="O45" i="1"/>
  <c r="N45" i="1"/>
  <c r="L45" i="1"/>
  <c r="K45" i="1"/>
  <c r="J45" i="1"/>
  <c r="I45" i="1"/>
  <c r="H45" i="1"/>
  <c r="G45" i="1"/>
  <c r="F45" i="1"/>
  <c r="E45" i="1"/>
  <c r="AW44" i="1"/>
  <c r="AQ44" i="1"/>
  <c r="AP44" i="1"/>
  <c r="AO44" i="1"/>
  <c r="AN44" i="1"/>
  <c r="AM44" i="1"/>
  <c r="AL44" i="1"/>
  <c r="AK44" i="1"/>
  <c r="AJ44" i="1"/>
  <c r="X44" i="1"/>
  <c r="W44" i="1"/>
  <c r="V44" i="1"/>
  <c r="U44" i="1"/>
  <c r="T44" i="1"/>
  <c r="S44" i="1"/>
  <c r="R44" i="1"/>
  <c r="Q44" i="1"/>
  <c r="P44" i="1"/>
  <c r="O44" i="1"/>
  <c r="N44" i="1"/>
  <c r="L44" i="1"/>
  <c r="K44" i="1"/>
  <c r="J44" i="1"/>
  <c r="I44" i="1"/>
  <c r="H44" i="1"/>
  <c r="G44" i="1"/>
  <c r="E44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AW70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AW69" i="1"/>
  <c r="AQ69" i="1"/>
  <c r="AP69" i="1"/>
  <c r="AO69" i="1"/>
  <c r="AN69" i="1"/>
  <c r="AM69" i="1"/>
  <c r="AL69" i="1"/>
  <c r="AK69" i="1"/>
  <c r="AJ69" i="1"/>
  <c r="AI69" i="1"/>
  <c r="AG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M69" i="1"/>
  <c r="L69" i="1"/>
  <c r="K69" i="1"/>
  <c r="J69" i="1"/>
  <c r="I69" i="1"/>
  <c r="H69" i="1"/>
  <c r="G69" i="1"/>
  <c r="F69" i="1"/>
  <c r="E69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G55" i="1"/>
  <c r="F55" i="1"/>
  <c r="E55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X38" i="1"/>
  <c r="W38" i="1"/>
  <c r="V38" i="1"/>
  <c r="U38" i="1"/>
  <c r="T38" i="1"/>
  <c r="S38" i="1"/>
  <c r="R38" i="1"/>
  <c r="Q38" i="1"/>
  <c r="P38" i="1"/>
  <c r="O38" i="1"/>
  <c r="N38" i="1"/>
  <c r="L38" i="1"/>
  <c r="K38" i="1"/>
  <c r="J38" i="1"/>
  <c r="I38" i="1"/>
  <c r="H38" i="1"/>
  <c r="G38" i="1"/>
  <c r="F38" i="1"/>
  <c r="E38" i="1"/>
  <c r="AQ37" i="1"/>
  <c r="AP37" i="1"/>
  <c r="AM37" i="1"/>
  <c r="AL37" i="1"/>
  <c r="AK37" i="1"/>
  <c r="AJ37" i="1"/>
  <c r="X37" i="1"/>
  <c r="W37" i="1"/>
  <c r="V37" i="1"/>
  <c r="U37" i="1"/>
  <c r="T37" i="1"/>
  <c r="S37" i="1"/>
  <c r="R37" i="1"/>
  <c r="Q37" i="1"/>
  <c r="P37" i="1"/>
  <c r="O37" i="1"/>
  <c r="N37" i="1"/>
  <c r="L37" i="1"/>
  <c r="K37" i="1"/>
  <c r="J37" i="1"/>
  <c r="I37" i="1"/>
  <c r="H37" i="1"/>
  <c r="G37" i="1"/>
  <c r="F37" i="1"/>
  <c r="E37" i="1"/>
  <c r="AW31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X31" i="1"/>
  <c r="W31" i="1"/>
  <c r="V31" i="1"/>
  <c r="U31" i="1"/>
  <c r="T31" i="1"/>
  <c r="S31" i="1"/>
  <c r="R31" i="1"/>
  <c r="Q31" i="1"/>
  <c r="P31" i="1"/>
  <c r="O31" i="1"/>
  <c r="N31" i="1"/>
  <c r="L31" i="1"/>
  <c r="K31" i="1"/>
  <c r="J31" i="1"/>
  <c r="I31" i="1"/>
  <c r="H31" i="1"/>
  <c r="G31" i="1"/>
  <c r="F31" i="1"/>
  <c r="E31" i="1"/>
  <c r="AW30" i="1"/>
  <c r="AQ30" i="1"/>
  <c r="AP30" i="1"/>
  <c r="AO30" i="1"/>
  <c r="AN30" i="1"/>
  <c r="AM30" i="1"/>
  <c r="AL30" i="1"/>
  <c r="AK30" i="1"/>
  <c r="AJ30" i="1"/>
  <c r="X30" i="1"/>
  <c r="W30" i="1"/>
  <c r="V30" i="1"/>
  <c r="U30" i="1"/>
  <c r="T30" i="1"/>
  <c r="S30" i="1"/>
  <c r="R30" i="1"/>
  <c r="Q30" i="1"/>
  <c r="P30" i="1"/>
  <c r="O30" i="1"/>
  <c r="N30" i="1"/>
  <c r="L30" i="1"/>
  <c r="K30" i="1"/>
  <c r="J30" i="1"/>
  <c r="I30" i="1"/>
  <c r="H30" i="1"/>
  <c r="G30" i="1"/>
  <c r="F30" i="1"/>
  <c r="E30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X24" i="1"/>
  <c r="W24" i="1"/>
  <c r="V24" i="1"/>
  <c r="U24" i="1"/>
  <c r="T24" i="1"/>
  <c r="S24" i="1"/>
  <c r="R24" i="1"/>
  <c r="Q24" i="1"/>
  <c r="P24" i="1"/>
  <c r="O24" i="1"/>
  <c r="N24" i="1"/>
  <c r="L24" i="1"/>
  <c r="K24" i="1"/>
  <c r="J24" i="1"/>
  <c r="I24" i="1"/>
  <c r="H24" i="1"/>
  <c r="G24" i="1"/>
  <c r="F24" i="1"/>
  <c r="E24" i="1"/>
  <c r="AW23" i="1"/>
  <c r="AQ23" i="1"/>
  <c r="AP23" i="1"/>
  <c r="AO23" i="1"/>
  <c r="AN23" i="1"/>
  <c r="AM23" i="1"/>
  <c r="AL23" i="1"/>
  <c r="AK23" i="1"/>
  <c r="AJ23" i="1"/>
  <c r="X23" i="1"/>
  <c r="W23" i="1"/>
  <c r="V23" i="1"/>
  <c r="U23" i="1"/>
  <c r="T23" i="1"/>
  <c r="S23" i="1"/>
  <c r="R23" i="1"/>
  <c r="Q23" i="1"/>
  <c r="P23" i="1"/>
  <c r="O23" i="1"/>
  <c r="N23" i="1"/>
  <c r="L23" i="1"/>
  <c r="K23" i="1"/>
  <c r="J23" i="1"/>
  <c r="I23" i="1"/>
  <c r="H23" i="1"/>
  <c r="G23" i="1"/>
  <c r="F23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Q16" i="1" l="1"/>
  <c r="P16" i="1"/>
  <c r="O16" i="1"/>
  <c r="N16" i="1"/>
  <c r="M16" i="1"/>
  <c r="L16" i="1"/>
  <c r="K16" i="1"/>
  <c r="J16" i="1"/>
  <c r="I16" i="1"/>
  <c r="H16" i="1"/>
  <c r="G16" i="1"/>
  <c r="F16" i="1"/>
  <c r="E16" i="1"/>
  <c r="U16" i="1" l="1"/>
  <c r="V16" i="1"/>
  <c r="R16" i="1"/>
  <c r="S16" i="1"/>
  <c r="T16" i="1"/>
  <c r="AJ16" i="1"/>
  <c r="AK16" i="1"/>
  <c r="AQ16" i="1"/>
  <c r="AO16" i="1"/>
  <c r="AP16" i="1"/>
  <c r="AW16" i="1"/>
  <c r="AN16" i="1"/>
  <c r="AM16" i="1"/>
  <c r="AL16" i="1"/>
  <c r="W16" i="1"/>
  <c r="X16" i="1"/>
</calcChain>
</file>

<file path=xl/sharedStrings.xml><?xml version="1.0" encoding="utf-8"?>
<sst xmlns="http://schemas.openxmlformats.org/spreadsheetml/2006/main" count="74" uniqueCount="53">
  <si>
    <t>Panasonic</t>
  </si>
  <si>
    <t>Modelo:</t>
  </si>
  <si>
    <t>SETOR:  PRENSA</t>
  </si>
  <si>
    <t>Máquina:</t>
  </si>
  <si>
    <t>Cortadeira</t>
  </si>
  <si>
    <t>Pilhas / Baterias</t>
  </si>
  <si>
    <t>Característica:</t>
  </si>
  <si>
    <t>Amostra n= 5</t>
  </si>
  <si>
    <t>1 vez / turno</t>
  </si>
  <si>
    <t>D=diurno</t>
  </si>
  <si>
    <t>Visto:</t>
  </si>
  <si>
    <t>Medida: unid.(mm)</t>
  </si>
  <si>
    <t>N=noturno</t>
  </si>
  <si>
    <t>Prensa</t>
  </si>
  <si>
    <t>Grupo</t>
  </si>
  <si>
    <t>Data</t>
  </si>
  <si>
    <t>Turno</t>
  </si>
  <si>
    <t>UM-3 P1</t>
  </si>
  <si>
    <t>Média</t>
  </si>
  <si>
    <t>R</t>
  </si>
  <si>
    <t>UM-3 P2</t>
  </si>
  <si>
    <t>UM-3 P3</t>
  </si>
  <si>
    <t>UM-3 P4</t>
  </si>
  <si>
    <t>Visto do operador</t>
  </si>
  <si>
    <t>Diário de Bordo:</t>
  </si>
  <si>
    <t>UM-1 P6</t>
  </si>
  <si>
    <t>UM-1 P7</t>
  </si>
  <si>
    <t>UM-1 P8</t>
  </si>
  <si>
    <t>Produção:</t>
  </si>
  <si>
    <t>Data:</t>
  </si>
  <si>
    <t>Controle da Qualidade:</t>
  </si>
  <si>
    <t xml:space="preserve">Data: </t>
  </si>
  <si>
    <t>Peso do Tubo Cortado</t>
  </si>
  <si>
    <t>Torquati</t>
  </si>
  <si>
    <t>UM-4 P5</t>
  </si>
  <si>
    <t>UM-1/3/4</t>
  </si>
  <si>
    <t>SJCPIL-I 15-013-XX</t>
  </si>
  <si>
    <t>SJCPIL-I 16-402-XX</t>
  </si>
  <si>
    <t>UM-1 SH= 13,2 ± 1,0 g
UM-1 NHT = 15,2 ± 1,0 g</t>
  </si>
  <si>
    <t>Especificação:
SJCPIL-I 15-011-XX</t>
  </si>
  <si>
    <t>UM-3 = 3,00 ± 0,25 g</t>
  </si>
  <si>
    <t>UM-3 P9</t>
  </si>
  <si>
    <t>UM-4 = 2,90 ± 0,15 G</t>
  </si>
  <si>
    <t>UM-1</t>
  </si>
  <si>
    <t>UM-3</t>
  </si>
  <si>
    <t>UM-4</t>
  </si>
  <si>
    <t>ANO: 2021</t>
  </si>
  <si>
    <t>Configurações</t>
  </si>
  <si>
    <t>Responsável</t>
  </si>
  <si>
    <t>D</t>
  </si>
  <si>
    <t>2° T</t>
  </si>
  <si>
    <t>3° T</t>
  </si>
  <si>
    <t>Visto do Lider/Sublíder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</si>
</sst>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* #,##0_);_(* \(#,##0\);_(* &quot;-&quot;_);_(@_)"/>
    <numFmt numFmtId="165" formatCode="_(* #,##0.00_);_(* \(#,##0.00\);_(* &quot;-&quot;??_);_(@_)"/>
    <numFmt numFmtId="166" formatCode="&quot;W&quot;#,##0;[Red]\-&quot;W&quot;#,##0"/>
    <numFmt numFmtId="167" formatCode="&quot;W&quot;#,##0.00;[Red]\-&quot;W&quot;#,##0.00"/>
    <numFmt numFmtId="168" formatCode="0.00_)"/>
  </numFmts>
  <fonts count="23">
    <font>
      <sz val="10"/>
      <name val="Arial"/>
    </font>
    <font>
      <sz val="8"/>
      <name val="Arial"/>
      <family val="2"/>
    </font>
    <font>
      <b/>
      <i/>
      <sz val="16"/>
      <name val="Helv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2"/>
      <name val="ＭＳ ゴシック"/>
      <family val="3"/>
      <charset val="128"/>
    </font>
    <font>
      <sz val="10"/>
      <name val="Times New Roman"/>
      <family val="1"/>
    </font>
    <font>
      <sz val="12"/>
      <name val="Times New Roman"/>
      <family val="1"/>
    </font>
    <font>
      <sz val="16"/>
      <name val="SwitzerlandBlack"/>
      <family val="1"/>
    </font>
    <font>
      <b/>
      <sz val="10"/>
      <name val="Arial"/>
      <family val="2"/>
    </font>
    <font>
      <sz val="14"/>
      <name val="SwitzerlandBlack"/>
      <family val="2"/>
    </font>
    <font>
      <b/>
      <sz val="12"/>
      <name val="Arial"/>
      <family val="2"/>
    </font>
    <font>
      <sz val="12"/>
      <name val="Arial"/>
      <family val="2"/>
    </font>
    <font>
      <b/>
      <u/>
      <sz val="16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 Narrow"/>
      <family val="2"/>
    </font>
    <font>
      <sz val="8"/>
      <name val="Arial Narrow"/>
      <family val="2"/>
    </font>
    <font>
      <sz val="14"/>
      <name val="Arial Narrow"/>
      <family val="2"/>
    </font>
    <font>
      <sz val="11"/>
      <name val="Arial Narrow"/>
      <family val="2"/>
    </font>
    <font>
      <sz val="12"/>
      <name val="Arial Narrow"/>
      <family val="2"/>
    </font>
    <font>
      <sz val="11"/>
      <name val="Arial"/>
      <family val="2"/>
    </font>
    <font>
      <sz val="20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79998168889431442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</borders>
  <cellStyleXfs count="11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8" fontId="2" fillId="0" borderId="0"/>
    <xf numFmtId="0" fontId="3" fillId="0" borderId="0"/>
    <xf numFmtId="10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37" fontId="5" fillId="0" borderId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</cellStyleXfs>
  <cellXfs count="161">
    <xf numFmtId="0" fontId="0" fillId="0" borderId="0" xfId="0"/>
    <xf numFmtId="0" fontId="19" fillId="0" borderId="2" xfId="4" applyFont="1" applyBorder="1" applyProtection="1">
      <protection locked="0"/>
    </xf>
    <xf numFmtId="0" fontId="19" fillId="0" borderId="3" xfId="4" applyFont="1" applyBorder="1" applyProtection="1">
      <protection locked="0"/>
    </xf>
    <xf numFmtId="0" fontId="19" fillId="0" borderId="4" xfId="4" applyFont="1" applyBorder="1" applyProtection="1">
      <protection locked="0"/>
    </xf>
    <xf numFmtId="0" fontId="19" fillId="0" borderId="5" xfId="4" applyFont="1" applyBorder="1" applyProtection="1">
      <protection locked="0"/>
    </xf>
    <xf numFmtId="0" fontId="19" fillId="0" borderId="6" xfId="4" applyFont="1" applyBorder="1" applyProtection="1">
      <protection locked="0"/>
    </xf>
    <xf numFmtId="0" fontId="19" fillId="0" borderId="7" xfId="4" applyFont="1" applyBorder="1" applyProtection="1">
      <protection locked="0"/>
    </xf>
    <xf numFmtId="0" fontId="7" fillId="0" borderId="0" xfId="4" applyFont="1"/>
    <xf numFmtId="0" fontId="6" fillId="0" borderId="0" xfId="0" applyFont="1" applyAlignment="1">
      <alignment vertical="center"/>
    </xf>
    <xf numFmtId="0" fontId="7" fillId="0" borderId="0" xfId="0" applyFont="1"/>
    <xf numFmtId="2" fontId="12" fillId="0" borderId="8" xfId="0" applyNumberFormat="1" applyFont="1" applyBorder="1" applyAlignment="1">
      <alignment vertical="center"/>
    </xf>
    <xf numFmtId="2" fontId="13" fillId="0" borderId="8" xfId="0" applyNumberFormat="1" applyFont="1" applyBorder="1" applyAlignment="1">
      <alignment vertical="center"/>
    </xf>
    <xf numFmtId="0" fontId="7" fillId="0" borderId="8" xfId="4" applyFont="1" applyBorder="1"/>
    <xf numFmtId="0" fontId="14" fillId="0" borderId="8" xfId="0" applyFont="1" applyBorder="1" applyAlignment="1">
      <alignment vertical="center"/>
    </xf>
    <xf numFmtId="0" fontId="14" fillId="0" borderId="9" xfId="0" applyFont="1" applyBorder="1" applyAlignment="1">
      <alignment vertical="center"/>
    </xf>
    <xf numFmtId="0" fontId="6" fillId="0" borderId="0" xfId="4" applyFont="1"/>
    <xf numFmtId="0" fontId="12" fillId="0" borderId="10" xfId="4" applyFont="1" applyBorder="1"/>
    <xf numFmtId="0" fontId="6" fillId="0" borderId="10" xfId="4" applyFont="1" applyBorder="1"/>
    <xf numFmtId="0" fontId="14" fillId="0" borderId="11" xfId="0" applyFont="1" applyBorder="1" applyAlignment="1">
      <alignment vertical="center"/>
    </xf>
    <xf numFmtId="0" fontId="14" fillId="0" borderId="12" xfId="0" applyFont="1" applyBorder="1" applyAlignment="1">
      <alignment vertical="center"/>
    </xf>
    <xf numFmtId="0" fontId="16" fillId="0" borderId="0" xfId="4" applyFont="1" applyAlignment="1">
      <alignment vertical="center"/>
    </xf>
    <xf numFmtId="2" fontId="16" fillId="0" borderId="0" xfId="4" applyNumberFormat="1" applyFont="1" applyAlignment="1">
      <alignment vertical="center"/>
    </xf>
    <xf numFmtId="0" fontId="16" fillId="0" borderId="14" xfId="4" applyFont="1" applyBorder="1" applyAlignment="1">
      <alignment vertical="center" textRotation="90"/>
    </xf>
    <xf numFmtId="0" fontId="17" fillId="0" borderId="1" xfId="4" applyFont="1" applyBorder="1" applyAlignment="1">
      <alignment horizontal="left" vertical="center"/>
    </xf>
    <xf numFmtId="0" fontId="16" fillId="0" borderId="0" xfId="4" applyFont="1" applyAlignment="1">
      <alignment vertical="center" wrapText="1"/>
    </xf>
    <xf numFmtId="0" fontId="16" fillId="0" borderId="0" xfId="4" applyFont="1"/>
    <xf numFmtId="0" fontId="16" fillId="0" borderId="16" xfId="4" applyFont="1" applyBorder="1" applyAlignment="1">
      <alignment horizontal="center" vertical="center"/>
    </xf>
    <xf numFmtId="0" fontId="16" fillId="0" borderId="17" xfId="4" quotePrefix="1" applyFont="1" applyBorder="1" applyAlignment="1">
      <alignment horizontal="center" vertical="center"/>
    </xf>
    <xf numFmtId="0" fontId="19" fillId="0" borderId="5" xfId="4" applyFont="1" applyBorder="1"/>
    <xf numFmtId="0" fontId="19" fillId="0" borderId="6" xfId="4" applyFont="1" applyBorder="1"/>
    <xf numFmtId="0" fontId="19" fillId="0" borderId="7" xfId="4" applyFont="1" applyBorder="1"/>
    <xf numFmtId="0" fontId="16" fillId="0" borderId="17" xfId="4" applyFont="1" applyBorder="1" applyAlignment="1">
      <alignment horizontal="center" vertical="center"/>
    </xf>
    <xf numFmtId="0" fontId="16" fillId="0" borderId="18" xfId="4" applyFont="1" applyBorder="1" applyAlignment="1">
      <alignment horizontal="center" vertical="center"/>
    </xf>
    <xf numFmtId="0" fontId="19" fillId="0" borderId="19" xfId="4" applyFont="1" applyBorder="1"/>
    <xf numFmtId="0" fontId="19" fillId="0" borderId="20" xfId="4" applyFont="1" applyBorder="1"/>
    <xf numFmtId="0" fontId="19" fillId="0" borderId="21" xfId="4" applyFont="1" applyBorder="1"/>
    <xf numFmtId="0" fontId="19" fillId="0" borderId="0" xfId="4" applyFont="1"/>
    <xf numFmtId="0" fontId="16" fillId="0" borderId="22" xfId="4" applyFont="1" applyBorder="1" applyAlignment="1">
      <alignment vertical="top"/>
    </xf>
    <xf numFmtId="0" fontId="16" fillId="0" borderId="23" xfId="4" applyFont="1" applyBorder="1"/>
    <xf numFmtId="0" fontId="16" fillId="0" borderId="23" xfId="4" applyFont="1" applyBorder="1" applyAlignment="1">
      <alignment vertical="top"/>
    </xf>
    <xf numFmtId="0" fontId="16" fillId="0" borderId="24" xfId="4" applyFont="1" applyBorder="1"/>
    <xf numFmtId="0" fontId="16" fillId="0" borderId="25" xfId="4" applyFont="1" applyBorder="1"/>
    <xf numFmtId="0" fontId="16" fillId="0" borderId="26" xfId="4" applyFont="1" applyBorder="1"/>
    <xf numFmtId="0" fontId="16" fillId="0" borderId="27" xfId="4" applyFont="1" applyBorder="1"/>
    <xf numFmtId="0" fontId="16" fillId="0" borderId="11" xfId="4" applyFont="1" applyBorder="1"/>
    <xf numFmtId="0" fontId="16" fillId="0" borderId="12" xfId="4" applyFont="1" applyBorder="1"/>
    <xf numFmtId="0" fontId="20" fillId="0" borderId="0" xfId="0" applyFont="1" applyAlignment="1">
      <alignment horizontal="left"/>
    </xf>
    <xf numFmtId="0" fontId="1" fillId="0" borderId="0" xfId="0" applyFont="1"/>
    <xf numFmtId="0" fontId="21" fillId="0" borderId="0" xfId="0" applyFont="1"/>
    <xf numFmtId="0" fontId="20" fillId="0" borderId="28" xfId="0" applyFont="1" applyBorder="1" applyAlignment="1">
      <alignment horizontal="left" vertical="center"/>
    </xf>
    <xf numFmtId="0" fontId="20" fillId="0" borderId="29" xfId="0" applyFont="1" applyBorder="1" applyAlignment="1">
      <alignment horizontal="left" vertical="center"/>
    </xf>
    <xf numFmtId="0" fontId="20" fillId="0" borderId="28" xfId="0" applyFont="1" applyBorder="1" applyAlignment="1">
      <alignment vertical="center"/>
    </xf>
    <xf numFmtId="0" fontId="20" fillId="0" borderId="30" xfId="0" applyFont="1" applyBorder="1" applyAlignment="1">
      <alignment vertical="center"/>
    </xf>
    <xf numFmtId="0" fontId="20" fillId="0" borderId="29" xfId="0" applyFont="1" applyBorder="1" applyAlignment="1">
      <alignment vertical="center"/>
    </xf>
    <xf numFmtId="0" fontId="20" fillId="0" borderId="31" xfId="0" applyFont="1" applyBorder="1" applyAlignment="1">
      <alignment vertical="center"/>
    </xf>
    <xf numFmtId="0" fontId="19" fillId="0" borderId="32" xfId="4" applyFont="1" applyBorder="1" applyProtection="1">
      <protection locked="0"/>
    </xf>
    <xf numFmtId="0" fontId="19" fillId="0" borderId="33" xfId="4" applyFont="1" applyBorder="1" applyProtection="1">
      <protection locked="0"/>
    </xf>
    <xf numFmtId="0" fontId="19" fillId="0" borderId="33" xfId="4" applyFont="1" applyBorder="1"/>
    <xf numFmtId="0" fontId="19" fillId="0" borderId="34" xfId="4" applyFont="1" applyBorder="1"/>
    <xf numFmtId="0" fontId="16" fillId="0" borderId="3" xfId="4" applyFont="1" applyBorder="1" applyProtection="1">
      <protection locked="0"/>
    </xf>
    <xf numFmtId="0" fontId="16" fillId="0" borderId="6" xfId="4" applyFont="1" applyBorder="1" applyProtection="1">
      <protection locked="0"/>
    </xf>
    <xf numFmtId="0" fontId="16" fillId="0" borderId="16" xfId="4" applyFont="1" applyBorder="1" applyAlignment="1" applyProtection="1">
      <alignment horizontal="center" vertical="center"/>
      <protection locked="0"/>
    </xf>
    <xf numFmtId="0" fontId="16" fillId="0" borderId="17" xfId="4" quotePrefix="1" applyFont="1" applyBorder="1" applyAlignment="1" applyProtection="1">
      <alignment horizontal="center" vertical="center"/>
      <protection locked="0"/>
    </xf>
    <xf numFmtId="0" fontId="16" fillId="0" borderId="17" xfId="4" applyFont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left" vertical="center"/>
    </xf>
    <xf numFmtId="0" fontId="17" fillId="0" borderId="15" xfId="4" applyFont="1" applyBorder="1" applyAlignment="1">
      <alignment vertical="center"/>
    </xf>
    <xf numFmtId="0" fontId="17" fillId="0" borderId="13" xfId="4" applyFont="1" applyBorder="1" applyAlignment="1">
      <alignment vertical="top" wrapText="1"/>
    </xf>
    <xf numFmtId="0" fontId="17" fillId="0" borderId="53" xfId="4" applyFont="1" applyBorder="1" applyAlignment="1">
      <alignment vertical="center"/>
    </xf>
    <xf numFmtId="0" fontId="19" fillId="0" borderId="41" xfId="4" applyFont="1" applyBorder="1" applyProtection="1">
      <protection locked="0"/>
    </xf>
    <xf numFmtId="0" fontId="19" fillId="0" borderId="57" xfId="4" applyFont="1" applyBorder="1" applyProtection="1">
      <protection locked="0"/>
    </xf>
    <xf numFmtId="0" fontId="19" fillId="0" borderId="57" xfId="4" applyFont="1" applyBorder="1"/>
    <xf numFmtId="0" fontId="19" fillId="0" borderId="42" xfId="4" applyFont="1" applyBorder="1"/>
    <xf numFmtId="0" fontId="16" fillId="0" borderId="58" xfId="4" applyFont="1" applyBorder="1" applyAlignment="1">
      <alignment horizontal="center"/>
    </xf>
    <xf numFmtId="0" fontId="16" fillId="0" borderId="59" xfId="4" applyFont="1" applyBorder="1" applyAlignment="1">
      <alignment horizontal="center"/>
    </xf>
    <xf numFmtId="0" fontId="16" fillId="0" borderId="60" xfId="4" applyFont="1" applyBorder="1" applyAlignment="1">
      <alignment horizontal="center"/>
    </xf>
    <xf numFmtId="0" fontId="16" fillId="0" borderId="7" xfId="4" applyFont="1" applyBorder="1" applyProtection="1">
      <protection locked="0"/>
    </xf>
    <xf numFmtId="0" fontId="16" fillId="0" borderId="19" xfId="4" applyFont="1" applyBorder="1" applyProtection="1">
      <protection locked="0"/>
    </xf>
    <xf numFmtId="0" fontId="16" fillId="0" borderId="20" xfId="4" applyFont="1" applyBorder="1" applyProtection="1">
      <protection locked="0"/>
    </xf>
    <xf numFmtId="0" fontId="16" fillId="0" borderId="21" xfId="4" applyFont="1" applyBorder="1" applyProtection="1">
      <protection locked="0"/>
    </xf>
    <xf numFmtId="0" fontId="16" fillId="0" borderId="2" xfId="4" applyFont="1" applyBorder="1" applyAlignment="1">
      <alignment horizontal="center" vertical="center"/>
    </xf>
    <xf numFmtId="0" fontId="16" fillId="0" borderId="3" xfId="4" applyFont="1" applyBorder="1" applyAlignment="1">
      <alignment horizontal="center" vertical="center"/>
    </xf>
    <xf numFmtId="0" fontId="16" fillId="0" borderId="4" xfId="4" applyFont="1" applyBorder="1" applyAlignment="1">
      <alignment horizontal="center" vertical="center"/>
    </xf>
    <xf numFmtId="2" fontId="6" fillId="0" borderId="0" xfId="4" applyNumberFormat="1" applyFont="1"/>
    <xf numFmtId="0" fontId="18" fillId="0" borderId="0" xfId="0" applyFont="1" applyAlignment="1">
      <alignment vertical="center"/>
    </xf>
    <xf numFmtId="0" fontId="18" fillId="0" borderId="26" xfId="0" applyFont="1" applyBorder="1" applyAlignment="1">
      <alignment vertical="center"/>
    </xf>
    <xf numFmtId="0" fontId="18" fillId="0" borderId="23" xfId="0" applyFont="1" applyBorder="1" applyAlignment="1">
      <alignment vertical="center"/>
    </xf>
    <xf numFmtId="0" fontId="16" fillId="0" borderId="23" xfId="4" applyFont="1" applyBorder="1" applyAlignment="1">
      <alignment vertical="center"/>
    </xf>
    <xf numFmtId="0" fontId="18" fillId="0" borderId="24" xfId="0" applyFont="1" applyBorder="1" applyAlignment="1">
      <alignment vertical="center"/>
    </xf>
    <xf numFmtId="0" fontId="22" fillId="0" borderId="0" xfId="0" applyFont="1"/>
    <xf numFmtId="0" fontId="0" fillId="4" borderId="0" xfId="0" applyFill="1" applyProtection="1">
      <protection locked="0"/>
    </xf>
    <xf numFmtId="0" fontId="4" fillId="0" borderId="0" xfId="0" applyFont="1"/>
    <xf numFmtId="0" fontId="9" fillId="0" borderId="0" xfId="0" applyFont="1"/>
    <xf numFmtId="0" fontId="4" fillId="4" borderId="0" xfId="0" applyFont="1" applyFill="1" applyProtection="1">
      <protection locked="0"/>
    </xf>
    <xf numFmtId="16" fontId="16" fillId="0" borderId="5" xfId="4" applyNumberFormat="1" applyFont="1" applyBorder="1" applyProtection="1">
      <protection locked="0"/>
    </xf>
    <xf numFmtId="0" fontId="19" fillId="0" borderId="62" xfId="4" applyFont="1" applyBorder="1"/>
    <xf numFmtId="0" fontId="19" fillId="0" borderId="63" xfId="4" applyFont="1" applyBorder="1"/>
    <xf numFmtId="0" fontId="19" fillId="0" borderId="64" xfId="4" applyFont="1" applyBorder="1"/>
    <xf numFmtId="0" fontId="19" fillId="0" borderId="65" xfId="4" applyFont="1" applyBorder="1"/>
    <xf numFmtId="0" fontId="19" fillId="0" borderId="2" xfId="4" applyFont="1" applyBorder="1"/>
    <xf numFmtId="0" fontId="19" fillId="0" borderId="3" xfId="4" applyFont="1" applyBorder="1"/>
    <xf numFmtId="0" fontId="19" fillId="0" borderId="32" xfId="4" applyFont="1" applyBorder="1"/>
    <xf numFmtId="0" fontId="19" fillId="0" borderId="4" xfId="4" applyFont="1" applyBorder="1"/>
    <xf numFmtId="0" fontId="9" fillId="0" borderId="0" xfId="0" applyFont="1" applyAlignment="1">
      <alignment horizontal="right"/>
    </xf>
    <xf numFmtId="0" fontId="18" fillId="0" borderId="23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16" fillId="0" borderId="35" xfId="4" applyFont="1" applyBorder="1" applyAlignment="1">
      <alignment horizontal="center" vertical="center" textRotation="90"/>
    </xf>
    <xf numFmtId="0" fontId="16" fillId="0" borderId="36" xfId="4" applyFont="1" applyBorder="1" applyAlignment="1">
      <alignment horizontal="center" vertical="center" textRotation="90"/>
    </xf>
    <xf numFmtId="0" fontId="16" fillId="0" borderId="37" xfId="4" applyFont="1" applyBorder="1" applyAlignment="1">
      <alignment horizontal="center" vertical="center" textRotation="90"/>
    </xf>
    <xf numFmtId="0" fontId="4" fillId="0" borderId="16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9" fillId="0" borderId="22" xfId="4" applyFont="1" applyBorder="1" applyAlignment="1">
      <alignment horizontal="center" vertical="center"/>
    </xf>
    <xf numFmtId="0" fontId="9" fillId="0" borderId="23" xfId="4" applyFont="1" applyBorder="1" applyAlignment="1">
      <alignment horizontal="center" vertical="center"/>
    </xf>
    <xf numFmtId="0" fontId="9" fillId="0" borderId="27" xfId="4" applyFont="1" applyBorder="1" applyAlignment="1">
      <alignment horizontal="center" vertical="center"/>
    </xf>
    <xf numFmtId="0" fontId="9" fillId="0" borderId="11" xfId="4" applyFont="1" applyBorder="1" applyAlignment="1">
      <alignment horizontal="center" vertical="center"/>
    </xf>
    <xf numFmtId="0" fontId="16" fillId="0" borderId="52" xfId="4" applyFont="1" applyBorder="1" applyAlignment="1">
      <alignment horizontal="center" vertical="center"/>
    </xf>
    <xf numFmtId="0" fontId="16" fillId="0" borderId="29" xfId="4" applyFont="1" applyBorder="1" applyAlignment="1">
      <alignment horizontal="center" vertical="center"/>
    </xf>
    <xf numFmtId="0" fontId="16" fillId="0" borderId="31" xfId="4" applyFont="1" applyBorder="1" applyAlignment="1">
      <alignment horizontal="center" vertical="center"/>
    </xf>
    <xf numFmtId="0" fontId="1" fillId="0" borderId="0" xfId="0" applyFont="1" applyAlignment="1">
      <alignment horizontal="right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20" fillId="0" borderId="28" xfId="0" applyFont="1" applyBorder="1" applyAlignment="1">
      <alignment horizontal="left" vertical="center"/>
    </xf>
    <xf numFmtId="0" fontId="20" fillId="0" borderId="29" xfId="0" applyFont="1" applyBorder="1" applyAlignment="1">
      <alignment horizontal="left" vertical="center"/>
    </xf>
    <xf numFmtId="0" fontId="20" fillId="0" borderId="49" xfId="0" applyFont="1" applyBorder="1" applyAlignment="1">
      <alignment horizontal="left" vertical="center"/>
    </xf>
    <xf numFmtId="0" fontId="20" fillId="0" borderId="50" xfId="0" applyFont="1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2" fontId="12" fillId="0" borderId="16" xfId="0" applyNumberFormat="1" applyFont="1" applyBorder="1" applyAlignment="1">
      <alignment horizontal="center" vertical="center"/>
    </xf>
    <xf numFmtId="2" fontId="12" fillId="0" borderId="8" xfId="0" applyNumberFormat="1" applyFont="1" applyBorder="1" applyAlignment="1">
      <alignment horizontal="center" vertical="center"/>
    </xf>
    <xf numFmtId="2" fontId="12" fillId="0" borderId="41" xfId="0" applyNumberFormat="1" applyFont="1" applyBorder="1" applyAlignment="1">
      <alignment horizontal="center" vertical="center"/>
    </xf>
    <xf numFmtId="0" fontId="12" fillId="0" borderId="18" xfId="4" applyFont="1" applyBorder="1" applyAlignment="1">
      <alignment horizontal="center"/>
    </xf>
    <xf numFmtId="0" fontId="12" fillId="0" borderId="10" xfId="4" applyFont="1" applyBorder="1" applyAlignment="1">
      <alignment horizontal="center"/>
    </xf>
    <xf numFmtId="0" fontId="12" fillId="0" borderId="42" xfId="4" applyFont="1" applyBorder="1" applyAlignment="1">
      <alignment horizontal="center"/>
    </xf>
    <xf numFmtId="0" fontId="20" fillId="0" borderId="51" xfId="0" applyFont="1" applyBorder="1" applyAlignment="1">
      <alignment horizontal="left" vertical="center"/>
    </xf>
    <xf numFmtId="0" fontId="20" fillId="0" borderId="52" xfId="0" applyFont="1" applyBorder="1" applyAlignment="1">
      <alignment horizontal="left" vertical="center"/>
    </xf>
    <xf numFmtId="0" fontId="16" fillId="0" borderId="43" xfId="4" applyFont="1" applyBorder="1" applyAlignment="1">
      <alignment horizontal="center" wrapText="1"/>
    </xf>
    <xf numFmtId="0" fontId="16" fillId="0" borderId="44" xfId="4" applyFont="1" applyBorder="1" applyAlignment="1">
      <alignment horizontal="center"/>
    </xf>
    <xf numFmtId="0" fontId="16" fillId="0" borderId="45" xfId="4" applyFont="1" applyBorder="1" applyAlignment="1">
      <alignment horizontal="center"/>
    </xf>
    <xf numFmtId="0" fontId="16" fillId="0" borderId="54" xfId="4" applyFont="1" applyBorder="1" applyAlignment="1">
      <alignment horizontal="center" vertical="center"/>
    </xf>
    <xf numFmtId="0" fontId="16" fillId="0" borderId="55" xfId="4" applyFont="1" applyBorder="1" applyAlignment="1">
      <alignment horizontal="center" vertical="center"/>
    </xf>
    <xf numFmtId="0" fontId="16" fillId="0" borderId="56" xfId="4" applyFont="1" applyBorder="1" applyAlignment="1">
      <alignment horizontal="center" vertical="center"/>
    </xf>
    <xf numFmtId="0" fontId="16" fillId="0" borderId="46" xfId="4" applyFont="1" applyBorder="1" applyAlignment="1">
      <alignment horizontal="center" vertical="center"/>
    </xf>
    <xf numFmtId="0" fontId="16" fillId="0" borderId="47" xfId="4" applyFont="1" applyBorder="1" applyAlignment="1">
      <alignment horizontal="center" vertical="center"/>
    </xf>
    <xf numFmtId="0" fontId="16" fillId="0" borderId="48" xfId="4" applyFont="1" applyBorder="1" applyAlignment="1">
      <alignment horizontal="center" vertical="center"/>
    </xf>
    <xf numFmtId="0" fontId="10" fillId="0" borderId="23" xfId="4" applyFont="1" applyBorder="1" applyAlignment="1">
      <alignment horizontal="center" vertical="center"/>
    </xf>
    <xf numFmtId="0" fontId="10" fillId="0" borderId="24" xfId="4" applyFont="1" applyBorder="1" applyAlignment="1">
      <alignment horizontal="center" vertical="center"/>
    </xf>
    <xf numFmtId="0" fontId="10" fillId="0" borderId="11" xfId="4" applyFont="1" applyBorder="1" applyAlignment="1">
      <alignment horizontal="center" vertical="center"/>
    </xf>
    <xf numFmtId="0" fontId="10" fillId="0" borderId="12" xfId="4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</cellXfs>
  <cellStyles count="11">
    <cellStyle name="Grey" xfId="1"/>
    <cellStyle name="Input [yellow]" xfId="2"/>
    <cellStyle name="Normal" xfId="0" builtinId="0"/>
    <cellStyle name="Normal - Style1" xfId="3"/>
    <cellStyle name="Normal_FA" xfId="4"/>
    <cellStyle name="Percent [2]" xfId="5"/>
    <cellStyle name="桁区切り [0.00]_laroux" xfId="6"/>
    <cellStyle name="桁区切り_laroux" xfId="7"/>
    <cellStyle name="標準_22生産1" xfId="8"/>
    <cellStyle name="通貨 [0.00]_９７上" xfId="9"/>
    <cellStyle name="通貨_９７上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1145" name="Line 1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SpPr>
          <a:spLocks noChangeShapeType="1"/>
        </xdr:cNvSpPr>
      </xdr:nvSpPr>
      <xdr:spPr bwMode="auto">
        <a:xfrm>
          <a:off x="1657350" y="20002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0</xdr:row>
      <xdr:rowOff>9525</xdr:rowOff>
    </xdr:from>
    <xdr:to>
      <xdr:col>32</xdr:col>
      <xdr:colOff>0</xdr:colOff>
      <xdr:row>0</xdr:row>
      <xdr:rowOff>9525</xdr:rowOff>
    </xdr:to>
    <xdr:sp macro="" textlink="">
      <xdr:nvSpPr>
        <xdr:cNvPr id="1146" name="Line 2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SpPr>
          <a:spLocks noChangeShapeType="1"/>
        </xdr:cNvSpPr>
      </xdr:nvSpPr>
      <xdr:spPr bwMode="auto">
        <a:xfrm>
          <a:off x="11953875" y="952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10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 txBox="1">
          <a:spLocks noChangeArrowheads="1"/>
        </xdr:cNvSpPr>
      </xdr:nvSpPr>
      <xdr:spPr bwMode="auto">
        <a:xfrm>
          <a:off x="1657350" y="200025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1028" name="Text Box 4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 txBox="1">
          <a:spLocks noChangeArrowheads="1"/>
        </xdr:cNvSpPr>
      </xdr:nvSpPr>
      <xdr:spPr bwMode="auto">
        <a:xfrm>
          <a:off x="1657350" y="200025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18288" rIns="18288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1029" name="Text Box 5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 txBox="1">
          <a:spLocks noChangeArrowheads="1"/>
        </xdr:cNvSpPr>
      </xdr:nvSpPr>
      <xdr:spPr bwMode="auto">
        <a:xfrm>
          <a:off x="1657350" y="200025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18288" rIns="18288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1030" name="Text Box 6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 txBox="1">
          <a:spLocks noChangeArrowheads="1"/>
        </xdr:cNvSpPr>
      </xdr:nvSpPr>
      <xdr:spPr bwMode="auto">
        <a:xfrm>
          <a:off x="1657350" y="200025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18288" rIns="18288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1031" name="Text Box 7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 txBox="1">
          <a:spLocks noChangeArrowheads="1"/>
        </xdr:cNvSpPr>
      </xdr:nvSpPr>
      <xdr:spPr bwMode="auto">
        <a:xfrm>
          <a:off x="1657350" y="200025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18288" rIns="18288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1032" name="Text Box 8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 txBox="1">
          <a:spLocks noChangeArrowheads="1"/>
        </xdr:cNvSpPr>
      </xdr:nvSpPr>
      <xdr:spPr bwMode="auto">
        <a:xfrm>
          <a:off x="1657350" y="200025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18288" rIns="18288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indexed="47"/>
  </sheetPr>
  <dimension ref="B2:D16"/>
  <sheetViews>
    <sheetView zoomScaleNormal="100" workbookViewId="0">
      <selection activeCell="D10" sqref="D10"/>
    </sheetView>
  </sheetViews>
  <sheetFormatPr defaultRowHeight="12.75"/>
  <cols>
    <col min="4" max="4" width="27.28515625" customWidth="1"/>
  </cols>
  <sheetData>
    <row r="2" spans="2:4" ht="25.5">
      <c r="B2" s="88" t="s">
        <v>47</v>
      </c>
    </row>
    <row r="4" spans="2:4">
      <c r="B4" s="102" t="s">
        <v>48</v>
      </c>
      <c r="C4" s="102"/>
      <c r="D4" s="89"/>
    </row>
    <row r="10" spans="2:4">
      <c r="B10" s="90"/>
      <c r="C10" s="91" t="s">
        <v>16</v>
      </c>
      <c r="D10" s="92" t="s">
        <v>49</v>
      </c>
    </row>
    <row r="11" spans="2:4">
      <c r="D11" s="92" t="s">
        <v>50</v>
      </c>
    </row>
    <row r="12" spans="2:4">
      <c r="D12" s="92" t="s">
        <v>51</v>
      </c>
    </row>
    <row r="13" spans="2:4">
      <c r="D13" s="92"/>
    </row>
    <row r="14" spans="2:4">
      <c r="D14" s="89"/>
    </row>
    <row r="15" spans="2:4">
      <c r="D15" s="89"/>
    </row>
    <row r="16" spans="2:4">
      <c r="D16" s="89"/>
    </row>
  </sheetData>
  <sheetProtection algorithmName="SHA-512" hashValue="e4OHLwgeYZmL48zsaH+H+dKytwQwvYaVzs7AIbWdzTyBapQtHLy9hvRojs1VE99OfPaVOZV0uuzAnWHqbeMf/A==" saltValue="PWT/mwkFMrPAhhekd9dInQ==" spinCount="100000" sheet="1" objects="1" scenarios="1" selectLockedCells="1"/>
  <mergeCells count="1">
    <mergeCell ref="B4:C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indexed="43"/>
  </sheetPr>
  <dimension ref="C1:BS94"/>
  <sheetViews>
    <sheetView showZeros="0" tabSelected="1" zoomScaleNormal="100" zoomScaleSheetLayoutView="41" workbookViewId="0">
      <selection activeCell="G57" sqref="G57"/>
    </sheetView>
  </sheetViews>
  <sheetFormatPr defaultColWidth="10.28515625" defaultRowHeight="12.75"/>
  <cols>
    <col min="1" max="2" width="1.5703125" style="15" customWidth="1"/>
    <col min="3" max="3" width="5.5703125" style="15" customWidth="1"/>
    <col min="4" max="4" width="16.140625" style="15" customWidth="1"/>
    <col min="5" max="67" width="6.7109375" style="15" customWidth="1"/>
    <col min="68" max="16384" width="10.28515625" style="15"/>
  </cols>
  <sheetData>
    <row r="1" spans="3:49" s="7" customFormat="1" ht="19.5" customHeight="1">
      <c r="D1" s="116" t="s">
        <v>0</v>
      </c>
      <c r="E1" s="116"/>
      <c r="F1" s="8"/>
      <c r="G1" s="8"/>
      <c r="H1" s="9"/>
      <c r="I1" s="9"/>
      <c r="K1" s="118" t="s">
        <v>1</v>
      </c>
      <c r="L1" s="119"/>
      <c r="M1" s="151" t="s">
        <v>35</v>
      </c>
      <c r="N1" s="152"/>
      <c r="O1" s="155" t="s">
        <v>2</v>
      </c>
      <c r="P1" s="156"/>
      <c r="Q1" s="156"/>
      <c r="R1" s="156"/>
      <c r="S1" s="157"/>
      <c r="T1" s="134" t="s">
        <v>3</v>
      </c>
      <c r="U1" s="135"/>
      <c r="V1" s="136"/>
      <c r="W1" s="10" t="s">
        <v>4</v>
      </c>
      <c r="X1" s="11"/>
      <c r="Y1" s="11"/>
      <c r="Z1" s="11"/>
      <c r="AA1" s="11"/>
      <c r="AB1" s="11"/>
      <c r="AC1" s="11"/>
      <c r="AD1" s="11"/>
      <c r="AE1" s="11"/>
      <c r="AF1" s="11"/>
      <c r="AG1" s="12"/>
      <c r="AH1" s="12"/>
      <c r="AI1" s="12"/>
      <c r="AJ1" s="12"/>
      <c r="AK1" s="12"/>
      <c r="AL1" s="12"/>
      <c r="AM1" s="12"/>
      <c r="AN1" s="12"/>
      <c r="AO1" s="12"/>
      <c r="AP1" s="13"/>
      <c r="AQ1" s="13"/>
      <c r="AR1" s="13"/>
      <c r="AS1" s="13"/>
      <c r="AT1" s="13"/>
      <c r="AU1" s="13"/>
      <c r="AV1" s="13"/>
      <c r="AW1" s="14"/>
    </row>
    <row r="2" spans="3:49" ht="16.899999999999999" customHeight="1" thickBot="1">
      <c r="D2" s="117" t="s">
        <v>5</v>
      </c>
      <c r="E2" s="117"/>
      <c r="K2" s="120"/>
      <c r="L2" s="121"/>
      <c r="M2" s="153"/>
      <c r="N2" s="154"/>
      <c r="O2" s="158"/>
      <c r="P2" s="159"/>
      <c r="Q2" s="159"/>
      <c r="R2" s="159"/>
      <c r="S2" s="160"/>
      <c r="T2" s="137" t="s">
        <v>6</v>
      </c>
      <c r="U2" s="138"/>
      <c r="V2" s="139"/>
      <c r="W2" s="16" t="s">
        <v>32</v>
      </c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8"/>
      <c r="AQ2" s="18"/>
      <c r="AR2" s="18"/>
      <c r="AS2" s="18"/>
      <c r="AT2" s="18"/>
      <c r="AU2" s="18"/>
      <c r="AV2" s="18"/>
      <c r="AW2" s="19"/>
    </row>
    <row r="3" spans="3:49" s="20" customFormat="1" ht="28.5" customHeight="1">
      <c r="D3" s="66" t="s">
        <v>39</v>
      </c>
      <c r="E3" s="142" t="s">
        <v>38</v>
      </c>
      <c r="F3" s="143"/>
      <c r="G3" s="144"/>
      <c r="I3" s="21"/>
      <c r="J3" s="21"/>
      <c r="K3" s="20" t="s">
        <v>7</v>
      </c>
      <c r="AK3" s="86"/>
      <c r="AL3" s="85"/>
      <c r="AM3" s="87"/>
      <c r="AN3" s="107" t="str">
        <f ca="1">"MÊS: "&amp;RIGHT(LEFT(CELL("filename"),SEARCH(".xl",CELL("Filename"))-1),2)</f>
        <v>MÊS: 03</v>
      </c>
      <c r="AO3" s="103"/>
      <c r="AP3" s="103"/>
      <c r="AQ3" s="103"/>
      <c r="AR3" s="104"/>
      <c r="AS3" s="103" t="s">
        <v>46</v>
      </c>
      <c r="AT3" s="103"/>
      <c r="AU3" s="103"/>
      <c r="AV3" s="103"/>
      <c r="AW3" s="104"/>
    </row>
    <row r="4" spans="3:49" s="20" customFormat="1" ht="16.899999999999999" customHeight="1" thickBot="1">
      <c r="C4" s="22"/>
      <c r="D4" s="67" t="s">
        <v>36</v>
      </c>
      <c r="E4" s="145" t="s">
        <v>40</v>
      </c>
      <c r="F4" s="146"/>
      <c r="G4" s="147"/>
      <c r="I4" s="21"/>
      <c r="J4" s="21"/>
      <c r="K4" s="20" t="s">
        <v>8</v>
      </c>
      <c r="T4" s="20" t="s">
        <v>9</v>
      </c>
      <c r="AK4" s="83"/>
      <c r="AL4" s="83"/>
      <c r="AM4" s="84"/>
      <c r="AN4" s="108"/>
      <c r="AO4" s="105"/>
      <c r="AP4" s="105"/>
      <c r="AQ4" s="105"/>
      <c r="AR4" s="106"/>
      <c r="AS4" s="105"/>
      <c r="AT4" s="105"/>
      <c r="AU4" s="105"/>
      <c r="AV4" s="105"/>
      <c r="AW4" s="106"/>
    </row>
    <row r="5" spans="3:49" s="20" customFormat="1" ht="16.899999999999999" customHeight="1">
      <c r="C5" s="22"/>
      <c r="D5" s="65" t="s">
        <v>37</v>
      </c>
      <c r="E5" s="122" t="s">
        <v>42</v>
      </c>
      <c r="F5" s="123"/>
      <c r="G5" s="124"/>
      <c r="I5" s="21"/>
      <c r="J5" s="21"/>
      <c r="K5" s="20" t="s">
        <v>11</v>
      </c>
      <c r="T5" s="20" t="s">
        <v>12</v>
      </c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</row>
    <row r="6" spans="3:49" s="20" customFormat="1" ht="16.899999999999999" customHeight="1">
      <c r="C6" s="22"/>
      <c r="D6" s="23" t="s">
        <v>10</v>
      </c>
      <c r="E6" s="148" t="s">
        <v>33</v>
      </c>
      <c r="F6" s="149"/>
      <c r="G6" s="150"/>
      <c r="I6" s="21"/>
      <c r="J6" s="21"/>
      <c r="AJ6" s="24"/>
      <c r="AK6" s="24"/>
    </row>
    <row r="7" spans="3:49" s="20" customFormat="1" ht="4.5" customHeight="1" thickBot="1"/>
    <row r="8" spans="3:49" s="25" customFormat="1" ht="23.1" customHeight="1">
      <c r="C8" s="109" t="s">
        <v>13</v>
      </c>
      <c r="D8" s="72" t="s">
        <v>14</v>
      </c>
      <c r="E8" s="79">
        <v>1</v>
      </c>
      <c r="F8" s="80">
        <v>2</v>
      </c>
      <c r="G8" s="80">
        <v>3</v>
      </c>
      <c r="H8" s="80">
        <v>4</v>
      </c>
      <c r="I8" s="80">
        <v>5</v>
      </c>
      <c r="J8" s="80">
        <v>6</v>
      </c>
      <c r="K8" s="80">
        <v>7</v>
      </c>
      <c r="L8" s="80">
        <v>8</v>
      </c>
      <c r="M8" s="80">
        <v>9</v>
      </c>
      <c r="N8" s="80">
        <v>10</v>
      </c>
      <c r="O8" s="80">
        <v>11</v>
      </c>
      <c r="P8" s="80">
        <v>12</v>
      </c>
      <c r="Q8" s="80">
        <v>13</v>
      </c>
      <c r="R8" s="80">
        <v>14</v>
      </c>
      <c r="S8" s="80">
        <v>15</v>
      </c>
      <c r="T8" s="80">
        <v>16</v>
      </c>
      <c r="U8" s="80">
        <v>17</v>
      </c>
      <c r="V8" s="80">
        <v>18</v>
      </c>
      <c r="W8" s="80">
        <v>19</v>
      </c>
      <c r="X8" s="80">
        <v>20</v>
      </c>
      <c r="Y8" s="80">
        <v>21</v>
      </c>
      <c r="Z8" s="80">
        <v>22</v>
      </c>
      <c r="AA8" s="80">
        <v>23</v>
      </c>
      <c r="AB8" s="80">
        <v>24</v>
      </c>
      <c r="AC8" s="80">
        <v>25</v>
      </c>
      <c r="AD8" s="80">
        <v>26</v>
      </c>
      <c r="AE8" s="80">
        <v>27</v>
      </c>
      <c r="AF8" s="80">
        <v>28</v>
      </c>
      <c r="AG8" s="80">
        <v>29</v>
      </c>
      <c r="AH8" s="80">
        <v>30</v>
      </c>
      <c r="AI8" s="80">
        <v>31</v>
      </c>
      <c r="AJ8" s="80">
        <v>32</v>
      </c>
      <c r="AK8" s="80">
        <v>33</v>
      </c>
      <c r="AL8" s="80">
        <v>34</v>
      </c>
      <c r="AM8" s="80">
        <v>35</v>
      </c>
      <c r="AN8" s="80">
        <v>36</v>
      </c>
      <c r="AO8" s="80">
        <v>37</v>
      </c>
      <c r="AP8" s="80">
        <v>38</v>
      </c>
      <c r="AQ8" s="80">
        <v>39</v>
      </c>
      <c r="AR8" s="80">
        <v>40</v>
      </c>
      <c r="AS8" s="80">
        <v>41</v>
      </c>
      <c r="AT8" s="80">
        <v>42</v>
      </c>
      <c r="AU8" s="80">
        <v>43</v>
      </c>
      <c r="AV8" s="80">
        <v>44</v>
      </c>
      <c r="AW8" s="81">
        <v>45</v>
      </c>
    </row>
    <row r="9" spans="3:49" s="25" customFormat="1" ht="23.1" customHeight="1">
      <c r="C9" s="110"/>
      <c r="D9" s="73" t="s">
        <v>15</v>
      </c>
      <c r="E9" s="93">
        <v>24</v>
      </c>
      <c r="F9" s="60">
        <v>24</v>
      </c>
      <c r="G9" s="60">
        <v>24</v>
      </c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75"/>
    </row>
    <row r="10" spans="3:49" s="25" customFormat="1" ht="23.1" customHeight="1" thickBot="1">
      <c r="C10" s="111"/>
      <c r="D10" s="74" t="s">
        <v>16</v>
      </c>
      <c r="E10" s="76" t="s">
        <v>49</v>
      </c>
      <c r="F10" s="77" t="s">
        <v>50</v>
      </c>
      <c r="G10" s="77" t="s">
        <v>51</v>
      </c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8"/>
    </row>
    <row r="11" spans="3:49" s="25" customFormat="1" ht="23.1" customHeight="1">
      <c r="C11" s="109" t="s">
        <v>17</v>
      </c>
      <c r="D11" s="26">
        <v>1</v>
      </c>
      <c r="E11" s="1"/>
      <c r="F11" s="68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59"/>
      <c r="S11" s="59"/>
      <c r="T11" s="59"/>
      <c r="U11" s="59"/>
      <c r="V11" s="59"/>
      <c r="W11" s="59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55"/>
      <c r="AR11" s="55"/>
      <c r="AS11" s="55"/>
      <c r="AT11" s="55"/>
      <c r="AU11" s="55"/>
      <c r="AV11" s="55"/>
      <c r="AW11" s="3"/>
    </row>
    <row r="12" spans="3:49" s="25" customFormat="1" ht="23.1" customHeight="1">
      <c r="C12" s="110"/>
      <c r="D12" s="27">
        <v>2</v>
      </c>
      <c r="E12" s="4"/>
      <c r="F12" s="69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0"/>
      <c r="S12" s="60"/>
      <c r="T12" s="60"/>
      <c r="U12" s="60"/>
      <c r="V12" s="60"/>
      <c r="W12" s="60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6"/>
      <c r="AR12" s="56"/>
      <c r="AS12" s="56"/>
      <c r="AT12" s="56"/>
      <c r="AU12" s="56"/>
      <c r="AV12" s="56"/>
      <c r="AW12" s="6"/>
    </row>
    <row r="13" spans="3:49" s="25" customFormat="1" ht="23.1" customHeight="1">
      <c r="C13" s="110"/>
      <c r="D13" s="27">
        <v>3</v>
      </c>
      <c r="E13" s="4"/>
      <c r="F13" s="69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60"/>
      <c r="S13" s="60"/>
      <c r="T13" s="60"/>
      <c r="U13" s="60"/>
      <c r="V13" s="60"/>
      <c r="W13" s="60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6"/>
      <c r="AR13" s="56"/>
      <c r="AS13" s="56"/>
      <c r="AT13" s="56"/>
      <c r="AU13" s="56"/>
      <c r="AV13" s="56"/>
      <c r="AW13" s="6"/>
    </row>
    <row r="14" spans="3:49" s="25" customFormat="1" ht="23.1" customHeight="1">
      <c r="C14" s="110"/>
      <c r="D14" s="27">
        <v>4</v>
      </c>
      <c r="E14" s="4"/>
      <c r="F14" s="69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60"/>
      <c r="S14" s="60"/>
      <c r="T14" s="60"/>
      <c r="U14" s="60"/>
      <c r="V14" s="60"/>
      <c r="W14" s="60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6"/>
      <c r="AR14" s="56"/>
      <c r="AS14" s="56"/>
      <c r="AT14" s="56"/>
      <c r="AU14" s="56"/>
      <c r="AV14" s="56"/>
      <c r="AW14" s="6"/>
    </row>
    <row r="15" spans="3:49" s="25" customFormat="1" ht="23.1" customHeight="1">
      <c r="C15" s="110"/>
      <c r="D15" s="31">
        <v>5</v>
      </c>
      <c r="E15" s="4"/>
      <c r="F15" s="69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60"/>
      <c r="S15" s="60"/>
      <c r="T15" s="60"/>
      <c r="U15" s="60"/>
      <c r="V15" s="60"/>
      <c r="W15" s="60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6"/>
      <c r="AR15" s="56"/>
      <c r="AS15" s="56"/>
      <c r="AT15" s="56"/>
      <c r="AU15" s="56"/>
      <c r="AV15" s="56"/>
      <c r="AW15" s="6"/>
    </row>
    <row r="16" spans="3:49" s="25" customFormat="1" ht="23.1" customHeight="1">
      <c r="C16" s="110"/>
      <c r="D16" s="31" t="s">
        <v>18</v>
      </c>
      <c r="E16" s="28" t="str">
        <f t="shared" ref="E16:Q16" si="0">IF(ISERR(AVERAGE(E11:E15))," ",AVERAGE(E11:E15))</f>
        <v xml:space="preserve"> </v>
      </c>
      <c r="F16" s="70" t="str">
        <f t="shared" si="0"/>
        <v xml:space="preserve"> </v>
      </c>
      <c r="G16" s="29" t="str">
        <f t="shared" si="0"/>
        <v xml:space="preserve"> </v>
      </c>
      <c r="H16" s="29" t="str">
        <f t="shared" si="0"/>
        <v xml:space="preserve"> </v>
      </c>
      <c r="I16" s="29" t="str">
        <f t="shared" si="0"/>
        <v xml:space="preserve"> </v>
      </c>
      <c r="J16" s="29" t="str">
        <f t="shared" si="0"/>
        <v xml:space="preserve"> </v>
      </c>
      <c r="K16" s="29" t="str">
        <f>IF(ISERR(AVERAGE(K11:K15))," ",AVERAGE(K11:K15))</f>
        <v xml:space="preserve"> </v>
      </c>
      <c r="L16" s="29" t="str">
        <f>IF(ISERR(AVERAGE(L11:L15))," ",AVERAGE(L11:L15))</f>
        <v xml:space="preserve"> </v>
      </c>
      <c r="M16" s="29" t="str">
        <f>IF(ISERR(AVERAGE(M11:M15))," ",AVERAGE(M11:M15))</f>
        <v xml:space="preserve"> </v>
      </c>
      <c r="N16" s="29" t="str">
        <f t="shared" si="0"/>
        <v xml:space="preserve"> </v>
      </c>
      <c r="O16" s="29" t="str">
        <f t="shared" si="0"/>
        <v xml:space="preserve"> </v>
      </c>
      <c r="P16" s="29" t="str">
        <f t="shared" si="0"/>
        <v xml:space="preserve"> </v>
      </c>
      <c r="Q16" s="29" t="str">
        <f t="shared" si="0"/>
        <v xml:space="preserve"> </v>
      </c>
      <c r="R16" s="29" t="str">
        <f t="shared" ref="R16:X16" si="1">IF(ISERR(AVERAGE(R11:R15))," ",AVERAGE(R11:R15))</f>
        <v xml:space="preserve"> </v>
      </c>
      <c r="S16" s="29" t="str">
        <f t="shared" si="1"/>
        <v xml:space="preserve"> </v>
      </c>
      <c r="T16" s="29" t="str">
        <f t="shared" si="1"/>
        <v xml:space="preserve"> </v>
      </c>
      <c r="U16" s="29" t="str">
        <f t="shared" si="1"/>
        <v xml:space="preserve"> </v>
      </c>
      <c r="V16" s="29" t="str">
        <f t="shared" si="1"/>
        <v xml:space="preserve"> </v>
      </c>
      <c r="W16" s="29" t="str">
        <f t="shared" si="1"/>
        <v xml:space="preserve"> </v>
      </c>
      <c r="X16" s="29" t="str">
        <f t="shared" si="1"/>
        <v xml:space="preserve"> </v>
      </c>
      <c r="Y16" s="29" t="str">
        <f t="shared" ref="Y16:AI16" si="2">IF(ISERR(AVERAGE(Y11:Y15))," ",AVERAGE(Y11:Y15))</f>
        <v xml:space="preserve"> </v>
      </c>
      <c r="Z16" s="29" t="str">
        <f t="shared" si="2"/>
        <v xml:space="preserve"> </v>
      </c>
      <c r="AA16" s="29" t="str">
        <f t="shared" si="2"/>
        <v xml:space="preserve"> </v>
      </c>
      <c r="AB16" s="29" t="str">
        <f t="shared" si="2"/>
        <v xml:space="preserve"> </v>
      </c>
      <c r="AC16" s="29" t="str">
        <f t="shared" si="2"/>
        <v xml:space="preserve"> </v>
      </c>
      <c r="AD16" s="29" t="str">
        <f t="shared" si="2"/>
        <v xml:space="preserve"> </v>
      </c>
      <c r="AE16" s="29" t="str">
        <f t="shared" si="2"/>
        <v xml:space="preserve"> </v>
      </c>
      <c r="AF16" s="29" t="str">
        <f t="shared" si="2"/>
        <v xml:space="preserve"> </v>
      </c>
      <c r="AG16" s="29" t="str">
        <f t="shared" si="2"/>
        <v xml:space="preserve"> </v>
      </c>
      <c r="AH16" s="29" t="str">
        <f t="shared" si="2"/>
        <v xml:space="preserve"> </v>
      </c>
      <c r="AI16" s="29" t="str">
        <f t="shared" si="2"/>
        <v xml:space="preserve"> </v>
      </c>
      <c r="AJ16" s="29" t="str">
        <f t="shared" ref="AJ16:AQ16" si="3">IF(ISERR(AVERAGE(AJ11:AJ15))," ",AVERAGE(AJ11:AJ15))</f>
        <v xml:space="preserve"> </v>
      </c>
      <c r="AK16" s="29" t="str">
        <f t="shared" si="3"/>
        <v xml:space="preserve"> </v>
      </c>
      <c r="AL16" s="29" t="str">
        <f t="shared" si="3"/>
        <v xml:space="preserve"> </v>
      </c>
      <c r="AM16" s="29" t="str">
        <f t="shared" si="3"/>
        <v xml:space="preserve"> </v>
      </c>
      <c r="AN16" s="29" t="str">
        <f t="shared" si="3"/>
        <v xml:space="preserve"> </v>
      </c>
      <c r="AO16" s="29" t="str">
        <f t="shared" si="3"/>
        <v xml:space="preserve"> </v>
      </c>
      <c r="AP16" s="29" t="str">
        <f t="shared" si="3"/>
        <v xml:space="preserve"> </v>
      </c>
      <c r="AQ16" s="57" t="str">
        <f t="shared" si="3"/>
        <v xml:space="preserve"> </v>
      </c>
      <c r="AR16" s="57"/>
      <c r="AS16" s="57"/>
      <c r="AT16" s="57"/>
      <c r="AU16" s="57"/>
      <c r="AV16" s="57"/>
      <c r="AW16" s="30" t="str">
        <f>IF(ISERR(AVERAGE(AW11:AW15))," ",AVERAGE(AW11:AW15))</f>
        <v xml:space="preserve"> </v>
      </c>
    </row>
    <row r="17" spans="3:49" s="25" customFormat="1" ht="23.1" customHeight="1" thickBot="1">
      <c r="C17" s="111"/>
      <c r="D17" s="32" t="s">
        <v>19</v>
      </c>
      <c r="E17" s="33">
        <f>MAX(E11:E15)-MIN(E11:E15)</f>
        <v>0</v>
      </c>
      <c r="F17" s="71">
        <f t="shared" ref="F17:AW17" si="4">MAX(F11:F15)-MIN(F11:F15)</f>
        <v>0</v>
      </c>
      <c r="G17" s="34">
        <f t="shared" si="4"/>
        <v>0</v>
      </c>
      <c r="H17" s="34">
        <f t="shared" si="4"/>
        <v>0</v>
      </c>
      <c r="I17" s="34">
        <f t="shared" si="4"/>
        <v>0</v>
      </c>
      <c r="J17" s="34">
        <f t="shared" si="4"/>
        <v>0</v>
      </c>
      <c r="K17" s="34">
        <f t="shared" si="4"/>
        <v>0</v>
      </c>
      <c r="L17" s="34">
        <f t="shared" si="4"/>
        <v>0</v>
      </c>
      <c r="M17" s="34">
        <f t="shared" si="4"/>
        <v>0</v>
      </c>
      <c r="N17" s="34">
        <f t="shared" si="4"/>
        <v>0</v>
      </c>
      <c r="O17" s="34">
        <f t="shared" si="4"/>
        <v>0</v>
      </c>
      <c r="P17" s="34">
        <f t="shared" si="4"/>
        <v>0</v>
      </c>
      <c r="Q17" s="34">
        <f t="shared" si="4"/>
        <v>0</v>
      </c>
      <c r="R17" s="34">
        <f t="shared" si="4"/>
        <v>0</v>
      </c>
      <c r="S17" s="34">
        <f t="shared" si="4"/>
        <v>0</v>
      </c>
      <c r="T17" s="34">
        <f t="shared" si="4"/>
        <v>0</v>
      </c>
      <c r="U17" s="34">
        <f t="shared" si="4"/>
        <v>0</v>
      </c>
      <c r="V17" s="34">
        <f t="shared" si="4"/>
        <v>0</v>
      </c>
      <c r="W17" s="34">
        <f t="shared" si="4"/>
        <v>0</v>
      </c>
      <c r="X17" s="34">
        <f t="shared" si="4"/>
        <v>0</v>
      </c>
      <c r="Y17" s="34">
        <f t="shared" ref="Y17:AI17" si="5">MAX(Y11:Y15)-MIN(Y11:Y15)</f>
        <v>0</v>
      </c>
      <c r="Z17" s="34">
        <f t="shared" si="5"/>
        <v>0</v>
      </c>
      <c r="AA17" s="34">
        <f t="shared" si="5"/>
        <v>0</v>
      </c>
      <c r="AB17" s="34">
        <f t="shared" si="5"/>
        <v>0</v>
      </c>
      <c r="AC17" s="34">
        <f t="shared" si="5"/>
        <v>0</v>
      </c>
      <c r="AD17" s="34">
        <f t="shared" si="5"/>
        <v>0</v>
      </c>
      <c r="AE17" s="34">
        <f t="shared" si="5"/>
        <v>0</v>
      </c>
      <c r="AF17" s="34">
        <f t="shared" si="5"/>
        <v>0</v>
      </c>
      <c r="AG17" s="34">
        <f t="shared" si="5"/>
        <v>0</v>
      </c>
      <c r="AH17" s="34">
        <f t="shared" si="5"/>
        <v>0</v>
      </c>
      <c r="AI17" s="34">
        <f t="shared" si="5"/>
        <v>0</v>
      </c>
      <c r="AJ17" s="34">
        <f t="shared" si="4"/>
        <v>0</v>
      </c>
      <c r="AK17" s="34">
        <f t="shared" si="4"/>
        <v>0</v>
      </c>
      <c r="AL17" s="34">
        <f t="shared" si="4"/>
        <v>0</v>
      </c>
      <c r="AM17" s="34">
        <f t="shared" si="4"/>
        <v>0</v>
      </c>
      <c r="AN17" s="34">
        <f t="shared" si="4"/>
        <v>0</v>
      </c>
      <c r="AO17" s="34">
        <f t="shared" si="4"/>
        <v>0</v>
      </c>
      <c r="AP17" s="34">
        <f t="shared" si="4"/>
        <v>0</v>
      </c>
      <c r="AQ17" s="58">
        <f t="shared" si="4"/>
        <v>0</v>
      </c>
      <c r="AR17" s="58">
        <f t="shared" si="4"/>
        <v>0</v>
      </c>
      <c r="AS17" s="58">
        <f t="shared" si="4"/>
        <v>0</v>
      </c>
      <c r="AT17" s="58">
        <f t="shared" si="4"/>
        <v>0</v>
      </c>
      <c r="AU17" s="58">
        <f t="shared" si="4"/>
        <v>0</v>
      </c>
      <c r="AV17" s="58">
        <f t="shared" si="4"/>
        <v>0</v>
      </c>
      <c r="AW17" s="35">
        <f t="shared" si="4"/>
        <v>0</v>
      </c>
    </row>
    <row r="18" spans="3:49" s="25" customFormat="1" ht="23.1" customHeight="1">
      <c r="C18" s="109" t="s">
        <v>20</v>
      </c>
      <c r="D18" s="26">
        <v>1</v>
      </c>
      <c r="E18" s="1"/>
      <c r="F18" s="68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59"/>
      <c r="S18" s="59"/>
      <c r="T18" s="59"/>
      <c r="U18" s="59"/>
      <c r="V18" s="59"/>
      <c r="W18" s="59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55"/>
      <c r="AR18" s="55"/>
      <c r="AS18" s="55"/>
      <c r="AT18" s="55"/>
      <c r="AU18" s="55"/>
      <c r="AV18" s="55"/>
      <c r="AW18" s="3"/>
    </row>
    <row r="19" spans="3:49" s="25" customFormat="1" ht="23.1" customHeight="1">
      <c r="C19" s="110"/>
      <c r="D19" s="27">
        <v>2</v>
      </c>
      <c r="E19" s="4"/>
      <c r="F19" s="69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60"/>
      <c r="S19" s="60"/>
      <c r="T19" s="60"/>
      <c r="U19" s="60"/>
      <c r="V19" s="60"/>
      <c r="W19" s="60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6"/>
      <c r="AR19" s="56"/>
      <c r="AS19" s="56"/>
      <c r="AT19" s="56"/>
      <c r="AU19" s="56"/>
      <c r="AV19" s="56"/>
      <c r="AW19" s="6"/>
    </row>
    <row r="20" spans="3:49" s="25" customFormat="1" ht="23.1" customHeight="1">
      <c r="C20" s="110"/>
      <c r="D20" s="27">
        <v>3</v>
      </c>
      <c r="E20" s="4"/>
      <c r="F20" s="69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60"/>
      <c r="S20" s="60"/>
      <c r="T20" s="60"/>
      <c r="U20" s="60"/>
      <c r="V20" s="60"/>
      <c r="W20" s="60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6"/>
      <c r="AR20" s="56"/>
      <c r="AS20" s="56"/>
      <c r="AT20" s="56"/>
      <c r="AU20" s="56"/>
      <c r="AV20" s="56"/>
      <c r="AW20" s="6"/>
    </row>
    <row r="21" spans="3:49" s="25" customFormat="1" ht="23.1" customHeight="1">
      <c r="C21" s="110"/>
      <c r="D21" s="27">
        <v>4</v>
      </c>
      <c r="E21" s="4"/>
      <c r="F21" s="69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60"/>
      <c r="S21" s="60"/>
      <c r="T21" s="60"/>
      <c r="U21" s="60"/>
      <c r="V21" s="60"/>
      <c r="W21" s="60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6"/>
      <c r="AR21" s="56"/>
      <c r="AS21" s="56"/>
      <c r="AT21" s="56"/>
      <c r="AU21" s="56"/>
      <c r="AV21" s="56"/>
      <c r="AW21" s="6"/>
    </row>
    <row r="22" spans="3:49" s="25" customFormat="1" ht="23.1" customHeight="1">
      <c r="C22" s="110"/>
      <c r="D22" s="31">
        <v>5</v>
      </c>
      <c r="E22" s="4"/>
      <c r="F22" s="69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60"/>
      <c r="S22" s="60"/>
      <c r="T22" s="60"/>
      <c r="U22" s="60"/>
      <c r="V22" s="60"/>
      <c r="W22" s="60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6"/>
      <c r="AR22" s="56"/>
      <c r="AS22" s="56"/>
      <c r="AT22" s="56"/>
      <c r="AU22" s="56"/>
      <c r="AV22" s="56"/>
      <c r="AW22" s="6"/>
    </row>
    <row r="23" spans="3:49" s="25" customFormat="1" ht="23.1" customHeight="1">
      <c r="C23" s="110"/>
      <c r="D23" s="31" t="s">
        <v>18</v>
      </c>
      <c r="E23" s="28" t="str">
        <f t="shared" ref="E23" si="6">IF(ISERR(AVERAGE(E18:E22))," ",AVERAGE(E18:E22))</f>
        <v xml:space="preserve"> </v>
      </c>
      <c r="F23" s="70" t="str">
        <f t="shared" ref="F23:J23" si="7">IF(ISERR(AVERAGE(F18:F22))," ",AVERAGE(F18:F22))</f>
        <v xml:space="preserve"> </v>
      </c>
      <c r="G23" s="29" t="str">
        <f t="shared" si="7"/>
        <v xml:space="preserve"> </v>
      </c>
      <c r="H23" s="29" t="str">
        <f t="shared" si="7"/>
        <v xml:space="preserve"> </v>
      </c>
      <c r="I23" s="29" t="str">
        <f t="shared" si="7"/>
        <v xml:space="preserve"> </v>
      </c>
      <c r="J23" s="29" t="str">
        <f t="shared" si="7"/>
        <v xml:space="preserve"> </v>
      </c>
      <c r="K23" s="29" t="str">
        <f>IF(ISERR(AVERAGE(K18:K22))," ",AVERAGE(K18:K22))</f>
        <v xml:space="preserve"> </v>
      </c>
      <c r="L23" s="29" t="str">
        <f>IF(ISERR(AVERAGE(L18:L22))," ",AVERAGE(L18:L22))</f>
        <v xml:space="preserve"> </v>
      </c>
      <c r="M23" s="29" t="str">
        <f>IF(ISERR(AVERAGE(M18:M22))," ",AVERAGE(M18:M22))</f>
        <v xml:space="preserve"> </v>
      </c>
      <c r="N23" s="29" t="str">
        <f t="shared" ref="N23:AQ23" si="8">IF(ISERR(AVERAGE(N18:N22))," ",AVERAGE(N18:N22))</f>
        <v xml:space="preserve"> </v>
      </c>
      <c r="O23" s="29" t="str">
        <f t="shared" si="8"/>
        <v xml:space="preserve"> </v>
      </c>
      <c r="P23" s="29" t="str">
        <f t="shared" si="8"/>
        <v xml:space="preserve"> </v>
      </c>
      <c r="Q23" s="29" t="str">
        <f t="shared" si="8"/>
        <v xml:space="preserve"> </v>
      </c>
      <c r="R23" s="29" t="str">
        <f t="shared" si="8"/>
        <v xml:space="preserve"> </v>
      </c>
      <c r="S23" s="29" t="str">
        <f t="shared" si="8"/>
        <v xml:space="preserve"> </v>
      </c>
      <c r="T23" s="29" t="str">
        <f t="shared" si="8"/>
        <v xml:space="preserve"> </v>
      </c>
      <c r="U23" s="29" t="str">
        <f t="shared" si="8"/>
        <v xml:space="preserve"> </v>
      </c>
      <c r="V23" s="29" t="str">
        <f t="shared" si="8"/>
        <v xml:space="preserve"> </v>
      </c>
      <c r="W23" s="29" t="str">
        <f t="shared" si="8"/>
        <v xml:space="preserve"> </v>
      </c>
      <c r="X23" s="29" t="str">
        <f t="shared" si="8"/>
        <v xml:space="preserve"> </v>
      </c>
      <c r="Y23" s="29" t="str">
        <f t="shared" ref="Y23:AI23" si="9">IF(ISERR(AVERAGE(Y18:Y22))," ",AVERAGE(Y18:Y22))</f>
        <v xml:space="preserve"> </v>
      </c>
      <c r="Z23" s="29" t="str">
        <f t="shared" si="9"/>
        <v xml:space="preserve"> </v>
      </c>
      <c r="AA23" s="29" t="str">
        <f t="shared" si="9"/>
        <v xml:space="preserve"> </v>
      </c>
      <c r="AB23" s="29" t="str">
        <f t="shared" si="9"/>
        <v xml:space="preserve"> </v>
      </c>
      <c r="AC23" s="29" t="str">
        <f t="shared" si="9"/>
        <v xml:space="preserve"> </v>
      </c>
      <c r="AD23" s="29" t="str">
        <f t="shared" si="9"/>
        <v xml:space="preserve"> </v>
      </c>
      <c r="AE23" s="29" t="str">
        <f t="shared" si="9"/>
        <v xml:space="preserve"> </v>
      </c>
      <c r="AF23" s="29" t="str">
        <f t="shared" si="9"/>
        <v xml:space="preserve"> </v>
      </c>
      <c r="AG23" s="29" t="str">
        <f t="shared" si="9"/>
        <v xml:space="preserve"> </v>
      </c>
      <c r="AH23" s="29" t="str">
        <f t="shared" si="9"/>
        <v xml:space="preserve"> </v>
      </c>
      <c r="AI23" s="29" t="str">
        <f t="shared" si="9"/>
        <v xml:space="preserve"> </v>
      </c>
      <c r="AJ23" s="29" t="str">
        <f t="shared" si="8"/>
        <v xml:space="preserve"> </v>
      </c>
      <c r="AK23" s="29" t="str">
        <f t="shared" si="8"/>
        <v xml:space="preserve"> </v>
      </c>
      <c r="AL23" s="29" t="str">
        <f t="shared" si="8"/>
        <v xml:space="preserve"> </v>
      </c>
      <c r="AM23" s="29" t="str">
        <f t="shared" si="8"/>
        <v xml:space="preserve"> </v>
      </c>
      <c r="AN23" s="29" t="str">
        <f t="shared" si="8"/>
        <v xml:space="preserve"> </v>
      </c>
      <c r="AO23" s="29" t="str">
        <f t="shared" si="8"/>
        <v xml:space="preserve"> </v>
      </c>
      <c r="AP23" s="29" t="str">
        <f t="shared" si="8"/>
        <v xml:space="preserve"> </v>
      </c>
      <c r="AQ23" s="57" t="str">
        <f t="shared" si="8"/>
        <v xml:space="preserve"> </v>
      </c>
      <c r="AR23" s="57"/>
      <c r="AS23" s="57"/>
      <c r="AT23" s="57"/>
      <c r="AU23" s="57"/>
      <c r="AV23" s="57"/>
      <c r="AW23" s="30" t="str">
        <f>IF(ISERR(AVERAGE(AW18:AW22))," ",AVERAGE(AW18:AW22))</f>
        <v xml:space="preserve"> </v>
      </c>
    </row>
    <row r="24" spans="3:49" s="25" customFormat="1" ht="23.1" customHeight="1" thickBot="1">
      <c r="C24" s="111"/>
      <c r="D24" s="32" t="s">
        <v>19</v>
      </c>
      <c r="E24" s="33">
        <f>MAX(E18:E22)-MIN(E18:E22)</f>
        <v>0</v>
      </c>
      <c r="F24" s="71">
        <f t="shared" ref="F24:AW24" si="10">MAX(F18:F22)-MIN(F18:F22)</f>
        <v>0</v>
      </c>
      <c r="G24" s="34">
        <f t="shared" si="10"/>
        <v>0</v>
      </c>
      <c r="H24" s="34">
        <f t="shared" si="10"/>
        <v>0</v>
      </c>
      <c r="I24" s="34">
        <f t="shared" si="10"/>
        <v>0</v>
      </c>
      <c r="J24" s="34">
        <f t="shared" si="10"/>
        <v>0</v>
      </c>
      <c r="K24" s="34">
        <f t="shared" si="10"/>
        <v>0</v>
      </c>
      <c r="L24" s="34">
        <f t="shared" si="10"/>
        <v>0</v>
      </c>
      <c r="M24" s="34">
        <f t="shared" ref="M24" si="11">MAX(M18:M22)-MIN(M18:M22)</f>
        <v>0</v>
      </c>
      <c r="N24" s="34">
        <f t="shared" si="10"/>
        <v>0</v>
      </c>
      <c r="O24" s="34">
        <f t="shared" si="10"/>
        <v>0</v>
      </c>
      <c r="P24" s="34">
        <f t="shared" si="10"/>
        <v>0</v>
      </c>
      <c r="Q24" s="34">
        <f t="shared" si="10"/>
        <v>0</v>
      </c>
      <c r="R24" s="34">
        <f t="shared" si="10"/>
        <v>0</v>
      </c>
      <c r="S24" s="34">
        <f t="shared" si="10"/>
        <v>0</v>
      </c>
      <c r="T24" s="34">
        <f t="shared" si="10"/>
        <v>0</v>
      </c>
      <c r="U24" s="34">
        <f t="shared" si="10"/>
        <v>0</v>
      </c>
      <c r="V24" s="34">
        <f t="shared" si="10"/>
        <v>0</v>
      </c>
      <c r="W24" s="34">
        <f t="shared" si="10"/>
        <v>0</v>
      </c>
      <c r="X24" s="34">
        <f t="shared" si="10"/>
        <v>0</v>
      </c>
      <c r="Y24" s="34">
        <f t="shared" ref="Y24:AI24" si="12">MAX(Y18:Y22)-MIN(Y18:Y22)</f>
        <v>0</v>
      </c>
      <c r="Z24" s="34">
        <f t="shared" si="12"/>
        <v>0</v>
      </c>
      <c r="AA24" s="34">
        <f t="shared" si="12"/>
        <v>0</v>
      </c>
      <c r="AB24" s="34">
        <f t="shared" si="12"/>
        <v>0</v>
      </c>
      <c r="AC24" s="34">
        <f t="shared" si="12"/>
        <v>0</v>
      </c>
      <c r="AD24" s="34">
        <f t="shared" si="12"/>
        <v>0</v>
      </c>
      <c r="AE24" s="34">
        <f t="shared" si="12"/>
        <v>0</v>
      </c>
      <c r="AF24" s="34">
        <f t="shared" si="12"/>
        <v>0</v>
      </c>
      <c r="AG24" s="34">
        <f t="shared" si="12"/>
        <v>0</v>
      </c>
      <c r="AH24" s="34">
        <f t="shared" si="12"/>
        <v>0</v>
      </c>
      <c r="AI24" s="34">
        <f t="shared" si="12"/>
        <v>0</v>
      </c>
      <c r="AJ24" s="34">
        <f t="shared" si="10"/>
        <v>0</v>
      </c>
      <c r="AK24" s="34">
        <f t="shared" si="10"/>
        <v>0</v>
      </c>
      <c r="AL24" s="34">
        <f t="shared" si="10"/>
        <v>0</v>
      </c>
      <c r="AM24" s="34">
        <f t="shared" si="10"/>
        <v>0</v>
      </c>
      <c r="AN24" s="34">
        <f t="shared" si="10"/>
        <v>0</v>
      </c>
      <c r="AO24" s="34">
        <f t="shared" si="10"/>
        <v>0</v>
      </c>
      <c r="AP24" s="34">
        <f t="shared" si="10"/>
        <v>0</v>
      </c>
      <c r="AQ24" s="58">
        <f t="shared" si="10"/>
        <v>0</v>
      </c>
      <c r="AR24" s="58">
        <f t="shared" si="10"/>
        <v>0</v>
      </c>
      <c r="AS24" s="58">
        <f t="shared" si="10"/>
        <v>0</v>
      </c>
      <c r="AT24" s="58">
        <f t="shared" si="10"/>
        <v>0</v>
      </c>
      <c r="AU24" s="58">
        <f t="shared" si="10"/>
        <v>0</v>
      </c>
      <c r="AV24" s="58">
        <f t="shared" si="10"/>
        <v>0</v>
      </c>
      <c r="AW24" s="35">
        <f t="shared" si="10"/>
        <v>0</v>
      </c>
    </row>
    <row r="25" spans="3:49" s="36" customFormat="1" ht="23.1" customHeight="1">
      <c r="C25" s="109" t="s">
        <v>21</v>
      </c>
      <c r="D25" s="26">
        <v>1</v>
      </c>
      <c r="E25" s="1"/>
      <c r="F25" s="68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59"/>
      <c r="S25" s="59"/>
      <c r="T25" s="59"/>
      <c r="U25" s="59"/>
      <c r="V25" s="59"/>
      <c r="W25" s="59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55"/>
      <c r="AR25" s="55"/>
      <c r="AS25" s="55"/>
      <c r="AT25" s="55"/>
      <c r="AU25" s="55"/>
      <c r="AV25" s="55"/>
      <c r="AW25" s="3"/>
    </row>
    <row r="26" spans="3:49" s="36" customFormat="1" ht="23.1" customHeight="1">
      <c r="C26" s="110"/>
      <c r="D26" s="27">
        <v>2</v>
      </c>
      <c r="E26" s="4"/>
      <c r="F26" s="69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60"/>
      <c r="S26" s="60"/>
      <c r="T26" s="60"/>
      <c r="U26" s="60"/>
      <c r="V26" s="60"/>
      <c r="W26" s="60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6"/>
      <c r="AR26" s="56"/>
      <c r="AS26" s="56"/>
      <c r="AT26" s="56"/>
      <c r="AU26" s="56"/>
      <c r="AV26" s="56"/>
      <c r="AW26" s="6"/>
    </row>
    <row r="27" spans="3:49" s="36" customFormat="1" ht="23.1" customHeight="1">
      <c r="C27" s="110"/>
      <c r="D27" s="27">
        <v>3</v>
      </c>
      <c r="E27" s="4"/>
      <c r="F27" s="69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60"/>
      <c r="S27" s="60"/>
      <c r="T27" s="60"/>
      <c r="U27" s="60"/>
      <c r="V27" s="60"/>
      <c r="W27" s="60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6"/>
      <c r="AR27" s="56"/>
      <c r="AS27" s="56"/>
      <c r="AT27" s="56"/>
      <c r="AU27" s="56"/>
      <c r="AV27" s="56"/>
      <c r="AW27" s="6"/>
    </row>
    <row r="28" spans="3:49" s="36" customFormat="1" ht="23.1" customHeight="1">
      <c r="C28" s="110"/>
      <c r="D28" s="27">
        <v>4</v>
      </c>
      <c r="E28" s="4"/>
      <c r="F28" s="69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60"/>
      <c r="S28" s="60"/>
      <c r="T28" s="60"/>
      <c r="U28" s="60"/>
      <c r="V28" s="60"/>
      <c r="W28" s="60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6"/>
      <c r="AR28" s="56"/>
      <c r="AS28" s="56"/>
      <c r="AT28" s="56"/>
      <c r="AU28" s="56"/>
      <c r="AV28" s="56"/>
      <c r="AW28" s="6"/>
    </row>
    <row r="29" spans="3:49" s="36" customFormat="1" ht="23.1" customHeight="1">
      <c r="C29" s="110"/>
      <c r="D29" s="31">
        <v>5</v>
      </c>
      <c r="E29" s="4"/>
      <c r="F29" s="69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60"/>
      <c r="S29" s="60"/>
      <c r="T29" s="60"/>
      <c r="U29" s="60"/>
      <c r="V29" s="60"/>
      <c r="W29" s="60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6"/>
      <c r="AR29" s="56"/>
      <c r="AS29" s="56"/>
      <c r="AT29" s="56"/>
      <c r="AU29" s="56"/>
      <c r="AV29" s="56"/>
      <c r="AW29" s="6"/>
    </row>
    <row r="30" spans="3:49" s="36" customFormat="1" ht="23.1" customHeight="1">
      <c r="C30" s="110"/>
      <c r="D30" s="31" t="s">
        <v>18</v>
      </c>
      <c r="E30" s="28" t="str">
        <f t="shared" ref="E30:J30" si="13">IF(ISERR(AVERAGE(E25:E29))," ",AVERAGE(E25:E29))</f>
        <v xml:space="preserve"> </v>
      </c>
      <c r="F30" s="70" t="str">
        <f t="shared" si="13"/>
        <v xml:space="preserve"> </v>
      </c>
      <c r="G30" s="29" t="str">
        <f t="shared" si="13"/>
        <v xml:space="preserve"> </v>
      </c>
      <c r="H30" s="29" t="str">
        <f t="shared" si="13"/>
        <v xml:space="preserve"> </v>
      </c>
      <c r="I30" s="29" t="str">
        <f t="shared" si="13"/>
        <v xml:space="preserve"> </v>
      </c>
      <c r="J30" s="29" t="str">
        <f t="shared" si="13"/>
        <v xml:space="preserve"> </v>
      </c>
      <c r="K30" s="29" t="str">
        <f>IF(ISERR(AVERAGE(K25:K29))," ",AVERAGE(K25:K29))</f>
        <v xml:space="preserve"> </v>
      </c>
      <c r="L30" s="29" t="str">
        <f>IF(ISERR(AVERAGE(L25:L29))," ",AVERAGE(L25:L29))</f>
        <v xml:space="preserve"> </v>
      </c>
      <c r="M30" s="29" t="str">
        <f>IF(ISERR(AVERAGE(M25:M29))," ",AVERAGE(M25:M29))</f>
        <v xml:space="preserve"> </v>
      </c>
      <c r="N30" s="29" t="str">
        <f t="shared" ref="N30:AQ30" si="14">IF(ISERR(AVERAGE(N25:N29))," ",AVERAGE(N25:N29))</f>
        <v xml:space="preserve"> </v>
      </c>
      <c r="O30" s="29" t="str">
        <f t="shared" si="14"/>
        <v xml:space="preserve"> </v>
      </c>
      <c r="P30" s="29" t="str">
        <f t="shared" si="14"/>
        <v xml:space="preserve"> </v>
      </c>
      <c r="Q30" s="29" t="str">
        <f t="shared" si="14"/>
        <v xml:space="preserve"> </v>
      </c>
      <c r="R30" s="29" t="str">
        <f t="shared" si="14"/>
        <v xml:space="preserve"> </v>
      </c>
      <c r="S30" s="29" t="str">
        <f t="shared" si="14"/>
        <v xml:space="preserve"> </v>
      </c>
      <c r="T30" s="29" t="str">
        <f t="shared" si="14"/>
        <v xml:space="preserve"> </v>
      </c>
      <c r="U30" s="29" t="str">
        <f t="shared" si="14"/>
        <v xml:space="preserve"> </v>
      </c>
      <c r="V30" s="29" t="str">
        <f t="shared" si="14"/>
        <v xml:space="preserve"> </v>
      </c>
      <c r="W30" s="29" t="str">
        <f t="shared" si="14"/>
        <v xml:space="preserve"> </v>
      </c>
      <c r="X30" s="29" t="str">
        <f t="shared" si="14"/>
        <v xml:space="preserve"> </v>
      </c>
      <c r="Y30" s="29" t="str">
        <f t="shared" ref="Y30:AI30" si="15">IF(ISERR(AVERAGE(Y25:Y29))," ",AVERAGE(Y25:Y29))</f>
        <v xml:space="preserve"> </v>
      </c>
      <c r="Z30" s="29" t="str">
        <f t="shared" si="15"/>
        <v xml:space="preserve"> </v>
      </c>
      <c r="AA30" s="29" t="str">
        <f t="shared" si="15"/>
        <v xml:space="preserve"> </v>
      </c>
      <c r="AB30" s="29" t="str">
        <f t="shared" si="15"/>
        <v xml:space="preserve"> </v>
      </c>
      <c r="AC30" s="29" t="str">
        <f t="shared" si="15"/>
        <v xml:space="preserve"> </v>
      </c>
      <c r="AD30" s="29" t="str">
        <f t="shared" si="15"/>
        <v xml:space="preserve"> </v>
      </c>
      <c r="AE30" s="29" t="str">
        <f t="shared" si="15"/>
        <v xml:space="preserve"> </v>
      </c>
      <c r="AF30" s="29" t="str">
        <f t="shared" si="15"/>
        <v xml:space="preserve"> </v>
      </c>
      <c r="AG30" s="29" t="str">
        <f t="shared" si="15"/>
        <v xml:space="preserve"> </v>
      </c>
      <c r="AH30" s="29" t="str">
        <f t="shared" si="15"/>
        <v xml:space="preserve"> </v>
      </c>
      <c r="AI30" s="29" t="str">
        <f t="shared" si="15"/>
        <v xml:space="preserve"> </v>
      </c>
      <c r="AJ30" s="29" t="str">
        <f t="shared" si="14"/>
        <v xml:space="preserve"> </v>
      </c>
      <c r="AK30" s="29" t="str">
        <f t="shared" si="14"/>
        <v xml:space="preserve"> </v>
      </c>
      <c r="AL30" s="29" t="str">
        <f t="shared" si="14"/>
        <v xml:space="preserve"> </v>
      </c>
      <c r="AM30" s="29" t="str">
        <f t="shared" si="14"/>
        <v xml:space="preserve"> </v>
      </c>
      <c r="AN30" s="29" t="str">
        <f t="shared" si="14"/>
        <v xml:space="preserve"> </v>
      </c>
      <c r="AO30" s="29" t="str">
        <f t="shared" si="14"/>
        <v xml:space="preserve"> </v>
      </c>
      <c r="AP30" s="29" t="str">
        <f t="shared" si="14"/>
        <v xml:space="preserve"> </v>
      </c>
      <c r="AQ30" s="57" t="str">
        <f t="shared" si="14"/>
        <v xml:space="preserve"> </v>
      </c>
      <c r="AR30" s="57"/>
      <c r="AS30" s="57"/>
      <c r="AT30" s="57"/>
      <c r="AU30" s="57"/>
      <c r="AV30" s="57"/>
      <c r="AW30" s="30" t="str">
        <f>IF(ISERR(AVERAGE(AW25:AW29))," ",AVERAGE(AW25:AW29))</f>
        <v xml:space="preserve"> </v>
      </c>
    </row>
    <row r="31" spans="3:49" s="36" customFormat="1" ht="23.1" customHeight="1" thickBot="1">
      <c r="C31" s="111"/>
      <c r="D31" s="32" t="s">
        <v>19</v>
      </c>
      <c r="E31" s="33">
        <f>MAX(E25:E29)-MIN(E25:E29)</f>
        <v>0</v>
      </c>
      <c r="F31" s="71">
        <f t="shared" ref="F31:AW31" si="16">MAX(F25:F29)-MIN(F25:F29)</f>
        <v>0</v>
      </c>
      <c r="G31" s="34">
        <f t="shared" si="16"/>
        <v>0</v>
      </c>
      <c r="H31" s="34">
        <f t="shared" si="16"/>
        <v>0</v>
      </c>
      <c r="I31" s="34">
        <f t="shared" si="16"/>
        <v>0</v>
      </c>
      <c r="J31" s="34">
        <f t="shared" si="16"/>
        <v>0</v>
      </c>
      <c r="K31" s="34">
        <f t="shared" si="16"/>
        <v>0</v>
      </c>
      <c r="L31" s="34">
        <f t="shared" si="16"/>
        <v>0</v>
      </c>
      <c r="M31" s="34">
        <f t="shared" ref="M31" si="17">MAX(M25:M29)-MIN(M25:M29)</f>
        <v>0</v>
      </c>
      <c r="N31" s="34">
        <f t="shared" si="16"/>
        <v>0</v>
      </c>
      <c r="O31" s="34">
        <f t="shared" si="16"/>
        <v>0</v>
      </c>
      <c r="P31" s="34">
        <f t="shared" si="16"/>
        <v>0</v>
      </c>
      <c r="Q31" s="34">
        <f t="shared" si="16"/>
        <v>0</v>
      </c>
      <c r="R31" s="34">
        <f t="shared" si="16"/>
        <v>0</v>
      </c>
      <c r="S31" s="34">
        <f t="shared" si="16"/>
        <v>0</v>
      </c>
      <c r="T31" s="34">
        <f t="shared" si="16"/>
        <v>0</v>
      </c>
      <c r="U31" s="34">
        <f t="shared" si="16"/>
        <v>0</v>
      </c>
      <c r="V31" s="34">
        <f t="shared" si="16"/>
        <v>0</v>
      </c>
      <c r="W31" s="34">
        <f t="shared" si="16"/>
        <v>0</v>
      </c>
      <c r="X31" s="34">
        <f t="shared" si="16"/>
        <v>0</v>
      </c>
      <c r="Y31" s="34">
        <f t="shared" ref="Y31:AI31" si="18">MAX(Y25:Y29)-MIN(Y25:Y29)</f>
        <v>0</v>
      </c>
      <c r="Z31" s="34">
        <f t="shared" si="18"/>
        <v>0</v>
      </c>
      <c r="AA31" s="34">
        <f t="shared" si="18"/>
        <v>0</v>
      </c>
      <c r="AB31" s="34">
        <f t="shared" si="18"/>
        <v>0</v>
      </c>
      <c r="AC31" s="34">
        <f t="shared" si="18"/>
        <v>0</v>
      </c>
      <c r="AD31" s="34">
        <f t="shared" si="18"/>
        <v>0</v>
      </c>
      <c r="AE31" s="34">
        <f t="shared" si="18"/>
        <v>0</v>
      </c>
      <c r="AF31" s="34">
        <f t="shared" si="18"/>
        <v>0</v>
      </c>
      <c r="AG31" s="34">
        <f t="shared" si="18"/>
        <v>0</v>
      </c>
      <c r="AH31" s="34">
        <f t="shared" si="18"/>
        <v>0</v>
      </c>
      <c r="AI31" s="34">
        <f t="shared" si="18"/>
        <v>0</v>
      </c>
      <c r="AJ31" s="34">
        <f t="shared" si="16"/>
        <v>0</v>
      </c>
      <c r="AK31" s="34">
        <f t="shared" si="16"/>
        <v>0</v>
      </c>
      <c r="AL31" s="34">
        <f t="shared" si="16"/>
        <v>0</v>
      </c>
      <c r="AM31" s="34">
        <f t="shared" si="16"/>
        <v>0</v>
      </c>
      <c r="AN31" s="34">
        <f t="shared" si="16"/>
        <v>0</v>
      </c>
      <c r="AO31" s="34">
        <f t="shared" si="16"/>
        <v>0</v>
      </c>
      <c r="AP31" s="34">
        <f t="shared" si="16"/>
        <v>0</v>
      </c>
      <c r="AQ31" s="58">
        <f t="shared" si="16"/>
        <v>0</v>
      </c>
      <c r="AR31" s="58">
        <f t="shared" si="16"/>
        <v>0</v>
      </c>
      <c r="AS31" s="58">
        <f t="shared" si="16"/>
        <v>0</v>
      </c>
      <c r="AT31" s="58">
        <f t="shared" si="16"/>
        <v>0</v>
      </c>
      <c r="AU31" s="58">
        <f t="shared" si="16"/>
        <v>0</v>
      </c>
      <c r="AV31" s="58">
        <f t="shared" si="16"/>
        <v>0</v>
      </c>
      <c r="AW31" s="35">
        <f t="shared" si="16"/>
        <v>0</v>
      </c>
    </row>
    <row r="32" spans="3:49" s="36" customFormat="1" ht="23.1" customHeight="1">
      <c r="C32" s="109" t="s">
        <v>22</v>
      </c>
      <c r="D32" s="26">
        <v>1</v>
      </c>
      <c r="E32" s="1"/>
      <c r="F32" s="68"/>
      <c r="G32" s="68"/>
      <c r="H32" s="68"/>
      <c r="I32" s="2"/>
      <c r="J32" s="2"/>
      <c r="K32" s="2"/>
      <c r="L32" s="2"/>
      <c r="M32" s="2"/>
      <c r="N32" s="2"/>
      <c r="O32" s="2"/>
      <c r="P32" s="2"/>
      <c r="Q32" s="2"/>
      <c r="R32" s="59"/>
      <c r="S32" s="59"/>
      <c r="T32" s="59"/>
      <c r="U32" s="59"/>
      <c r="V32" s="59"/>
      <c r="W32" s="59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55"/>
      <c r="AR32" s="55"/>
      <c r="AS32" s="55"/>
      <c r="AT32" s="55"/>
      <c r="AU32" s="55"/>
      <c r="AV32" s="55"/>
      <c r="AW32" s="3"/>
    </row>
    <row r="33" spans="3:49" s="36" customFormat="1" ht="23.1" customHeight="1">
      <c r="C33" s="110"/>
      <c r="D33" s="27">
        <v>2</v>
      </c>
      <c r="E33" s="4"/>
      <c r="F33" s="69"/>
      <c r="G33" s="69"/>
      <c r="H33" s="69"/>
      <c r="I33" s="5"/>
      <c r="J33" s="5"/>
      <c r="K33" s="5"/>
      <c r="L33" s="5"/>
      <c r="M33" s="5"/>
      <c r="N33" s="5"/>
      <c r="O33" s="5"/>
      <c r="P33" s="5"/>
      <c r="Q33" s="5"/>
      <c r="R33" s="60"/>
      <c r="S33" s="60"/>
      <c r="T33" s="60"/>
      <c r="U33" s="60"/>
      <c r="V33" s="60"/>
      <c r="W33" s="60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6"/>
      <c r="AR33" s="56"/>
      <c r="AS33" s="56"/>
      <c r="AT33" s="56"/>
      <c r="AU33" s="56"/>
      <c r="AV33" s="56"/>
      <c r="AW33" s="6"/>
    </row>
    <row r="34" spans="3:49" s="36" customFormat="1" ht="23.1" customHeight="1">
      <c r="C34" s="110"/>
      <c r="D34" s="27">
        <v>3</v>
      </c>
      <c r="E34" s="4"/>
      <c r="F34" s="69"/>
      <c r="G34" s="69"/>
      <c r="H34" s="69"/>
      <c r="I34" s="5"/>
      <c r="J34" s="5"/>
      <c r="K34" s="5"/>
      <c r="L34" s="5"/>
      <c r="M34" s="5"/>
      <c r="N34" s="5"/>
      <c r="O34" s="5"/>
      <c r="P34" s="5"/>
      <c r="Q34" s="5"/>
      <c r="R34" s="60"/>
      <c r="S34" s="60"/>
      <c r="T34" s="60"/>
      <c r="U34" s="60"/>
      <c r="V34" s="60"/>
      <c r="W34" s="60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6"/>
      <c r="AR34" s="56"/>
      <c r="AS34" s="56"/>
      <c r="AT34" s="56"/>
      <c r="AU34" s="56"/>
      <c r="AV34" s="56"/>
      <c r="AW34" s="6"/>
    </row>
    <row r="35" spans="3:49" s="36" customFormat="1" ht="23.1" customHeight="1">
      <c r="C35" s="110"/>
      <c r="D35" s="27">
        <v>4</v>
      </c>
      <c r="E35" s="4"/>
      <c r="F35" s="69"/>
      <c r="G35" s="69"/>
      <c r="H35" s="69"/>
      <c r="I35" s="5"/>
      <c r="J35" s="5"/>
      <c r="K35" s="5"/>
      <c r="L35" s="5"/>
      <c r="M35" s="5"/>
      <c r="N35" s="5"/>
      <c r="O35" s="5"/>
      <c r="P35" s="5"/>
      <c r="Q35" s="5"/>
      <c r="R35" s="60"/>
      <c r="S35" s="60"/>
      <c r="T35" s="60"/>
      <c r="U35" s="60"/>
      <c r="V35" s="60"/>
      <c r="W35" s="60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6"/>
      <c r="AR35" s="56"/>
      <c r="AS35" s="56"/>
      <c r="AT35" s="56"/>
      <c r="AU35" s="56"/>
      <c r="AV35" s="56"/>
      <c r="AW35" s="6"/>
    </row>
    <row r="36" spans="3:49" s="36" customFormat="1" ht="23.1" customHeight="1">
      <c r="C36" s="110"/>
      <c r="D36" s="31">
        <v>5</v>
      </c>
      <c r="E36" s="4"/>
      <c r="F36" s="69"/>
      <c r="G36" s="69"/>
      <c r="H36" s="69"/>
      <c r="I36" s="5"/>
      <c r="J36" s="5"/>
      <c r="K36" s="5"/>
      <c r="L36" s="5"/>
      <c r="M36" s="5"/>
      <c r="N36" s="5"/>
      <c r="O36" s="5"/>
      <c r="P36" s="5"/>
      <c r="Q36" s="5"/>
      <c r="R36" s="60"/>
      <c r="S36" s="60"/>
      <c r="T36" s="60"/>
      <c r="U36" s="60"/>
      <c r="V36" s="60"/>
      <c r="W36" s="60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6"/>
      <c r="AR36" s="56"/>
      <c r="AS36" s="56"/>
      <c r="AT36" s="56"/>
      <c r="AU36" s="56"/>
      <c r="AV36" s="56"/>
      <c r="AW36" s="6"/>
    </row>
    <row r="37" spans="3:49" s="36" customFormat="1" ht="23.1" customHeight="1">
      <c r="C37" s="110"/>
      <c r="D37" s="31" t="s">
        <v>18</v>
      </c>
      <c r="E37" s="28" t="str">
        <f t="shared" ref="E37:J37" si="19">IF(ISERR(AVERAGE(E32:E36))," ",AVERAGE(E32:E36))</f>
        <v xml:space="preserve"> </v>
      </c>
      <c r="F37" s="70" t="str">
        <f t="shared" si="19"/>
        <v xml:space="preserve"> </v>
      </c>
      <c r="G37" s="29" t="str">
        <f t="shared" si="19"/>
        <v xml:space="preserve"> </v>
      </c>
      <c r="H37" s="29" t="str">
        <f t="shared" si="19"/>
        <v xml:space="preserve"> </v>
      </c>
      <c r="I37" s="29" t="str">
        <f t="shared" si="19"/>
        <v xml:space="preserve"> </v>
      </c>
      <c r="J37" s="29" t="str">
        <f t="shared" si="19"/>
        <v xml:space="preserve"> </v>
      </c>
      <c r="K37" s="29" t="str">
        <f>IF(ISERR(AVERAGE(K32:K36))," ",AVERAGE(K32:K36))</f>
        <v xml:space="preserve"> </v>
      </c>
      <c r="L37" s="29" t="str">
        <f>IF(ISERR(AVERAGE(L32:L36))," ",AVERAGE(L32:L36))</f>
        <v xml:space="preserve"> </v>
      </c>
      <c r="M37" s="29" t="str">
        <f>IF(ISERR(AVERAGE(M32:M36))," ",AVERAGE(M32:M36))</f>
        <v xml:space="preserve"> </v>
      </c>
      <c r="N37" s="29" t="str">
        <f t="shared" ref="N37:AQ37" si="20">IF(ISERR(AVERAGE(N32:N36))," ",AVERAGE(N32:N36))</f>
        <v xml:space="preserve"> </v>
      </c>
      <c r="O37" s="29" t="str">
        <f t="shared" si="20"/>
        <v xml:space="preserve"> </v>
      </c>
      <c r="P37" s="29" t="str">
        <f t="shared" si="20"/>
        <v xml:space="preserve"> </v>
      </c>
      <c r="Q37" s="29" t="str">
        <f t="shared" si="20"/>
        <v xml:space="preserve"> </v>
      </c>
      <c r="R37" s="29" t="str">
        <f t="shared" si="20"/>
        <v xml:space="preserve"> </v>
      </c>
      <c r="S37" s="29" t="str">
        <f t="shared" si="20"/>
        <v xml:space="preserve"> </v>
      </c>
      <c r="T37" s="29" t="str">
        <f t="shared" si="20"/>
        <v xml:space="preserve"> </v>
      </c>
      <c r="U37" s="29" t="str">
        <f t="shared" si="20"/>
        <v xml:space="preserve"> </v>
      </c>
      <c r="V37" s="29" t="str">
        <f t="shared" si="20"/>
        <v xml:space="preserve"> </v>
      </c>
      <c r="W37" s="29" t="str">
        <f t="shared" si="20"/>
        <v xml:space="preserve"> </v>
      </c>
      <c r="X37" s="29" t="str">
        <f t="shared" si="20"/>
        <v xml:space="preserve"> </v>
      </c>
      <c r="Y37" s="29" t="str">
        <f t="shared" ref="Y37:AI37" si="21">IF(ISERR(AVERAGE(Y32:Y36))," ",AVERAGE(Y32:Y36))</f>
        <v xml:space="preserve"> </v>
      </c>
      <c r="Z37" s="29" t="str">
        <f t="shared" si="21"/>
        <v xml:space="preserve"> </v>
      </c>
      <c r="AA37" s="29" t="str">
        <f t="shared" si="21"/>
        <v xml:space="preserve"> </v>
      </c>
      <c r="AB37" s="29" t="str">
        <f t="shared" si="21"/>
        <v xml:space="preserve"> </v>
      </c>
      <c r="AC37" s="29" t="str">
        <f t="shared" si="21"/>
        <v xml:space="preserve"> </v>
      </c>
      <c r="AD37" s="29" t="str">
        <f t="shared" si="21"/>
        <v xml:space="preserve"> </v>
      </c>
      <c r="AE37" s="29" t="str">
        <f t="shared" si="21"/>
        <v xml:space="preserve"> </v>
      </c>
      <c r="AF37" s="29" t="str">
        <f t="shared" si="21"/>
        <v xml:space="preserve"> </v>
      </c>
      <c r="AG37" s="29" t="str">
        <f t="shared" si="21"/>
        <v xml:space="preserve"> </v>
      </c>
      <c r="AH37" s="29" t="str">
        <f t="shared" si="21"/>
        <v xml:space="preserve"> </v>
      </c>
      <c r="AI37" s="29" t="str">
        <f t="shared" si="21"/>
        <v xml:space="preserve"> </v>
      </c>
      <c r="AJ37" s="29" t="str">
        <f t="shared" si="20"/>
        <v xml:space="preserve"> </v>
      </c>
      <c r="AK37" s="29" t="str">
        <f t="shared" si="20"/>
        <v xml:space="preserve"> </v>
      </c>
      <c r="AL37" s="29" t="str">
        <f t="shared" si="20"/>
        <v xml:space="preserve"> </v>
      </c>
      <c r="AM37" s="29" t="str">
        <f t="shared" si="20"/>
        <v xml:space="preserve"> </v>
      </c>
      <c r="AN37" s="29" t="str">
        <f t="shared" si="20"/>
        <v xml:space="preserve"> </v>
      </c>
      <c r="AO37" s="29" t="str">
        <f t="shared" si="20"/>
        <v xml:space="preserve"> </v>
      </c>
      <c r="AP37" s="29" t="str">
        <f t="shared" si="20"/>
        <v xml:space="preserve"> </v>
      </c>
      <c r="AQ37" s="57" t="str">
        <f t="shared" si="20"/>
        <v xml:space="preserve"> </v>
      </c>
      <c r="AR37" s="57"/>
      <c r="AS37" s="57"/>
      <c r="AT37" s="57"/>
      <c r="AU37" s="57"/>
      <c r="AV37" s="57"/>
      <c r="AW37" s="30" t="str">
        <f>IF(ISERR(AVERAGE(AW32:AW36))," ",AVERAGE(AW32:AW36))</f>
        <v xml:space="preserve"> </v>
      </c>
    </row>
    <row r="38" spans="3:49" s="36" customFormat="1" ht="23.1" customHeight="1" thickBot="1">
      <c r="C38" s="111"/>
      <c r="D38" s="32" t="s">
        <v>19</v>
      </c>
      <c r="E38" s="33">
        <f>MAX(E32:E36)-MIN(E32:E36)</f>
        <v>0</v>
      </c>
      <c r="F38" s="71">
        <f t="shared" ref="F38:AW38" si="22">MAX(F32:F36)-MIN(F32:F36)</f>
        <v>0</v>
      </c>
      <c r="G38" s="34">
        <f t="shared" si="22"/>
        <v>0</v>
      </c>
      <c r="H38" s="34">
        <f t="shared" si="22"/>
        <v>0</v>
      </c>
      <c r="I38" s="34">
        <f t="shared" si="22"/>
        <v>0</v>
      </c>
      <c r="J38" s="34">
        <f t="shared" si="22"/>
        <v>0</v>
      </c>
      <c r="K38" s="34">
        <f t="shared" si="22"/>
        <v>0</v>
      </c>
      <c r="L38" s="34">
        <f t="shared" si="22"/>
        <v>0</v>
      </c>
      <c r="M38" s="34">
        <f t="shared" ref="M38" si="23">MAX(M32:M36)-MIN(M32:M36)</f>
        <v>0</v>
      </c>
      <c r="N38" s="34">
        <f t="shared" si="22"/>
        <v>0</v>
      </c>
      <c r="O38" s="34">
        <f t="shared" si="22"/>
        <v>0</v>
      </c>
      <c r="P38" s="34">
        <f t="shared" si="22"/>
        <v>0</v>
      </c>
      <c r="Q38" s="34">
        <f t="shared" si="22"/>
        <v>0</v>
      </c>
      <c r="R38" s="34">
        <f t="shared" si="22"/>
        <v>0</v>
      </c>
      <c r="S38" s="34">
        <f t="shared" si="22"/>
        <v>0</v>
      </c>
      <c r="T38" s="34">
        <f t="shared" si="22"/>
        <v>0</v>
      </c>
      <c r="U38" s="34">
        <f t="shared" si="22"/>
        <v>0</v>
      </c>
      <c r="V38" s="34">
        <f t="shared" si="22"/>
        <v>0</v>
      </c>
      <c r="W38" s="34">
        <f t="shared" si="22"/>
        <v>0</v>
      </c>
      <c r="X38" s="34">
        <f t="shared" si="22"/>
        <v>0</v>
      </c>
      <c r="Y38" s="34">
        <f t="shared" ref="Y38:AI38" si="24">MAX(Y32:Y36)-MIN(Y32:Y36)</f>
        <v>0</v>
      </c>
      <c r="Z38" s="34">
        <f t="shared" si="24"/>
        <v>0</v>
      </c>
      <c r="AA38" s="34">
        <f t="shared" si="24"/>
        <v>0</v>
      </c>
      <c r="AB38" s="34">
        <f t="shared" si="24"/>
        <v>0</v>
      </c>
      <c r="AC38" s="34">
        <f t="shared" si="24"/>
        <v>0</v>
      </c>
      <c r="AD38" s="34">
        <f t="shared" si="24"/>
        <v>0</v>
      </c>
      <c r="AE38" s="34">
        <f t="shared" si="24"/>
        <v>0</v>
      </c>
      <c r="AF38" s="34">
        <f t="shared" si="24"/>
        <v>0</v>
      </c>
      <c r="AG38" s="34">
        <f t="shared" si="24"/>
        <v>0</v>
      </c>
      <c r="AH38" s="34">
        <f t="shared" si="24"/>
        <v>0</v>
      </c>
      <c r="AI38" s="34">
        <f t="shared" si="24"/>
        <v>0</v>
      </c>
      <c r="AJ38" s="34">
        <f t="shared" si="22"/>
        <v>0</v>
      </c>
      <c r="AK38" s="34">
        <f t="shared" si="22"/>
        <v>0</v>
      </c>
      <c r="AL38" s="34">
        <f t="shared" si="22"/>
        <v>0</v>
      </c>
      <c r="AM38" s="34">
        <f t="shared" si="22"/>
        <v>0</v>
      </c>
      <c r="AN38" s="34">
        <f t="shared" si="22"/>
        <v>0</v>
      </c>
      <c r="AO38" s="34">
        <f t="shared" si="22"/>
        <v>0</v>
      </c>
      <c r="AP38" s="34">
        <f t="shared" si="22"/>
        <v>0</v>
      </c>
      <c r="AQ38" s="58">
        <f t="shared" si="22"/>
        <v>0</v>
      </c>
      <c r="AR38" s="58">
        <f t="shared" si="22"/>
        <v>0</v>
      </c>
      <c r="AS38" s="58">
        <f t="shared" si="22"/>
        <v>0</v>
      </c>
      <c r="AT38" s="58">
        <f t="shared" si="22"/>
        <v>0</v>
      </c>
      <c r="AU38" s="58">
        <f t="shared" si="22"/>
        <v>0</v>
      </c>
      <c r="AV38" s="58">
        <f t="shared" si="22"/>
        <v>0</v>
      </c>
      <c r="AW38" s="35">
        <f t="shared" si="22"/>
        <v>0</v>
      </c>
    </row>
    <row r="39" spans="3:49" s="36" customFormat="1" ht="23.1" customHeight="1">
      <c r="C39" s="109" t="s">
        <v>41</v>
      </c>
      <c r="D39" s="26">
        <v>1</v>
      </c>
      <c r="E39" s="1"/>
      <c r="F39" s="68"/>
      <c r="G39" s="68"/>
      <c r="H39" s="2"/>
      <c r="I39" s="2"/>
      <c r="J39" s="2"/>
      <c r="K39" s="2"/>
      <c r="L39" s="2"/>
      <c r="M39" s="2"/>
      <c r="N39" s="2"/>
      <c r="O39" s="2"/>
      <c r="P39" s="2"/>
      <c r="Q39" s="2"/>
      <c r="R39" s="59"/>
      <c r="S39" s="59"/>
      <c r="T39" s="59"/>
      <c r="U39" s="59"/>
      <c r="V39" s="59"/>
      <c r="W39" s="59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55"/>
      <c r="AR39" s="55"/>
      <c r="AS39" s="55"/>
      <c r="AT39" s="55"/>
      <c r="AU39" s="55"/>
      <c r="AV39" s="55"/>
      <c r="AW39" s="3"/>
    </row>
    <row r="40" spans="3:49" s="36" customFormat="1" ht="23.1" customHeight="1">
      <c r="C40" s="110"/>
      <c r="D40" s="27">
        <v>2</v>
      </c>
      <c r="E40" s="4"/>
      <c r="F40" s="69"/>
      <c r="G40" s="69"/>
      <c r="H40" s="5"/>
      <c r="I40" s="5"/>
      <c r="J40" s="5"/>
      <c r="K40" s="5"/>
      <c r="L40" s="5"/>
      <c r="M40" s="5"/>
      <c r="N40" s="5"/>
      <c r="O40" s="5"/>
      <c r="P40" s="5"/>
      <c r="Q40" s="5"/>
      <c r="R40" s="60"/>
      <c r="S40" s="60"/>
      <c r="T40" s="60"/>
      <c r="U40" s="60"/>
      <c r="V40" s="60"/>
      <c r="W40" s="60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6"/>
      <c r="AR40" s="56"/>
      <c r="AS40" s="56"/>
      <c r="AT40" s="56"/>
      <c r="AU40" s="56"/>
      <c r="AV40" s="56"/>
      <c r="AW40" s="6"/>
    </row>
    <row r="41" spans="3:49" s="36" customFormat="1" ht="23.1" customHeight="1">
      <c r="C41" s="110"/>
      <c r="D41" s="27">
        <v>3</v>
      </c>
      <c r="E41" s="4"/>
      <c r="F41" s="69"/>
      <c r="G41" s="69"/>
      <c r="H41" s="5"/>
      <c r="I41" s="5"/>
      <c r="J41" s="5"/>
      <c r="K41" s="5"/>
      <c r="L41" s="5"/>
      <c r="M41" s="5"/>
      <c r="N41" s="5"/>
      <c r="O41" s="5"/>
      <c r="P41" s="5"/>
      <c r="Q41" s="5"/>
      <c r="R41" s="60"/>
      <c r="S41" s="60"/>
      <c r="T41" s="60"/>
      <c r="U41" s="60"/>
      <c r="V41" s="60"/>
      <c r="W41" s="60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6"/>
      <c r="AR41" s="56"/>
      <c r="AS41" s="56"/>
      <c r="AT41" s="56"/>
      <c r="AU41" s="56"/>
      <c r="AV41" s="56"/>
      <c r="AW41" s="6"/>
    </row>
    <row r="42" spans="3:49" s="36" customFormat="1" ht="23.1" customHeight="1">
      <c r="C42" s="110"/>
      <c r="D42" s="27">
        <v>4</v>
      </c>
      <c r="E42" s="4"/>
      <c r="F42" s="69"/>
      <c r="G42" s="69"/>
      <c r="H42" s="5"/>
      <c r="I42" s="5"/>
      <c r="J42" s="5"/>
      <c r="K42" s="5"/>
      <c r="L42" s="5"/>
      <c r="M42" s="5"/>
      <c r="N42" s="5"/>
      <c r="O42" s="5"/>
      <c r="P42" s="5"/>
      <c r="Q42" s="5"/>
      <c r="R42" s="60"/>
      <c r="S42" s="60"/>
      <c r="T42" s="60"/>
      <c r="U42" s="60"/>
      <c r="V42" s="60"/>
      <c r="W42" s="60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6"/>
      <c r="AR42" s="56"/>
      <c r="AS42" s="56"/>
      <c r="AT42" s="56"/>
      <c r="AU42" s="56"/>
      <c r="AV42" s="56"/>
      <c r="AW42" s="6"/>
    </row>
    <row r="43" spans="3:49" s="36" customFormat="1" ht="23.1" customHeight="1">
      <c r="C43" s="110"/>
      <c r="D43" s="31">
        <v>5</v>
      </c>
      <c r="E43" s="4"/>
      <c r="F43" s="69"/>
      <c r="G43" s="69"/>
      <c r="H43" s="5"/>
      <c r="I43" s="5"/>
      <c r="J43" s="5"/>
      <c r="K43" s="5"/>
      <c r="L43" s="5"/>
      <c r="M43" s="5"/>
      <c r="N43" s="5"/>
      <c r="O43" s="5"/>
      <c r="P43" s="5"/>
      <c r="Q43" s="5"/>
      <c r="R43" s="60"/>
      <c r="S43" s="60"/>
      <c r="T43" s="60"/>
      <c r="U43" s="60"/>
      <c r="V43" s="60"/>
      <c r="W43" s="60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6"/>
      <c r="AR43" s="56"/>
      <c r="AS43" s="56"/>
      <c r="AT43" s="56"/>
      <c r="AU43" s="56"/>
      <c r="AV43" s="56"/>
      <c r="AW43" s="6"/>
    </row>
    <row r="44" spans="3:49" s="36" customFormat="1" ht="23.1" customHeight="1">
      <c r="C44" s="110"/>
      <c r="D44" s="31" t="s">
        <v>18</v>
      </c>
      <c r="E44" s="28" t="str">
        <f t="shared" ref="E44:J44" si="25">IF(ISERR(AVERAGE(E39:E43))," ",AVERAGE(E39:E43))</f>
        <v xml:space="preserve"> </v>
      </c>
      <c r="F44" s="29" t="str">
        <f t="shared" si="25"/>
        <v xml:space="preserve"> </v>
      </c>
      <c r="G44" s="29" t="str">
        <f t="shared" si="25"/>
        <v xml:space="preserve"> </v>
      </c>
      <c r="H44" s="29" t="str">
        <f t="shared" si="25"/>
        <v xml:space="preserve"> </v>
      </c>
      <c r="I44" s="29" t="str">
        <f t="shared" si="25"/>
        <v xml:space="preserve"> </v>
      </c>
      <c r="J44" s="29" t="str">
        <f t="shared" si="25"/>
        <v xml:space="preserve"> </v>
      </c>
      <c r="K44" s="29" t="str">
        <f>IF(ISERR(AVERAGE(K39:K43))," ",AVERAGE(K39:K43))</f>
        <v xml:space="preserve"> </v>
      </c>
      <c r="L44" s="29" t="str">
        <f>IF(ISERR(AVERAGE(L39:L43))," ",AVERAGE(L39:L43))</f>
        <v xml:space="preserve"> </v>
      </c>
      <c r="M44" s="29" t="str">
        <f>IF(ISERR(AVERAGE(M39:M43))," ",AVERAGE(M39:M43))</f>
        <v xml:space="preserve"> </v>
      </c>
      <c r="N44" s="29" t="str">
        <f t="shared" ref="N44:AQ44" si="26">IF(ISERR(AVERAGE(N39:N43))," ",AVERAGE(N39:N43))</f>
        <v xml:space="preserve"> </v>
      </c>
      <c r="O44" s="29" t="str">
        <f t="shared" si="26"/>
        <v xml:space="preserve"> </v>
      </c>
      <c r="P44" s="29" t="str">
        <f t="shared" si="26"/>
        <v xml:space="preserve"> </v>
      </c>
      <c r="Q44" s="29" t="str">
        <f t="shared" si="26"/>
        <v xml:space="preserve"> </v>
      </c>
      <c r="R44" s="29" t="str">
        <f t="shared" si="26"/>
        <v xml:space="preserve"> </v>
      </c>
      <c r="S44" s="29" t="str">
        <f t="shared" si="26"/>
        <v xml:space="preserve"> </v>
      </c>
      <c r="T44" s="29" t="str">
        <f t="shared" si="26"/>
        <v xml:space="preserve"> </v>
      </c>
      <c r="U44" s="29" t="str">
        <f t="shared" si="26"/>
        <v xml:space="preserve"> </v>
      </c>
      <c r="V44" s="29" t="str">
        <f t="shared" si="26"/>
        <v xml:space="preserve"> </v>
      </c>
      <c r="W44" s="29" t="str">
        <f t="shared" si="26"/>
        <v xml:space="preserve"> </v>
      </c>
      <c r="X44" s="29" t="str">
        <f t="shared" si="26"/>
        <v xml:space="preserve"> </v>
      </c>
      <c r="Y44" s="29" t="str">
        <f t="shared" ref="Y44:AI44" si="27">IF(ISERR(AVERAGE(Y39:Y43))," ",AVERAGE(Y39:Y43))</f>
        <v xml:space="preserve"> </v>
      </c>
      <c r="Z44" s="29" t="str">
        <f t="shared" si="27"/>
        <v xml:space="preserve"> </v>
      </c>
      <c r="AA44" s="29" t="str">
        <f t="shared" si="27"/>
        <v xml:space="preserve"> </v>
      </c>
      <c r="AB44" s="29" t="str">
        <f t="shared" si="27"/>
        <v xml:space="preserve"> </v>
      </c>
      <c r="AC44" s="29" t="str">
        <f t="shared" si="27"/>
        <v xml:space="preserve"> </v>
      </c>
      <c r="AD44" s="29" t="str">
        <f t="shared" si="27"/>
        <v xml:space="preserve"> </v>
      </c>
      <c r="AE44" s="29" t="str">
        <f t="shared" si="27"/>
        <v xml:space="preserve"> </v>
      </c>
      <c r="AF44" s="29" t="str">
        <f t="shared" si="27"/>
        <v xml:space="preserve"> </v>
      </c>
      <c r="AG44" s="29" t="str">
        <f t="shared" si="27"/>
        <v xml:space="preserve"> </v>
      </c>
      <c r="AH44" s="29" t="str">
        <f t="shared" si="27"/>
        <v xml:space="preserve"> </v>
      </c>
      <c r="AI44" s="29" t="str">
        <f t="shared" si="27"/>
        <v xml:space="preserve"> </v>
      </c>
      <c r="AJ44" s="29" t="str">
        <f t="shared" si="26"/>
        <v xml:space="preserve"> </v>
      </c>
      <c r="AK44" s="29" t="str">
        <f t="shared" si="26"/>
        <v xml:space="preserve"> </v>
      </c>
      <c r="AL44" s="29" t="str">
        <f t="shared" si="26"/>
        <v xml:space="preserve"> </v>
      </c>
      <c r="AM44" s="29" t="str">
        <f t="shared" si="26"/>
        <v xml:space="preserve"> </v>
      </c>
      <c r="AN44" s="29" t="str">
        <f t="shared" si="26"/>
        <v xml:space="preserve"> </v>
      </c>
      <c r="AO44" s="29" t="str">
        <f t="shared" si="26"/>
        <v xml:space="preserve"> </v>
      </c>
      <c r="AP44" s="29" t="str">
        <f t="shared" si="26"/>
        <v xml:space="preserve"> </v>
      </c>
      <c r="AQ44" s="57" t="str">
        <f t="shared" si="26"/>
        <v xml:space="preserve"> </v>
      </c>
      <c r="AR44" s="57"/>
      <c r="AS44" s="57"/>
      <c r="AT44" s="57"/>
      <c r="AU44" s="57"/>
      <c r="AV44" s="57"/>
      <c r="AW44" s="30" t="str">
        <f>IF(ISERR(AVERAGE(AW39:AW43))," ",AVERAGE(AW39:AW43))</f>
        <v xml:space="preserve"> </v>
      </c>
    </row>
    <row r="45" spans="3:49" s="36" customFormat="1" ht="23.1" customHeight="1" thickBot="1">
      <c r="C45" s="111"/>
      <c r="D45" s="32" t="s">
        <v>19</v>
      </c>
      <c r="E45" s="33">
        <f>MAX(E39:E43)-MIN(E39:E43)</f>
        <v>0</v>
      </c>
      <c r="F45" s="71">
        <f t="shared" ref="F45:AW45" si="28">MAX(F39:F43)-MIN(F39:F43)</f>
        <v>0</v>
      </c>
      <c r="G45" s="34">
        <f t="shared" si="28"/>
        <v>0</v>
      </c>
      <c r="H45" s="34">
        <f t="shared" si="28"/>
        <v>0</v>
      </c>
      <c r="I45" s="34">
        <f t="shared" si="28"/>
        <v>0</v>
      </c>
      <c r="J45" s="34">
        <f t="shared" si="28"/>
        <v>0</v>
      </c>
      <c r="K45" s="34">
        <f t="shared" si="28"/>
        <v>0</v>
      </c>
      <c r="L45" s="34">
        <f t="shared" si="28"/>
        <v>0</v>
      </c>
      <c r="M45" s="34">
        <f t="shared" ref="M45" si="29">MAX(M39:M43)-MIN(M39:M43)</f>
        <v>0</v>
      </c>
      <c r="N45" s="34">
        <f t="shared" si="28"/>
        <v>0</v>
      </c>
      <c r="O45" s="34">
        <f t="shared" si="28"/>
        <v>0</v>
      </c>
      <c r="P45" s="34">
        <f t="shared" si="28"/>
        <v>0</v>
      </c>
      <c r="Q45" s="34">
        <f t="shared" si="28"/>
        <v>0</v>
      </c>
      <c r="R45" s="34">
        <f t="shared" si="28"/>
        <v>0</v>
      </c>
      <c r="S45" s="34">
        <f t="shared" si="28"/>
        <v>0</v>
      </c>
      <c r="T45" s="34">
        <f t="shared" si="28"/>
        <v>0</v>
      </c>
      <c r="U45" s="34">
        <f t="shared" si="28"/>
        <v>0</v>
      </c>
      <c r="V45" s="34">
        <f t="shared" si="28"/>
        <v>0</v>
      </c>
      <c r="W45" s="34">
        <f t="shared" si="28"/>
        <v>0</v>
      </c>
      <c r="X45" s="34">
        <f t="shared" si="28"/>
        <v>0</v>
      </c>
      <c r="Y45" s="34">
        <f t="shared" ref="Y45:AI45" si="30">MAX(Y39:Y43)-MIN(Y39:Y43)</f>
        <v>0</v>
      </c>
      <c r="Z45" s="34">
        <f t="shared" si="30"/>
        <v>0</v>
      </c>
      <c r="AA45" s="34">
        <f t="shared" si="30"/>
        <v>0</v>
      </c>
      <c r="AB45" s="34">
        <f t="shared" si="30"/>
        <v>0</v>
      </c>
      <c r="AC45" s="34">
        <f t="shared" si="30"/>
        <v>0</v>
      </c>
      <c r="AD45" s="34">
        <f t="shared" si="30"/>
        <v>0</v>
      </c>
      <c r="AE45" s="34">
        <f t="shared" si="30"/>
        <v>0</v>
      </c>
      <c r="AF45" s="34">
        <f t="shared" si="30"/>
        <v>0</v>
      </c>
      <c r="AG45" s="34">
        <f t="shared" si="30"/>
        <v>0</v>
      </c>
      <c r="AH45" s="34">
        <f t="shared" si="30"/>
        <v>0</v>
      </c>
      <c r="AI45" s="34">
        <f t="shared" si="30"/>
        <v>0</v>
      </c>
      <c r="AJ45" s="34">
        <f t="shared" si="28"/>
        <v>0</v>
      </c>
      <c r="AK45" s="34">
        <f t="shared" si="28"/>
        <v>0</v>
      </c>
      <c r="AL45" s="34">
        <f t="shared" si="28"/>
        <v>0</v>
      </c>
      <c r="AM45" s="34">
        <f t="shared" si="28"/>
        <v>0</v>
      </c>
      <c r="AN45" s="34">
        <f t="shared" si="28"/>
        <v>0</v>
      </c>
      <c r="AO45" s="34">
        <f t="shared" si="28"/>
        <v>0</v>
      </c>
      <c r="AP45" s="34">
        <f t="shared" si="28"/>
        <v>0</v>
      </c>
      <c r="AQ45" s="58">
        <f t="shared" si="28"/>
        <v>0</v>
      </c>
      <c r="AR45" s="58">
        <f t="shared" si="28"/>
        <v>0</v>
      </c>
      <c r="AS45" s="58">
        <f t="shared" si="28"/>
        <v>0</v>
      </c>
      <c r="AT45" s="58">
        <f t="shared" si="28"/>
        <v>0</v>
      </c>
      <c r="AU45" s="58">
        <f t="shared" si="28"/>
        <v>0</v>
      </c>
      <c r="AV45" s="58">
        <f t="shared" si="28"/>
        <v>0</v>
      </c>
      <c r="AW45" s="35">
        <f t="shared" si="28"/>
        <v>0</v>
      </c>
    </row>
    <row r="46" spans="3:49" s="36" customFormat="1" ht="23.1" customHeight="1">
      <c r="C46" s="112" t="s">
        <v>23</v>
      </c>
      <c r="D46" s="113"/>
      <c r="E46" s="98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  <c r="AG46" s="99"/>
      <c r="AH46" s="99"/>
      <c r="AI46" s="99"/>
      <c r="AJ46" s="99"/>
      <c r="AK46" s="99"/>
      <c r="AL46" s="99"/>
      <c r="AM46" s="99"/>
      <c r="AN46" s="99"/>
      <c r="AO46" s="99"/>
      <c r="AP46" s="99"/>
      <c r="AQ46" s="100"/>
      <c r="AR46" s="100"/>
      <c r="AS46" s="100"/>
      <c r="AT46" s="100"/>
      <c r="AU46" s="100"/>
      <c r="AV46" s="100"/>
      <c r="AW46" s="101"/>
    </row>
    <row r="47" spans="3:49" s="36" customFormat="1" ht="23.1" customHeight="1" thickBot="1">
      <c r="C47" s="114" t="s">
        <v>52</v>
      </c>
      <c r="D47" s="115"/>
      <c r="E47" s="94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95"/>
      <c r="AF47" s="95"/>
      <c r="AG47" s="95"/>
      <c r="AH47" s="95"/>
      <c r="AI47" s="95"/>
      <c r="AJ47" s="95"/>
      <c r="AK47" s="95"/>
      <c r="AL47" s="95"/>
      <c r="AM47" s="95"/>
      <c r="AN47" s="95"/>
      <c r="AO47" s="95"/>
      <c r="AP47" s="95"/>
      <c r="AQ47" s="96"/>
      <c r="AR47" s="96"/>
      <c r="AS47" s="96"/>
      <c r="AT47" s="96"/>
      <c r="AU47" s="96"/>
      <c r="AV47" s="96"/>
      <c r="AW47" s="97"/>
    </row>
    <row r="48" spans="3:49" s="36" customFormat="1" ht="23.1" customHeight="1">
      <c r="C48" s="37" t="s">
        <v>24</v>
      </c>
      <c r="D48" s="38"/>
      <c r="E48" s="39"/>
      <c r="F48" s="39"/>
      <c r="G48" s="39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40"/>
    </row>
    <row r="49" spans="3:49" s="36" customFormat="1" ht="23.1" customHeight="1" thickBot="1">
      <c r="C49" s="43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5"/>
    </row>
    <row r="50" spans="3:49" s="36" customFormat="1" ht="23.1" customHeight="1">
      <c r="C50" s="109" t="s">
        <v>34</v>
      </c>
      <c r="D50" s="26">
        <v>1</v>
      </c>
      <c r="E50" s="1">
        <v>2.92</v>
      </c>
      <c r="F50" s="68">
        <v>2.86</v>
      </c>
      <c r="G50" s="68">
        <v>2.89</v>
      </c>
      <c r="H50" s="68"/>
      <c r="I50" s="2"/>
      <c r="J50" s="2"/>
      <c r="K50" s="2"/>
      <c r="L50" s="2"/>
      <c r="M50" s="2"/>
      <c r="N50" s="2"/>
      <c r="O50" s="2"/>
      <c r="P50" s="2"/>
      <c r="Q50" s="2"/>
      <c r="R50" s="59"/>
      <c r="S50" s="59"/>
      <c r="T50" s="59"/>
      <c r="U50" s="59"/>
      <c r="V50" s="59"/>
      <c r="W50" s="59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55"/>
      <c r="AR50" s="55"/>
      <c r="AS50" s="55"/>
      <c r="AT50" s="55"/>
      <c r="AU50" s="55"/>
      <c r="AV50" s="55"/>
      <c r="AW50" s="3"/>
    </row>
    <row r="51" spans="3:49" s="36" customFormat="1" ht="23.1" customHeight="1">
      <c r="C51" s="110"/>
      <c r="D51" s="27">
        <v>2</v>
      </c>
      <c r="E51" s="4">
        <v>2.85</v>
      </c>
      <c r="F51" s="69">
        <v>2.85</v>
      </c>
      <c r="G51" s="69">
        <v>2.85</v>
      </c>
      <c r="H51" s="69"/>
      <c r="I51" s="5"/>
      <c r="J51" s="5"/>
      <c r="K51" s="5"/>
      <c r="L51" s="5"/>
      <c r="M51" s="5"/>
      <c r="N51" s="5"/>
      <c r="O51" s="5"/>
      <c r="P51" s="5"/>
      <c r="Q51" s="5"/>
      <c r="R51" s="60"/>
      <c r="S51" s="60"/>
      <c r="T51" s="60"/>
      <c r="U51" s="60"/>
      <c r="V51" s="60"/>
      <c r="W51" s="60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6"/>
      <c r="AR51" s="56"/>
      <c r="AS51" s="56"/>
      <c r="AT51" s="56"/>
      <c r="AU51" s="56"/>
      <c r="AV51" s="56"/>
      <c r="AW51" s="6"/>
    </row>
    <row r="52" spans="3:49" s="36" customFormat="1" ht="23.1" customHeight="1">
      <c r="C52" s="110"/>
      <c r="D52" s="27">
        <v>3</v>
      </c>
      <c r="E52" s="4">
        <v>2.88</v>
      </c>
      <c r="F52" s="69">
        <v>2.92</v>
      </c>
      <c r="G52" s="69">
        <v>2.92</v>
      </c>
      <c r="H52" s="69"/>
      <c r="I52" s="5"/>
      <c r="J52" s="5"/>
      <c r="K52" s="5"/>
      <c r="L52" s="5"/>
      <c r="M52" s="5"/>
      <c r="N52" s="5"/>
      <c r="O52" s="5"/>
      <c r="P52" s="5"/>
      <c r="Q52" s="5"/>
      <c r="R52" s="60"/>
      <c r="S52" s="60"/>
      <c r="T52" s="60"/>
      <c r="U52" s="60"/>
      <c r="V52" s="60"/>
      <c r="W52" s="60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6"/>
      <c r="AR52" s="56"/>
      <c r="AS52" s="56"/>
      <c r="AT52" s="56"/>
      <c r="AU52" s="56"/>
      <c r="AV52" s="56"/>
      <c r="AW52" s="6"/>
    </row>
    <row r="53" spans="3:49" s="36" customFormat="1" ht="23.1" customHeight="1">
      <c r="C53" s="110"/>
      <c r="D53" s="27">
        <v>4</v>
      </c>
      <c r="E53" s="4">
        <v>2.91</v>
      </c>
      <c r="F53" s="69">
        <v>2.85</v>
      </c>
      <c r="G53" s="69">
        <v>2.87</v>
      </c>
      <c r="H53" s="69"/>
      <c r="I53" s="5"/>
      <c r="J53" s="5"/>
      <c r="K53" s="5"/>
      <c r="L53" s="5"/>
      <c r="M53" s="5"/>
      <c r="N53" s="5"/>
      <c r="O53" s="5"/>
      <c r="P53" s="5"/>
      <c r="Q53" s="5"/>
      <c r="R53" s="60"/>
      <c r="S53" s="60"/>
      <c r="T53" s="60"/>
      <c r="U53" s="60"/>
      <c r="V53" s="60"/>
      <c r="W53" s="60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6"/>
      <c r="AR53" s="56"/>
      <c r="AS53" s="56"/>
      <c r="AT53" s="56"/>
      <c r="AU53" s="56"/>
      <c r="AV53" s="56"/>
      <c r="AW53" s="6"/>
    </row>
    <row r="54" spans="3:49" s="36" customFormat="1" ht="23.1" customHeight="1">
      <c r="C54" s="110"/>
      <c r="D54" s="31">
        <v>5</v>
      </c>
      <c r="E54" s="4">
        <v>2.86</v>
      </c>
      <c r="F54" s="69">
        <v>2.87</v>
      </c>
      <c r="G54" s="69">
        <v>2.91</v>
      </c>
      <c r="H54" s="69"/>
      <c r="I54" s="5"/>
      <c r="J54" s="5"/>
      <c r="K54" s="5"/>
      <c r="L54" s="5"/>
      <c r="M54" s="5"/>
      <c r="N54" s="5"/>
      <c r="O54" s="5"/>
      <c r="P54" s="5"/>
      <c r="Q54" s="5"/>
      <c r="R54" s="60"/>
      <c r="S54" s="60"/>
      <c r="T54" s="60"/>
      <c r="U54" s="60"/>
      <c r="V54" s="60"/>
      <c r="W54" s="60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6"/>
      <c r="AR54" s="56"/>
      <c r="AS54" s="56"/>
      <c r="AT54" s="56"/>
      <c r="AU54" s="56"/>
      <c r="AV54" s="56"/>
      <c r="AW54" s="6"/>
    </row>
    <row r="55" spans="3:49" s="36" customFormat="1" ht="23.1" customHeight="1">
      <c r="C55" s="110"/>
      <c r="D55" s="31" t="s">
        <v>18</v>
      </c>
      <c r="E55" s="28">
        <f t="shared" ref="E55:AQ55" si="31">IF(ISERR(AVERAGE(E50:E54))," ",AVERAGE(E50:E54))</f>
        <v>2.8839999999999995</v>
      </c>
      <c r="F55" s="70">
        <f t="shared" si="31"/>
        <v>2.8699999999999997</v>
      </c>
      <c r="G55" s="29">
        <f t="shared" si="31"/>
        <v>2.8880000000000003</v>
      </c>
      <c r="H55" s="29" t="str">
        <f t="shared" si="31"/>
        <v xml:space="preserve"> </v>
      </c>
      <c r="I55" s="29" t="str">
        <f t="shared" si="31"/>
        <v xml:space="preserve"> </v>
      </c>
      <c r="J55" s="29" t="str">
        <f t="shared" si="31"/>
        <v xml:space="preserve"> </v>
      </c>
      <c r="K55" s="29" t="str">
        <f t="shared" si="31"/>
        <v xml:space="preserve"> </v>
      </c>
      <c r="L55" s="29" t="str">
        <f t="shared" si="31"/>
        <v xml:space="preserve"> </v>
      </c>
      <c r="M55" s="29" t="str">
        <f t="shared" si="31"/>
        <v xml:space="preserve"> </v>
      </c>
      <c r="N55" s="29" t="str">
        <f t="shared" si="31"/>
        <v xml:space="preserve"> </v>
      </c>
      <c r="O55" s="29" t="str">
        <f t="shared" si="31"/>
        <v xml:space="preserve"> </v>
      </c>
      <c r="P55" s="29" t="str">
        <f t="shared" si="31"/>
        <v xml:space="preserve"> </v>
      </c>
      <c r="Q55" s="29" t="str">
        <f t="shared" si="31"/>
        <v xml:space="preserve"> </v>
      </c>
      <c r="R55" s="29" t="str">
        <f t="shared" si="31"/>
        <v xml:space="preserve"> </v>
      </c>
      <c r="S55" s="29" t="str">
        <f t="shared" si="31"/>
        <v xml:space="preserve"> </v>
      </c>
      <c r="T55" s="29" t="str">
        <f t="shared" si="31"/>
        <v xml:space="preserve"> </v>
      </c>
      <c r="U55" s="29" t="str">
        <f t="shared" si="31"/>
        <v xml:space="preserve"> </v>
      </c>
      <c r="V55" s="29" t="str">
        <f t="shared" si="31"/>
        <v xml:space="preserve"> </v>
      </c>
      <c r="W55" s="29" t="str">
        <f t="shared" si="31"/>
        <v xml:space="preserve"> </v>
      </c>
      <c r="X55" s="29" t="str">
        <f t="shared" si="31"/>
        <v xml:space="preserve"> </v>
      </c>
      <c r="Y55" s="29" t="str">
        <f t="shared" si="31"/>
        <v xml:space="preserve"> </v>
      </c>
      <c r="Z55" s="29" t="str">
        <f t="shared" si="31"/>
        <v xml:space="preserve"> </v>
      </c>
      <c r="AA55" s="29" t="str">
        <f t="shared" si="31"/>
        <v xml:space="preserve"> </v>
      </c>
      <c r="AB55" s="29" t="str">
        <f t="shared" si="31"/>
        <v xml:space="preserve"> </v>
      </c>
      <c r="AC55" s="29" t="str">
        <f t="shared" si="31"/>
        <v xml:space="preserve"> </v>
      </c>
      <c r="AD55" s="29" t="str">
        <f t="shared" si="31"/>
        <v xml:space="preserve"> </v>
      </c>
      <c r="AE55" s="29" t="str">
        <f t="shared" si="31"/>
        <v xml:space="preserve"> </v>
      </c>
      <c r="AF55" s="29" t="str">
        <f t="shared" si="31"/>
        <v xml:space="preserve"> </v>
      </c>
      <c r="AG55" s="29" t="str">
        <f t="shared" si="31"/>
        <v xml:space="preserve"> </v>
      </c>
      <c r="AH55" s="29" t="str">
        <f t="shared" si="31"/>
        <v xml:space="preserve"> </v>
      </c>
      <c r="AI55" s="29" t="str">
        <f t="shared" si="31"/>
        <v xml:space="preserve"> </v>
      </c>
      <c r="AJ55" s="29" t="str">
        <f t="shared" si="31"/>
        <v xml:space="preserve"> </v>
      </c>
      <c r="AK55" s="29" t="str">
        <f t="shared" si="31"/>
        <v xml:space="preserve"> </v>
      </c>
      <c r="AL55" s="29" t="str">
        <f t="shared" si="31"/>
        <v xml:space="preserve"> </v>
      </c>
      <c r="AM55" s="29" t="str">
        <f t="shared" si="31"/>
        <v xml:space="preserve"> </v>
      </c>
      <c r="AN55" s="29" t="str">
        <f t="shared" si="31"/>
        <v xml:space="preserve"> </v>
      </c>
      <c r="AO55" s="29" t="str">
        <f t="shared" si="31"/>
        <v xml:space="preserve"> </v>
      </c>
      <c r="AP55" s="29" t="str">
        <f t="shared" si="31"/>
        <v xml:space="preserve"> </v>
      </c>
      <c r="AQ55" s="29" t="str">
        <f t="shared" si="31"/>
        <v xml:space="preserve"> </v>
      </c>
      <c r="AR55" s="29" t="str">
        <f t="shared" ref="AR55:AW55" si="32">IF(ISERR(AVERAGE(AR50:AR54))," ",AVERAGE(AR50:AR54))</f>
        <v xml:space="preserve"> </v>
      </c>
      <c r="AS55" s="29" t="str">
        <f t="shared" si="32"/>
        <v xml:space="preserve"> </v>
      </c>
      <c r="AT55" s="29" t="str">
        <f t="shared" si="32"/>
        <v xml:space="preserve"> </v>
      </c>
      <c r="AU55" s="29" t="str">
        <f t="shared" si="32"/>
        <v xml:space="preserve"> </v>
      </c>
      <c r="AV55" s="29" t="str">
        <f t="shared" si="32"/>
        <v xml:space="preserve"> </v>
      </c>
      <c r="AW55" s="30" t="str">
        <f t="shared" si="32"/>
        <v xml:space="preserve"> </v>
      </c>
    </row>
    <row r="56" spans="3:49" s="36" customFormat="1" ht="23.1" customHeight="1" thickBot="1">
      <c r="C56" s="111"/>
      <c r="D56" s="32" t="s">
        <v>19</v>
      </c>
      <c r="E56" s="33">
        <f>MAX(E50:E54)-MIN(E50:E54)</f>
        <v>6.999999999999984E-2</v>
      </c>
      <c r="F56" s="71">
        <f t="shared" ref="F56:AW56" si="33">MAX(F50:F54)-MIN(F50:F54)</f>
        <v>6.999999999999984E-2</v>
      </c>
      <c r="G56" s="34">
        <f t="shared" si="33"/>
        <v>6.999999999999984E-2</v>
      </c>
      <c r="H56" s="34">
        <f t="shared" si="33"/>
        <v>0</v>
      </c>
      <c r="I56" s="34">
        <f t="shared" si="33"/>
        <v>0</v>
      </c>
      <c r="J56" s="34">
        <f t="shared" si="33"/>
        <v>0</v>
      </c>
      <c r="K56" s="34">
        <f t="shared" si="33"/>
        <v>0</v>
      </c>
      <c r="L56" s="34">
        <f t="shared" si="33"/>
        <v>0</v>
      </c>
      <c r="M56" s="34">
        <f t="shared" si="33"/>
        <v>0</v>
      </c>
      <c r="N56" s="34">
        <f t="shared" si="33"/>
        <v>0</v>
      </c>
      <c r="O56" s="34">
        <f t="shared" si="33"/>
        <v>0</v>
      </c>
      <c r="P56" s="34">
        <f t="shared" si="33"/>
        <v>0</v>
      </c>
      <c r="Q56" s="34">
        <f t="shared" si="33"/>
        <v>0</v>
      </c>
      <c r="R56" s="34">
        <f t="shared" si="33"/>
        <v>0</v>
      </c>
      <c r="S56" s="34">
        <f t="shared" si="33"/>
        <v>0</v>
      </c>
      <c r="T56" s="34">
        <f t="shared" si="33"/>
        <v>0</v>
      </c>
      <c r="U56" s="34">
        <f t="shared" si="33"/>
        <v>0</v>
      </c>
      <c r="V56" s="34">
        <f t="shared" si="33"/>
        <v>0</v>
      </c>
      <c r="W56" s="34">
        <f t="shared" si="33"/>
        <v>0</v>
      </c>
      <c r="X56" s="34">
        <f t="shared" si="33"/>
        <v>0</v>
      </c>
      <c r="Y56" s="34">
        <f t="shared" si="33"/>
        <v>0</v>
      </c>
      <c r="Z56" s="34">
        <f t="shared" si="33"/>
        <v>0</v>
      </c>
      <c r="AA56" s="34">
        <f t="shared" si="33"/>
        <v>0</v>
      </c>
      <c r="AB56" s="34">
        <f t="shared" si="33"/>
        <v>0</v>
      </c>
      <c r="AC56" s="34">
        <f t="shared" si="33"/>
        <v>0</v>
      </c>
      <c r="AD56" s="34">
        <f t="shared" si="33"/>
        <v>0</v>
      </c>
      <c r="AE56" s="34">
        <f t="shared" si="33"/>
        <v>0</v>
      </c>
      <c r="AF56" s="34">
        <f t="shared" si="33"/>
        <v>0</v>
      </c>
      <c r="AG56" s="34">
        <f t="shared" si="33"/>
        <v>0</v>
      </c>
      <c r="AH56" s="34">
        <f t="shared" si="33"/>
        <v>0</v>
      </c>
      <c r="AI56" s="34">
        <f t="shared" si="33"/>
        <v>0</v>
      </c>
      <c r="AJ56" s="34">
        <f t="shared" si="33"/>
        <v>0</v>
      </c>
      <c r="AK56" s="34">
        <f t="shared" si="33"/>
        <v>0</v>
      </c>
      <c r="AL56" s="34">
        <f t="shared" si="33"/>
        <v>0</v>
      </c>
      <c r="AM56" s="34">
        <f t="shared" si="33"/>
        <v>0</v>
      </c>
      <c r="AN56" s="34">
        <f t="shared" si="33"/>
        <v>0</v>
      </c>
      <c r="AO56" s="34">
        <f t="shared" si="33"/>
        <v>0</v>
      </c>
      <c r="AP56" s="34">
        <f t="shared" si="33"/>
        <v>0</v>
      </c>
      <c r="AQ56" s="34">
        <f t="shared" si="33"/>
        <v>0</v>
      </c>
      <c r="AR56" s="34">
        <f t="shared" si="33"/>
        <v>0</v>
      </c>
      <c r="AS56" s="34">
        <f t="shared" si="33"/>
        <v>0</v>
      </c>
      <c r="AT56" s="34">
        <f t="shared" si="33"/>
        <v>0</v>
      </c>
      <c r="AU56" s="34">
        <f t="shared" si="33"/>
        <v>0</v>
      </c>
      <c r="AV56" s="34">
        <f t="shared" si="33"/>
        <v>0</v>
      </c>
      <c r="AW56" s="35">
        <f t="shared" si="33"/>
        <v>0</v>
      </c>
    </row>
    <row r="57" spans="3:49" s="36" customFormat="1" ht="23.1" customHeight="1">
      <c r="C57" s="109" t="s">
        <v>25</v>
      </c>
      <c r="D57" s="26">
        <v>1</v>
      </c>
      <c r="E57" s="1"/>
      <c r="F57" s="68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59"/>
      <c r="S57" s="59"/>
      <c r="T57" s="59"/>
      <c r="U57" s="59"/>
      <c r="V57" s="59"/>
      <c r="W57" s="59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55"/>
      <c r="AR57" s="55"/>
      <c r="AS57" s="55"/>
      <c r="AT57" s="55"/>
      <c r="AU57" s="55"/>
      <c r="AV57" s="55"/>
      <c r="AW57" s="3"/>
    </row>
    <row r="58" spans="3:49" s="36" customFormat="1" ht="23.1" customHeight="1">
      <c r="C58" s="110"/>
      <c r="D58" s="27">
        <v>2</v>
      </c>
      <c r="E58" s="4"/>
      <c r="F58" s="69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60"/>
      <c r="S58" s="60"/>
      <c r="T58" s="60"/>
      <c r="U58" s="60"/>
      <c r="V58" s="60"/>
      <c r="W58" s="60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6"/>
      <c r="AR58" s="56"/>
      <c r="AS58" s="56"/>
      <c r="AT58" s="56"/>
      <c r="AU58" s="56"/>
      <c r="AV58" s="56"/>
      <c r="AW58" s="6"/>
    </row>
    <row r="59" spans="3:49" s="36" customFormat="1" ht="23.1" customHeight="1">
      <c r="C59" s="110"/>
      <c r="D59" s="27">
        <v>3</v>
      </c>
      <c r="E59" s="4"/>
      <c r="F59" s="69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60"/>
      <c r="S59" s="60"/>
      <c r="T59" s="60"/>
      <c r="U59" s="60"/>
      <c r="V59" s="60"/>
      <c r="W59" s="60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6"/>
      <c r="AR59" s="56"/>
      <c r="AS59" s="56"/>
      <c r="AT59" s="56"/>
      <c r="AU59" s="56"/>
      <c r="AV59" s="56"/>
      <c r="AW59" s="6"/>
    </row>
    <row r="60" spans="3:49" s="36" customFormat="1" ht="23.1" customHeight="1">
      <c r="C60" s="110"/>
      <c r="D60" s="27">
        <v>4</v>
      </c>
      <c r="E60" s="4"/>
      <c r="F60" s="69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60"/>
      <c r="S60" s="60"/>
      <c r="T60" s="60"/>
      <c r="U60" s="60"/>
      <c r="V60" s="60"/>
      <c r="W60" s="60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6"/>
      <c r="AR60" s="56"/>
      <c r="AS60" s="56"/>
      <c r="AT60" s="56"/>
      <c r="AU60" s="56"/>
      <c r="AV60" s="56"/>
      <c r="AW60" s="6"/>
    </row>
    <row r="61" spans="3:49" s="36" customFormat="1" ht="23.1" customHeight="1">
      <c r="C61" s="110"/>
      <c r="D61" s="31">
        <v>5</v>
      </c>
      <c r="E61" s="4"/>
      <c r="F61" s="69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60"/>
      <c r="S61" s="60"/>
      <c r="T61" s="60"/>
      <c r="U61" s="60"/>
      <c r="V61" s="60"/>
      <c r="W61" s="60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6"/>
      <c r="AR61" s="56"/>
      <c r="AS61" s="56"/>
      <c r="AT61" s="56"/>
      <c r="AU61" s="56"/>
      <c r="AV61" s="56"/>
      <c r="AW61" s="6"/>
    </row>
    <row r="62" spans="3:49" s="36" customFormat="1" ht="23.1" customHeight="1">
      <c r="C62" s="110"/>
      <c r="D62" s="31" t="s">
        <v>18</v>
      </c>
      <c r="E62" s="28" t="str">
        <f t="shared" ref="E62:J62" si="34">IF(ISERR(AVERAGE(E57:E61))," ",AVERAGE(E57:E61))</f>
        <v xml:space="preserve"> </v>
      </c>
      <c r="F62" s="70" t="str">
        <f t="shared" si="34"/>
        <v xml:space="preserve"> </v>
      </c>
      <c r="G62" s="29" t="str">
        <f t="shared" si="34"/>
        <v xml:space="preserve"> </v>
      </c>
      <c r="H62" s="29" t="str">
        <f t="shared" si="34"/>
        <v xml:space="preserve"> </v>
      </c>
      <c r="I62" s="29" t="str">
        <f t="shared" si="34"/>
        <v xml:space="preserve"> </v>
      </c>
      <c r="J62" s="29" t="str">
        <f t="shared" si="34"/>
        <v xml:space="preserve"> </v>
      </c>
      <c r="K62" s="29" t="str">
        <f>IF(ISERR(AVERAGE(K57:K61))," ",AVERAGE(K57:K61))</f>
        <v xml:space="preserve"> </v>
      </c>
      <c r="L62" s="29" t="str">
        <f>IF(ISERR(AVERAGE(L57:L61))," ",AVERAGE(L57:L61))</f>
        <v xml:space="preserve"> </v>
      </c>
      <c r="M62" s="29" t="str">
        <f>IF(ISERR(AVERAGE(M57:M61))," ",AVERAGE(M57:M61))</f>
        <v xml:space="preserve"> </v>
      </c>
      <c r="N62" s="29" t="str">
        <f t="shared" ref="N62:AW62" si="35">IF(ISERR(AVERAGE(N57:N61))," ",AVERAGE(N57:N61))</f>
        <v xml:space="preserve"> </v>
      </c>
      <c r="O62" s="29" t="str">
        <f t="shared" si="35"/>
        <v xml:space="preserve"> </v>
      </c>
      <c r="P62" s="29" t="str">
        <f t="shared" si="35"/>
        <v xml:space="preserve"> </v>
      </c>
      <c r="Q62" s="29" t="str">
        <f t="shared" si="35"/>
        <v xml:space="preserve"> </v>
      </c>
      <c r="R62" s="29" t="str">
        <f t="shared" si="35"/>
        <v xml:space="preserve"> </v>
      </c>
      <c r="S62" s="29" t="str">
        <f t="shared" si="35"/>
        <v xml:space="preserve"> </v>
      </c>
      <c r="T62" s="29" t="str">
        <f t="shared" si="35"/>
        <v xml:space="preserve"> </v>
      </c>
      <c r="U62" s="29" t="str">
        <f t="shared" si="35"/>
        <v xml:space="preserve"> </v>
      </c>
      <c r="V62" s="29" t="str">
        <f t="shared" si="35"/>
        <v xml:space="preserve"> </v>
      </c>
      <c r="W62" s="29" t="str">
        <f t="shared" si="35"/>
        <v xml:space="preserve"> </v>
      </c>
      <c r="X62" s="29" t="str">
        <f t="shared" si="35"/>
        <v xml:space="preserve"> </v>
      </c>
      <c r="Y62" s="29" t="str">
        <f t="shared" si="35"/>
        <v xml:space="preserve"> </v>
      </c>
      <c r="Z62" s="29" t="str">
        <f t="shared" si="35"/>
        <v xml:space="preserve"> </v>
      </c>
      <c r="AA62" s="29" t="str">
        <f t="shared" si="35"/>
        <v xml:space="preserve"> </v>
      </c>
      <c r="AB62" s="29" t="str">
        <f t="shared" si="35"/>
        <v xml:space="preserve"> </v>
      </c>
      <c r="AC62" s="29" t="str">
        <f t="shared" si="35"/>
        <v xml:space="preserve"> </v>
      </c>
      <c r="AD62" s="29" t="str">
        <f t="shared" si="35"/>
        <v xml:space="preserve"> </v>
      </c>
      <c r="AE62" s="29" t="str">
        <f t="shared" si="35"/>
        <v xml:space="preserve"> </v>
      </c>
      <c r="AF62" s="29" t="str">
        <f t="shared" si="35"/>
        <v xml:space="preserve"> </v>
      </c>
      <c r="AG62" s="29" t="str">
        <f t="shared" si="35"/>
        <v xml:space="preserve"> </v>
      </c>
      <c r="AH62" s="29" t="str">
        <f t="shared" si="35"/>
        <v xml:space="preserve"> </v>
      </c>
      <c r="AI62" s="29" t="str">
        <f t="shared" si="35"/>
        <v xml:space="preserve"> </v>
      </c>
      <c r="AJ62" s="29" t="str">
        <f t="shared" si="35"/>
        <v xml:space="preserve"> </v>
      </c>
      <c r="AK62" s="29" t="str">
        <f t="shared" si="35"/>
        <v xml:space="preserve"> </v>
      </c>
      <c r="AL62" s="29"/>
      <c r="AM62" s="29" t="str">
        <f t="shared" si="35"/>
        <v xml:space="preserve"> </v>
      </c>
      <c r="AN62" s="29" t="str">
        <f t="shared" si="35"/>
        <v xml:space="preserve"> </v>
      </c>
      <c r="AO62" s="29" t="str">
        <f t="shared" si="35"/>
        <v xml:space="preserve"> </v>
      </c>
      <c r="AP62" s="29" t="str">
        <f t="shared" si="35"/>
        <v xml:space="preserve"> </v>
      </c>
      <c r="AQ62" s="29" t="str">
        <f t="shared" si="35"/>
        <v xml:space="preserve"> </v>
      </c>
      <c r="AR62" s="29" t="str">
        <f t="shared" si="35"/>
        <v xml:space="preserve"> </v>
      </c>
      <c r="AS62" s="29" t="str">
        <f t="shared" si="35"/>
        <v xml:space="preserve"> </v>
      </c>
      <c r="AT62" s="29" t="str">
        <f t="shared" si="35"/>
        <v xml:space="preserve"> </v>
      </c>
      <c r="AU62" s="29" t="str">
        <f t="shared" si="35"/>
        <v xml:space="preserve"> </v>
      </c>
      <c r="AV62" s="29" t="str">
        <f t="shared" si="35"/>
        <v xml:space="preserve"> </v>
      </c>
      <c r="AW62" s="30" t="str">
        <f t="shared" si="35"/>
        <v xml:space="preserve"> </v>
      </c>
    </row>
    <row r="63" spans="3:49" s="36" customFormat="1" ht="23.1" customHeight="1" thickBot="1">
      <c r="C63" s="111"/>
      <c r="D63" s="32" t="s">
        <v>19</v>
      </c>
      <c r="E63" s="33">
        <f>MAX(E57:E61)-MIN(E57:E61)</f>
        <v>0</v>
      </c>
      <c r="F63" s="71">
        <f t="shared" ref="F63:AW63" si="36">MAX(F57:F61)-MIN(F57:F61)</f>
        <v>0</v>
      </c>
      <c r="G63" s="34">
        <f t="shared" si="36"/>
        <v>0</v>
      </c>
      <c r="H63" s="34">
        <f t="shared" si="36"/>
        <v>0</v>
      </c>
      <c r="I63" s="34">
        <f t="shared" si="36"/>
        <v>0</v>
      </c>
      <c r="J63" s="34">
        <f t="shared" si="36"/>
        <v>0</v>
      </c>
      <c r="K63" s="34">
        <f t="shared" si="36"/>
        <v>0</v>
      </c>
      <c r="L63" s="34">
        <f t="shared" si="36"/>
        <v>0</v>
      </c>
      <c r="M63" s="34">
        <f t="shared" si="36"/>
        <v>0</v>
      </c>
      <c r="N63" s="34">
        <f t="shared" si="36"/>
        <v>0</v>
      </c>
      <c r="O63" s="34">
        <f t="shared" si="36"/>
        <v>0</v>
      </c>
      <c r="P63" s="34">
        <f t="shared" si="36"/>
        <v>0</v>
      </c>
      <c r="Q63" s="34">
        <f t="shared" si="36"/>
        <v>0</v>
      </c>
      <c r="R63" s="34">
        <f t="shared" si="36"/>
        <v>0</v>
      </c>
      <c r="S63" s="34">
        <f t="shared" si="36"/>
        <v>0</v>
      </c>
      <c r="T63" s="34">
        <f t="shared" si="36"/>
        <v>0</v>
      </c>
      <c r="U63" s="34">
        <f t="shared" si="36"/>
        <v>0</v>
      </c>
      <c r="V63" s="34">
        <f t="shared" si="36"/>
        <v>0</v>
      </c>
      <c r="W63" s="34">
        <f t="shared" si="36"/>
        <v>0</v>
      </c>
      <c r="X63" s="34">
        <f t="shared" si="36"/>
        <v>0</v>
      </c>
      <c r="Y63" s="34">
        <f t="shared" si="36"/>
        <v>0</v>
      </c>
      <c r="Z63" s="34">
        <f t="shared" si="36"/>
        <v>0</v>
      </c>
      <c r="AA63" s="34">
        <f t="shared" si="36"/>
        <v>0</v>
      </c>
      <c r="AB63" s="34">
        <f t="shared" si="36"/>
        <v>0</v>
      </c>
      <c r="AC63" s="34">
        <f t="shared" si="36"/>
        <v>0</v>
      </c>
      <c r="AD63" s="34">
        <f t="shared" si="36"/>
        <v>0</v>
      </c>
      <c r="AE63" s="34">
        <f t="shared" si="36"/>
        <v>0</v>
      </c>
      <c r="AF63" s="34">
        <f t="shared" si="36"/>
        <v>0</v>
      </c>
      <c r="AG63" s="34">
        <f t="shared" si="36"/>
        <v>0</v>
      </c>
      <c r="AH63" s="34">
        <f t="shared" si="36"/>
        <v>0</v>
      </c>
      <c r="AI63" s="34">
        <f t="shared" si="36"/>
        <v>0</v>
      </c>
      <c r="AJ63" s="34">
        <f t="shared" si="36"/>
        <v>0</v>
      </c>
      <c r="AK63" s="34">
        <f t="shared" si="36"/>
        <v>0</v>
      </c>
      <c r="AL63" s="34">
        <f t="shared" si="36"/>
        <v>0</v>
      </c>
      <c r="AM63" s="34">
        <f t="shared" si="36"/>
        <v>0</v>
      </c>
      <c r="AN63" s="34">
        <f t="shared" si="36"/>
        <v>0</v>
      </c>
      <c r="AO63" s="34">
        <f t="shared" si="36"/>
        <v>0</v>
      </c>
      <c r="AP63" s="34">
        <f t="shared" si="36"/>
        <v>0</v>
      </c>
      <c r="AQ63" s="34">
        <f t="shared" si="36"/>
        <v>0</v>
      </c>
      <c r="AR63" s="34">
        <f t="shared" si="36"/>
        <v>0</v>
      </c>
      <c r="AS63" s="34">
        <f t="shared" si="36"/>
        <v>0</v>
      </c>
      <c r="AT63" s="34">
        <f t="shared" si="36"/>
        <v>0</v>
      </c>
      <c r="AU63" s="34">
        <f t="shared" si="36"/>
        <v>0</v>
      </c>
      <c r="AV63" s="34">
        <f t="shared" si="36"/>
        <v>0</v>
      </c>
      <c r="AW63" s="35">
        <f t="shared" si="36"/>
        <v>0</v>
      </c>
    </row>
    <row r="64" spans="3:49" s="36" customFormat="1" ht="23.1" customHeight="1">
      <c r="C64" s="109" t="s">
        <v>26</v>
      </c>
      <c r="D64" s="26">
        <v>1</v>
      </c>
      <c r="E64" s="1"/>
      <c r="F64" s="68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59"/>
      <c r="S64" s="59"/>
      <c r="T64" s="59"/>
      <c r="U64" s="59"/>
      <c r="V64" s="59"/>
      <c r="W64" s="59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55"/>
      <c r="AR64" s="55"/>
      <c r="AS64" s="55"/>
      <c r="AT64" s="55"/>
      <c r="AU64" s="55"/>
      <c r="AV64" s="55"/>
      <c r="AW64" s="3"/>
    </row>
    <row r="65" spans="3:49" s="36" customFormat="1" ht="23.1" customHeight="1">
      <c r="C65" s="110"/>
      <c r="D65" s="27">
        <v>2</v>
      </c>
      <c r="E65" s="4"/>
      <c r="F65" s="69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60"/>
      <c r="S65" s="60"/>
      <c r="T65" s="60"/>
      <c r="U65" s="60"/>
      <c r="V65" s="60"/>
      <c r="W65" s="60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6"/>
      <c r="AR65" s="56"/>
      <c r="AS65" s="56"/>
      <c r="AT65" s="56"/>
      <c r="AU65" s="56"/>
      <c r="AV65" s="56"/>
      <c r="AW65" s="6"/>
    </row>
    <row r="66" spans="3:49" s="36" customFormat="1" ht="23.1" customHeight="1">
      <c r="C66" s="110"/>
      <c r="D66" s="27">
        <v>3</v>
      </c>
      <c r="E66" s="4"/>
      <c r="F66" s="69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60"/>
      <c r="S66" s="60"/>
      <c r="T66" s="60"/>
      <c r="U66" s="60"/>
      <c r="V66" s="60"/>
      <c r="W66" s="60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6"/>
      <c r="AR66" s="56"/>
      <c r="AS66" s="56"/>
      <c r="AT66" s="56"/>
      <c r="AU66" s="56"/>
      <c r="AV66" s="56"/>
      <c r="AW66" s="6"/>
    </row>
    <row r="67" spans="3:49" s="36" customFormat="1" ht="23.1" customHeight="1">
      <c r="C67" s="110"/>
      <c r="D67" s="27">
        <v>4</v>
      </c>
      <c r="E67" s="4"/>
      <c r="F67" s="69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60"/>
      <c r="S67" s="60"/>
      <c r="T67" s="60"/>
      <c r="U67" s="60"/>
      <c r="V67" s="60"/>
      <c r="W67" s="60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6"/>
      <c r="AR67" s="56"/>
      <c r="AS67" s="56"/>
      <c r="AT67" s="56"/>
      <c r="AU67" s="56"/>
      <c r="AV67" s="56"/>
      <c r="AW67" s="6"/>
    </row>
    <row r="68" spans="3:49" s="36" customFormat="1" ht="23.1" customHeight="1">
      <c r="C68" s="110"/>
      <c r="D68" s="31">
        <v>5</v>
      </c>
      <c r="E68" s="4"/>
      <c r="F68" s="69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60"/>
      <c r="S68" s="60"/>
      <c r="T68" s="60"/>
      <c r="U68" s="60"/>
      <c r="V68" s="60"/>
      <c r="W68" s="60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6"/>
      <c r="AR68" s="56"/>
      <c r="AS68" s="56"/>
      <c r="AT68" s="56"/>
      <c r="AU68" s="56"/>
      <c r="AV68" s="56"/>
      <c r="AW68" s="6"/>
    </row>
    <row r="69" spans="3:49" s="36" customFormat="1" ht="23.1" customHeight="1">
      <c r="C69" s="110"/>
      <c r="D69" s="31" t="s">
        <v>18</v>
      </c>
      <c r="E69" s="28" t="str">
        <f t="shared" ref="E69:J69" si="37">IF(ISERR(AVERAGE(E64:E68))," ",AVERAGE(E64:E68))</f>
        <v xml:space="preserve"> </v>
      </c>
      <c r="F69" s="70" t="str">
        <f t="shared" si="37"/>
        <v xml:space="preserve"> </v>
      </c>
      <c r="G69" s="29" t="str">
        <f t="shared" si="37"/>
        <v xml:space="preserve"> </v>
      </c>
      <c r="H69" s="29" t="str">
        <f t="shared" si="37"/>
        <v xml:space="preserve"> </v>
      </c>
      <c r="I69" s="29" t="str">
        <f t="shared" si="37"/>
        <v xml:space="preserve"> </v>
      </c>
      <c r="J69" s="29" t="str">
        <f t="shared" si="37"/>
        <v xml:space="preserve"> </v>
      </c>
      <c r="K69" s="29" t="str">
        <f>IF(ISERR(AVERAGE(K64:K68))," ",AVERAGE(K64:K68))</f>
        <v xml:space="preserve"> </v>
      </c>
      <c r="L69" s="29" t="str">
        <f>IF(ISERR(AVERAGE(L64:L68))," ",AVERAGE(L64:L68))</f>
        <v xml:space="preserve"> </v>
      </c>
      <c r="M69" s="29" t="str">
        <f>IF(ISERR(AVERAGE(M64:M68))," ",AVERAGE(M64:M68))</f>
        <v xml:space="preserve"> </v>
      </c>
      <c r="N69" s="29" t="str">
        <f t="shared" ref="N69:AQ69" si="38">IF(ISERR(AVERAGE(N64:N68))," ",AVERAGE(N64:N68))</f>
        <v xml:space="preserve"> </v>
      </c>
      <c r="O69" s="29" t="str">
        <f t="shared" si="38"/>
        <v xml:space="preserve"> </v>
      </c>
      <c r="P69" s="29" t="str">
        <f t="shared" si="38"/>
        <v xml:space="preserve"> </v>
      </c>
      <c r="Q69" s="29" t="str">
        <f t="shared" si="38"/>
        <v xml:space="preserve"> </v>
      </c>
      <c r="R69" s="29" t="str">
        <f t="shared" si="38"/>
        <v xml:space="preserve"> </v>
      </c>
      <c r="S69" s="29" t="str">
        <f t="shared" si="38"/>
        <v xml:space="preserve"> </v>
      </c>
      <c r="T69" s="29" t="str">
        <f t="shared" si="38"/>
        <v xml:space="preserve"> </v>
      </c>
      <c r="U69" s="29" t="str">
        <f t="shared" si="38"/>
        <v xml:space="preserve"> </v>
      </c>
      <c r="V69" s="29" t="str">
        <f t="shared" si="38"/>
        <v xml:space="preserve"> </v>
      </c>
      <c r="W69" s="29" t="str">
        <f t="shared" si="38"/>
        <v xml:space="preserve"> </v>
      </c>
      <c r="X69" s="29" t="str">
        <f t="shared" si="38"/>
        <v xml:space="preserve"> </v>
      </c>
      <c r="Y69" s="29" t="str">
        <f t="shared" si="38"/>
        <v xml:space="preserve"> </v>
      </c>
      <c r="Z69" s="29" t="str">
        <f t="shared" si="38"/>
        <v xml:space="preserve"> </v>
      </c>
      <c r="AA69" s="29" t="str">
        <f t="shared" si="38"/>
        <v xml:space="preserve"> </v>
      </c>
      <c r="AB69" s="29"/>
      <c r="AC69" s="29"/>
      <c r="AD69" s="29"/>
      <c r="AE69" s="29"/>
      <c r="AF69" s="29"/>
      <c r="AG69" s="29" t="str">
        <f t="shared" si="38"/>
        <v xml:space="preserve"> </v>
      </c>
      <c r="AH69" s="29"/>
      <c r="AI69" s="29" t="str">
        <f t="shared" si="38"/>
        <v xml:space="preserve"> </v>
      </c>
      <c r="AJ69" s="29" t="str">
        <f t="shared" si="38"/>
        <v xml:space="preserve"> </v>
      </c>
      <c r="AK69" s="29" t="str">
        <f t="shared" si="38"/>
        <v xml:space="preserve"> </v>
      </c>
      <c r="AL69" s="29" t="str">
        <f t="shared" si="38"/>
        <v xml:space="preserve"> </v>
      </c>
      <c r="AM69" s="29" t="str">
        <f t="shared" si="38"/>
        <v xml:space="preserve"> </v>
      </c>
      <c r="AN69" s="29" t="str">
        <f t="shared" si="38"/>
        <v xml:space="preserve"> </v>
      </c>
      <c r="AO69" s="29" t="str">
        <f t="shared" si="38"/>
        <v xml:space="preserve"> </v>
      </c>
      <c r="AP69" s="29" t="str">
        <f t="shared" si="38"/>
        <v xml:space="preserve"> </v>
      </c>
      <c r="AQ69" s="57" t="str">
        <f t="shared" si="38"/>
        <v xml:space="preserve"> </v>
      </c>
      <c r="AR69" s="57"/>
      <c r="AS69" s="57"/>
      <c r="AT69" s="57"/>
      <c r="AU69" s="57"/>
      <c r="AV69" s="57"/>
      <c r="AW69" s="30" t="str">
        <f>IF(ISERR(AVERAGE(AW64:AW68))," ",AVERAGE(AW64:AW68))</f>
        <v xml:space="preserve"> </v>
      </c>
    </row>
    <row r="70" spans="3:49" s="36" customFormat="1" ht="23.1" customHeight="1" thickBot="1">
      <c r="C70" s="111"/>
      <c r="D70" s="32" t="s">
        <v>19</v>
      </c>
      <c r="E70" s="33">
        <f>MAX(E64:E68)-MIN(E64:E68)</f>
        <v>0</v>
      </c>
      <c r="F70" s="71">
        <f t="shared" ref="F70:AW70" si="39">MAX(F64:F68)-MIN(F64:F68)</f>
        <v>0</v>
      </c>
      <c r="G70" s="34">
        <f t="shared" si="39"/>
        <v>0</v>
      </c>
      <c r="H70" s="34">
        <f t="shared" si="39"/>
        <v>0</v>
      </c>
      <c r="I70" s="34">
        <f t="shared" si="39"/>
        <v>0</v>
      </c>
      <c r="J70" s="34">
        <f t="shared" si="39"/>
        <v>0</v>
      </c>
      <c r="K70" s="34">
        <f t="shared" si="39"/>
        <v>0</v>
      </c>
      <c r="L70" s="34">
        <f t="shared" si="39"/>
        <v>0</v>
      </c>
      <c r="M70" s="34">
        <f t="shared" si="39"/>
        <v>0</v>
      </c>
      <c r="N70" s="34">
        <f t="shared" si="39"/>
        <v>0</v>
      </c>
      <c r="O70" s="34">
        <f t="shared" si="39"/>
        <v>0</v>
      </c>
      <c r="P70" s="34">
        <f t="shared" si="39"/>
        <v>0</v>
      </c>
      <c r="Q70" s="34">
        <f t="shared" si="39"/>
        <v>0</v>
      </c>
      <c r="R70" s="34">
        <f t="shared" si="39"/>
        <v>0</v>
      </c>
      <c r="S70" s="34">
        <f t="shared" si="39"/>
        <v>0</v>
      </c>
      <c r="T70" s="34">
        <f t="shared" si="39"/>
        <v>0</v>
      </c>
      <c r="U70" s="34">
        <f t="shared" si="39"/>
        <v>0</v>
      </c>
      <c r="V70" s="34">
        <f t="shared" si="39"/>
        <v>0</v>
      </c>
      <c r="W70" s="34">
        <f t="shared" si="39"/>
        <v>0</v>
      </c>
      <c r="X70" s="34">
        <f t="shared" si="39"/>
        <v>0</v>
      </c>
      <c r="Y70" s="34">
        <f t="shared" si="39"/>
        <v>0</v>
      </c>
      <c r="Z70" s="34">
        <f t="shared" si="39"/>
        <v>0</v>
      </c>
      <c r="AA70" s="34">
        <f t="shared" si="39"/>
        <v>0</v>
      </c>
      <c r="AB70" s="34"/>
      <c r="AC70" s="34"/>
      <c r="AD70" s="34"/>
      <c r="AE70" s="34">
        <f t="shared" ref="AE70:AF70" si="40">MAX(AE64:AE68)-MIN(AE64:AE68)</f>
        <v>0</v>
      </c>
      <c r="AF70" s="34">
        <f t="shared" si="40"/>
        <v>0</v>
      </c>
      <c r="AG70" s="34">
        <f t="shared" si="39"/>
        <v>0</v>
      </c>
      <c r="AH70" s="34">
        <f t="shared" si="39"/>
        <v>0</v>
      </c>
      <c r="AI70" s="34">
        <f t="shared" si="39"/>
        <v>0</v>
      </c>
      <c r="AJ70" s="34">
        <f t="shared" si="39"/>
        <v>0</v>
      </c>
      <c r="AK70" s="34">
        <f t="shared" si="39"/>
        <v>0</v>
      </c>
      <c r="AL70" s="34">
        <f t="shared" si="39"/>
        <v>0</v>
      </c>
      <c r="AM70" s="34">
        <f t="shared" si="39"/>
        <v>0</v>
      </c>
      <c r="AN70" s="34">
        <f t="shared" si="39"/>
        <v>0</v>
      </c>
      <c r="AO70" s="34">
        <f t="shared" si="39"/>
        <v>0</v>
      </c>
      <c r="AP70" s="34">
        <f t="shared" si="39"/>
        <v>0</v>
      </c>
      <c r="AQ70" s="58">
        <f t="shared" si="39"/>
        <v>0</v>
      </c>
      <c r="AR70" s="58">
        <f t="shared" si="39"/>
        <v>0</v>
      </c>
      <c r="AS70" s="58">
        <f t="shared" si="39"/>
        <v>0</v>
      </c>
      <c r="AT70" s="58">
        <f t="shared" si="39"/>
        <v>0</v>
      </c>
      <c r="AU70" s="58">
        <f t="shared" si="39"/>
        <v>0</v>
      </c>
      <c r="AV70" s="58">
        <f t="shared" si="39"/>
        <v>0</v>
      </c>
      <c r="AW70" s="35">
        <f t="shared" si="39"/>
        <v>0</v>
      </c>
    </row>
    <row r="71" spans="3:49" s="36" customFormat="1" ht="23.1" customHeight="1">
      <c r="C71" s="109" t="s">
        <v>27</v>
      </c>
      <c r="D71" s="61">
        <v>1</v>
      </c>
      <c r="E71" s="1"/>
      <c r="F71" s="68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59"/>
      <c r="S71" s="59"/>
      <c r="T71" s="59"/>
      <c r="U71" s="59"/>
      <c r="V71" s="59"/>
      <c r="W71" s="59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55"/>
      <c r="AR71" s="55"/>
      <c r="AS71" s="55"/>
      <c r="AT71" s="55"/>
      <c r="AU71" s="55"/>
      <c r="AV71" s="55"/>
      <c r="AW71" s="3"/>
    </row>
    <row r="72" spans="3:49" s="36" customFormat="1" ht="23.1" customHeight="1">
      <c r="C72" s="110"/>
      <c r="D72" s="62">
        <v>2</v>
      </c>
      <c r="E72" s="4"/>
      <c r="F72" s="69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60"/>
      <c r="S72" s="60"/>
      <c r="T72" s="60"/>
      <c r="U72" s="60"/>
      <c r="V72" s="60"/>
      <c r="W72" s="60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6"/>
      <c r="AR72" s="56"/>
      <c r="AS72" s="56"/>
      <c r="AT72" s="56"/>
      <c r="AU72" s="56"/>
      <c r="AV72" s="56"/>
      <c r="AW72" s="6"/>
    </row>
    <row r="73" spans="3:49" s="36" customFormat="1" ht="23.1" customHeight="1">
      <c r="C73" s="110"/>
      <c r="D73" s="62">
        <v>3</v>
      </c>
      <c r="E73" s="4"/>
      <c r="F73" s="69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60"/>
      <c r="S73" s="60"/>
      <c r="T73" s="60"/>
      <c r="U73" s="60"/>
      <c r="V73" s="60"/>
      <c r="W73" s="60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6"/>
      <c r="AR73" s="56"/>
      <c r="AS73" s="56"/>
      <c r="AT73" s="56"/>
      <c r="AU73" s="56"/>
      <c r="AV73" s="56"/>
      <c r="AW73" s="6"/>
    </row>
    <row r="74" spans="3:49" s="36" customFormat="1" ht="23.1" customHeight="1">
      <c r="C74" s="110"/>
      <c r="D74" s="62">
        <v>4</v>
      </c>
      <c r="E74" s="4"/>
      <c r="F74" s="69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60"/>
      <c r="S74" s="60"/>
      <c r="T74" s="60"/>
      <c r="U74" s="60"/>
      <c r="V74" s="60"/>
      <c r="W74" s="60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6"/>
      <c r="AR74" s="56"/>
      <c r="AS74" s="56"/>
      <c r="AT74" s="56"/>
      <c r="AU74" s="56"/>
      <c r="AV74" s="56"/>
      <c r="AW74" s="6"/>
    </row>
    <row r="75" spans="3:49" s="36" customFormat="1" ht="23.1" customHeight="1">
      <c r="C75" s="110"/>
      <c r="D75" s="63">
        <v>5</v>
      </c>
      <c r="E75" s="4"/>
      <c r="F75" s="69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60"/>
      <c r="S75" s="60"/>
      <c r="T75" s="60"/>
      <c r="U75" s="60"/>
      <c r="V75" s="60"/>
      <c r="W75" s="60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6"/>
      <c r="AR75" s="56"/>
      <c r="AS75" s="56"/>
      <c r="AT75" s="56"/>
      <c r="AU75" s="56"/>
      <c r="AV75" s="56"/>
      <c r="AW75" s="6"/>
    </row>
    <row r="76" spans="3:49" s="36" customFormat="1" ht="23.1" customHeight="1">
      <c r="C76" s="110"/>
      <c r="D76" s="31" t="s">
        <v>18</v>
      </c>
      <c r="E76" s="28" t="str">
        <f t="shared" ref="E76:J76" si="41">IF(ISERR(AVERAGE(E71:E75))," ",AVERAGE(E71:E75))</f>
        <v xml:space="preserve"> </v>
      </c>
      <c r="F76" s="70" t="str">
        <f t="shared" si="41"/>
        <v xml:space="preserve"> </v>
      </c>
      <c r="G76" s="29" t="str">
        <f t="shared" si="41"/>
        <v xml:space="preserve"> </v>
      </c>
      <c r="H76" s="29" t="str">
        <f t="shared" si="41"/>
        <v xml:space="preserve"> </v>
      </c>
      <c r="I76" s="29" t="str">
        <f t="shared" si="41"/>
        <v xml:space="preserve"> </v>
      </c>
      <c r="J76" s="29" t="str">
        <f t="shared" si="41"/>
        <v xml:space="preserve"> </v>
      </c>
      <c r="K76" s="29" t="str">
        <f>IF(ISERR(AVERAGE(K71:K75))," ",AVERAGE(K71:K75))</f>
        <v xml:space="preserve"> </v>
      </c>
      <c r="L76" s="29" t="str">
        <f>IF(ISERR(AVERAGE(L71:L75))," ",AVERAGE(L71:L75))</f>
        <v xml:space="preserve"> </v>
      </c>
      <c r="M76" s="29" t="str">
        <f>IF(ISERR(AVERAGE(M71:M75))," ",AVERAGE(M71:M75))</f>
        <v xml:space="preserve"> </v>
      </c>
      <c r="N76" s="29" t="str">
        <f t="shared" ref="N76:AW76" si="42">IF(ISERR(AVERAGE(N71:N75))," ",AVERAGE(N71:N75))</f>
        <v xml:space="preserve"> </v>
      </c>
      <c r="O76" s="29" t="str">
        <f t="shared" si="42"/>
        <v xml:space="preserve"> </v>
      </c>
      <c r="P76" s="29" t="str">
        <f t="shared" si="42"/>
        <v xml:space="preserve"> </v>
      </c>
      <c r="Q76" s="29" t="str">
        <f t="shared" si="42"/>
        <v xml:space="preserve"> </v>
      </c>
      <c r="R76" s="29" t="str">
        <f t="shared" si="42"/>
        <v xml:space="preserve"> </v>
      </c>
      <c r="S76" s="29" t="str">
        <f t="shared" si="42"/>
        <v xml:space="preserve"> </v>
      </c>
      <c r="T76" s="29" t="str">
        <f t="shared" si="42"/>
        <v xml:space="preserve"> </v>
      </c>
      <c r="U76" s="29" t="str">
        <f t="shared" si="42"/>
        <v xml:space="preserve"> </v>
      </c>
      <c r="V76" s="29" t="str">
        <f t="shared" si="42"/>
        <v xml:space="preserve"> </v>
      </c>
      <c r="W76" s="29" t="str">
        <f t="shared" si="42"/>
        <v xml:space="preserve"> </v>
      </c>
      <c r="X76" s="29" t="str">
        <f t="shared" si="42"/>
        <v xml:space="preserve"> </v>
      </c>
      <c r="Y76" s="29" t="str">
        <f t="shared" si="42"/>
        <v xml:space="preserve"> </v>
      </c>
      <c r="Z76" s="29" t="str">
        <f t="shared" si="42"/>
        <v xml:space="preserve"> </v>
      </c>
      <c r="AA76" s="29" t="str">
        <f t="shared" si="42"/>
        <v xml:space="preserve"> </v>
      </c>
      <c r="AB76" s="29" t="str">
        <f t="shared" si="42"/>
        <v xml:space="preserve"> </v>
      </c>
      <c r="AC76" s="29" t="str">
        <f t="shared" si="42"/>
        <v xml:space="preserve"> </v>
      </c>
      <c r="AD76" s="29" t="str">
        <f t="shared" si="42"/>
        <v xml:space="preserve"> </v>
      </c>
      <c r="AE76" s="29" t="str">
        <f t="shared" si="42"/>
        <v xml:space="preserve"> </v>
      </c>
      <c r="AF76" s="29" t="str">
        <f t="shared" si="42"/>
        <v xml:space="preserve"> </v>
      </c>
      <c r="AG76" s="29" t="str">
        <f t="shared" si="42"/>
        <v xml:space="preserve"> </v>
      </c>
      <c r="AH76" s="29" t="str">
        <f t="shared" si="42"/>
        <v xml:space="preserve"> </v>
      </c>
      <c r="AI76" s="29" t="str">
        <f t="shared" si="42"/>
        <v xml:space="preserve"> </v>
      </c>
      <c r="AJ76" s="29" t="str">
        <f t="shared" si="42"/>
        <v xml:space="preserve"> </v>
      </c>
      <c r="AK76" s="29" t="str">
        <f t="shared" si="42"/>
        <v xml:space="preserve"> </v>
      </c>
      <c r="AL76" s="29" t="str">
        <f t="shared" si="42"/>
        <v xml:space="preserve"> </v>
      </c>
      <c r="AM76" s="29" t="str">
        <f t="shared" si="42"/>
        <v xml:space="preserve"> </v>
      </c>
      <c r="AN76" s="29" t="str">
        <f t="shared" si="42"/>
        <v xml:space="preserve"> </v>
      </c>
      <c r="AO76" s="29" t="str">
        <f t="shared" si="42"/>
        <v xml:space="preserve"> </v>
      </c>
      <c r="AP76" s="29" t="str">
        <f t="shared" si="42"/>
        <v xml:space="preserve"> </v>
      </c>
      <c r="AQ76" s="29" t="str">
        <f t="shared" si="42"/>
        <v xml:space="preserve"> </v>
      </c>
      <c r="AR76" s="29" t="str">
        <f t="shared" si="42"/>
        <v xml:space="preserve"> </v>
      </c>
      <c r="AS76" s="29" t="str">
        <f t="shared" si="42"/>
        <v xml:space="preserve"> </v>
      </c>
      <c r="AT76" s="29" t="str">
        <f t="shared" si="42"/>
        <v xml:space="preserve"> </v>
      </c>
      <c r="AU76" s="29" t="str">
        <f t="shared" si="42"/>
        <v xml:space="preserve"> </v>
      </c>
      <c r="AV76" s="29" t="str">
        <f t="shared" si="42"/>
        <v xml:space="preserve"> </v>
      </c>
      <c r="AW76" s="30" t="str">
        <f t="shared" si="42"/>
        <v xml:space="preserve"> </v>
      </c>
    </row>
    <row r="77" spans="3:49" s="36" customFormat="1" ht="23.1" customHeight="1" thickBot="1">
      <c r="C77" s="111"/>
      <c r="D77" s="32" t="s">
        <v>19</v>
      </c>
      <c r="E77" s="33">
        <f>MAX(E71:E75)-MIN(E71:E75)</f>
        <v>0</v>
      </c>
      <c r="F77" s="71">
        <f t="shared" ref="F77:AW77" si="43">MAX(F71:F75)-MIN(F71:F75)</f>
        <v>0</v>
      </c>
      <c r="G77" s="34">
        <f t="shared" si="43"/>
        <v>0</v>
      </c>
      <c r="H77" s="34">
        <f t="shared" si="43"/>
        <v>0</v>
      </c>
      <c r="I77" s="34">
        <f t="shared" si="43"/>
        <v>0</v>
      </c>
      <c r="J77" s="34">
        <f t="shared" si="43"/>
        <v>0</v>
      </c>
      <c r="K77" s="34">
        <f t="shared" si="43"/>
        <v>0</v>
      </c>
      <c r="L77" s="34">
        <f t="shared" si="43"/>
        <v>0</v>
      </c>
      <c r="M77" s="34">
        <f t="shared" si="43"/>
        <v>0</v>
      </c>
      <c r="N77" s="34">
        <f t="shared" si="43"/>
        <v>0</v>
      </c>
      <c r="O77" s="34">
        <f t="shared" si="43"/>
        <v>0</v>
      </c>
      <c r="P77" s="34">
        <f t="shared" si="43"/>
        <v>0</v>
      </c>
      <c r="Q77" s="34">
        <f t="shared" si="43"/>
        <v>0</v>
      </c>
      <c r="R77" s="34">
        <f t="shared" si="43"/>
        <v>0</v>
      </c>
      <c r="S77" s="34">
        <f t="shared" si="43"/>
        <v>0</v>
      </c>
      <c r="T77" s="34">
        <f t="shared" si="43"/>
        <v>0</v>
      </c>
      <c r="U77" s="34">
        <f t="shared" si="43"/>
        <v>0</v>
      </c>
      <c r="V77" s="34">
        <f t="shared" si="43"/>
        <v>0</v>
      </c>
      <c r="W77" s="34">
        <f t="shared" si="43"/>
        <v>0</v>
      </c>
      <c r="X77" s="34">
        <f t="shared" si="43"/>
        <v>0</v>
      </c>
      <c r="Y77" s="34">
        <f t="shared" si="43"/>
        <v>0</v>
      </c>
      <c r="Z77" s="34">
        <f t="shared" si="43"/>
        <v>0</v>
      </c>
      <c r="AA77" s="34">
        <f t="shared" si="43"/>
        <v>0</v>
      </c>
      <c r="AB77" s="34">
        <f t="shared" si="43"/>
        <v>0</v>
      </c>
      <c r="AC77" s="34">
        <f t="shared" si="43"/>
        <v>0</v>
      </c>
      <c r="AD77" s="34">
        <f t="shared" si="43"/>
        <v>0</v>
      </c>
      <c r="AE77" s="34">
        <f t="shared" si="43"/>
        <v>0</v>
      </c>
      <c r="AF77" s="34">
        <f t="shared" si="43"/>
        <v>0</v>
      </c>
      <c r="AG77" s="34">
        <f t="shared" si="43"/>
        <v>0</v>
      </c>
      <c r="AH77" s="34">
        <f t="shared" si="43"/>
        <v>0</v>
      </c>
      <c r="AI77" s="34">
        <f t="shared" si="43"/>
        <v>0</v>
      </c>
      <c r="AJ77" s="34">
        <f t="shared" si="43"/>
        <v>0</v>
      </c>
      <c r="AK77" s="34">
        <f t="shared" si="43"/>
        <v>0</v>
      </c>
      <c r="AL77" s="34">
        <f t="shared" si="43"/>
        <v>0</v>
      </c>
      <c r="AM77" s="34">
        <f t="shared" si="43"/>
        <v>0</v>
      </c>
      <c r="AN77" s="34">
        <f t="shared" si="43"/>
        <v>0</v>
      </c>
      <c r="AO77" s="34">
        <f t="shared" si="43"/>
        <v>0</v>
      </c>
      <c r="AP77" s="34">
        <f t="shared" si="43"/>
        <v>0</v>
      </c>
      <c r="AQ77" s="34">
        <f t="shared" si="43"/>
        <v>0</v>
      </c>
      <c r="AR77" s="34">
        <f t="shared" si="43"/>
        <v>0</v>
      </c>
      <c r="AS77" s="34">
        <f t="shared" si="43"/>
        <v>0</v>
      </c>
      <c r="AT77" s="34">
        <f t="shared" si="43"/>
        <v>0</v>
      </c>
      <c r="AU77" s="34">
        <f t="shared" si="43"/>
        <v>0</v>
      </c>
      <c r="AV77" s="34">
        <f t="shared" si="43"/>
        <v>0</v>
      </c>
      <c r="AW77" s="35">
        <f t="shared" si="43"/>
        <v>0</v>
      </c>
    </row>
    <row r="78" spans="3:49" s="36" customFormat="1" ht="23.1" customHeight="1">
      <c r="C78" s="112" t="str">
        <f>C46</f>
        <v>Visto do operador</v>
      </c>
      <c r="D78" s="113"/>
      <c r="E78" s="98"/>
      <c r="F78" s="99"/>
      <c r="G78" s="99"/>
      <c r="H78" s="99"/>
      <c r="I78" s="99"/>
      <c r="J78" s="99"/>
      <c r="K78" s="99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100"/>
      <c r="AR78" s="100"/>
      <c r="AS78" s="100"/>
      <c r="AT78" s="100"/>
      <c r="AU78" s="100"/>
      <c r="AV78" s="100"/>
      <c r="AW78" s="101"/>
    </row>
    <row r="79" spans="3:49" s="36" customFormat="1" ht="23.1" customHeight="1" thickBot="1">
      <c r="C79" s="114" t="str">
        <f>C47</f>
        <v>Visto do Lider/Sublíder</v>
      </c>
      <c r="D79" s="115"/>
      <c r="E79" s="94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6"/>
      <c r="AR79" s="96"/>
      <c r="AS79" s="96"/>
      <c r="AT79" s="96"/>
      <c r="AU79" s="96"/>
      <c r="AV79" s="96"/>
      <c r="AW79" s="97"/>
    </row>
    <row r="80" spans="3:49" s="25" customFormat="1" ht="20.100000000000001" customHeight="1">
      <c r="C80" s="37" t="s">
        <v>24</v>
      </c>
      <c r="D80" s="38"/>
      <c r="E80" s="39"/>
      <c r="F80" s="39"/>
      <c r="G80" s="39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40"/>
    </row>
    <row r="81" spans="3:71" s="25" customFormat="1" ht="20.100000000000001" customHeight="1" thickBot="1">
      <c r="C81" s="43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5"/>
    </row>
    <row r="82" spans="3:71" s="25" customFormat="1" ht="20.100000000000001" hidden="1" customHeight="1">
      <c r="C82" s="41"/>
      <c r="AW82" s="42"/>
    </row>
    <row r="83" spans="3:71" s="25" customFormat="1" ht="20.100000000000001" hidden="1" customHeight="1" thickBot="1">
      <c r="C83" s="43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5"/>
    </row>
    <row r="84" spans="3:71" s="25" customFormat="1" ht="7.5" customHeight="1"/>
    <row r="85" spans="3:71" s="25" customFormat="1" ht="15.75">
      <c r="C85" s="140" t="s">
        <v>28</v>
      </c>
      <c r="D85" s="128"/>
      <c r="E85" s="128"/>
      <c r="F85" s="128"/>
      <c r="G85" s="128"/>
      <c r="H85" s="128"/>
      <c r="I85" s="126" t="s">
        <v>29</v>
      </c>
      <c r="J85" s="126"/>
      <c r="K85" s="126"/>
      <c r="L85" s="126"/>
      <c r="M85" s="132"/>
      <c r="N85" s="126" t="s">
        <v>30</v>
      </c>
      <c r="O85" s="126"/>
      <c r="P85" s="126"/>
      <c r="Q85" s="126"/>
      <c r="R85" s="126"/>
      <c r="S85" s="126"/>
      <c r="T85" s="126"/>
      <c r="U85" s="128" t="s">
        <v>31</v>
      </c>
      <c r="V85" s="128"/>
      <c r="W85" s="128"/>
      <c r="X85" s="128"/>
      <c r="Y85" s="130"/>
      <c r="Z85" s="128"/>
      <c r="AA85" s="128"/>
      <c r="AB85" s="128"/>
      <c r="AC85" s="128"/>
      <c r="AD85" s="128"/>
      <c r="AE85" s="128"/>
      <c r="AF85" s="128"/>
      <c r="AG85" s="128"/>
      <c r="AH85" s="128"/>
      <c r="AI85" s="128"/>
      <c r="AJ85" s="49"/>
      <c r="AK85" s="49"/>
      <c r="AL85" s="49"/>
      <c r="AM85" s="49"/>
      <c r="AN85" s="51"/>
      <c r="AO85" s="51"/>
      <c r="AP85" s="51"/>
      <c r="AQ85" s="51"/>
      <c r="AR85" s="51"/>
      <c r="AS85" s="51"/>
      <c r="AT85" s="51"/>
      <c r="AU85" s="51"/>
      <c r="AV85" s="51"/>
      <c r="AW85" s="52"/>
      <c r="AX85" s="46"/>
      <c r="AY85" s="46"/>
      <c r="AZ85" s="46"/>
      <c r="BA85" s="46"/>
      <c r="BB85" s="46"/>
      <c r="BC85" s="46"/>
      <c r="BD85" s="46"/>
      <c r="BE85" s="46"/>
      <c r="BF85" s="46"/>
      <c r="BG85" s="46"/>
      <c r="BH85" s="46"/>
      <c r="BI85" s="46"/>
      <c r="BJ85" s="46"/>
      <c r="BK85" s="46"/>
      <c r="BL85" s="46"/>
      <c r="BM85" s="46"/>
      <c r="BN85" s="46"/>
      <c r="BO85" s="46"/>
      <c r="BP85" s="46"/>
      <c r="BQ85" s="46"/>
      <c r="BR85" s="46"/>
      <c r="BS85" s="46"/>
    </row>
    <row r="86" spans="3:71" s="25" customFormat="1" ht="15.75">
      <c r="C86" s="141"/>
      <c r="D86" s="129"/>
      <c r="E86" s="129"/>
      <c r="F86" s="129"/>
      <c r="G86" s="129"/>
      <c r="H86" s="129"/>
      <c r="I86" s="127"/>
      <c r="J86" s="127"/>
      <c r="K86" s="127"/>
      <c r="L86" s="127"/>
      <c r="M86" s="133"/>
      <c r="N86" s="127"/>
      <c r="O86" s="127"/>
      <c r="P86" s="127"/>
      <c r="Q86" s="127"/>
      <c r="R86" s="127"/>
      <c r="S86" s="127"/>
      <c r="T86" s="127"/>
      <c r="U86" s="129"/>
      <c r="V86" s="129"/>
      <c r="W86" s="129"/>
      <c r="X86" s="129"/>
      <c r="Y86" s="131"/>
      <c r="Z86" s="129"/>
      <c r="AA86" s="129"/>
      <c r="AB86" s="129"/>
      <c r="AC86" s="129"/>
      <c r="AD86" s="129"/>
      <c r="AE86" s="129"/>
      <c r="AF86" s="129"/>
      <c r="AG86" s="129"/>
      <c r="AH86" s="129"/>
      <c r="AI86" s="129"/>
      <c r="AJ86" s="50"/>
      <c r="AK86" s="50"/>
      <c r="AL86" s="50"/>
      <c r="AM86" s="50"/>
      <c r="AN86" s="53"/>
      <c r="AO86" s="53"/>
      <c r="AP86" s="53"/>
      <c r="AQ86" s="53"/>
      <c r="AR86" s="53"/>
      <c r="AS86" s="53"/>
      <c r="AT86" s="53"/>
      <c r="AU86" s="53"/>
      <c r="AV86" s="53"/>
      <c r="AW86" s="54"/>
      <c r="AX86" s="46"/>
      <c r="AY86" s="46"/>
      <c r="AZ86" s="46"/>
      <c r="BA86" s="46"/>
      <c r="BB86" s="46"/>
      <c r="BC86" s="46"/>
      <c r="BD86" s="46"/>
      <c r="BE86" s="46"/>
      <c r="BF86" s="46"/>
      <c r="BG86" s="46"/>
      <c r="BH86" s="46"/>
      <c r="BI86" s="46"/>
      <c r="BJ86" s="46"/>
      <c r="BK86" s="46"/>
      <c r="BL86" s="46"/>
      <c r="BM86" s="46"/>
      <c r="BN86" s="46"/>
      <c r="BO86" s="46"/>
      <c r="BP86" s="46"/>
      <c r="BQ86" s="46"/>
      <c r="BR86" s="46"/>
      <c r="BS86" s="46"/>
    </row>
    <row r="87" spans="3:71" ht="14.25">
      <c r="D87" s="47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  <c r="AX87" s="48"/>
      <c r="AY87" s="48"/>
      <c r="AZ87" s="48"/>
      <c r="BA87" s="48"/>
      <c r="BB87" s="48"/>
      <c r="BC87" s="48"/>
      <c r="BD87" s="47"/>
      <c r="BE87" s="125"/>
      <c r="BF87" s="125"/>
      <c r="BG87" s="125"/>
      <c r="BH87" s="125"/>
      <c r="BI87" s="125"/>
      <c r="BJ87" s="125"/>
      <c r="BK87" s="125"/>
      <c r="BL87" s="125"/>
      <c r="BM87" s="125"/>
      <c r="BN87" s="125"/>
      <c r="BO87" s="125"/>
    </row>
    <row r="92" spans="3:71">
      <c r="C92" s="15" t="s">
        <v>43</v>
      </c>
      <c r="D92" s="82" t="e">
        <f>AVERAGE(E57:AW61,E64:AW68,E71:AW75)</f>
        <v>#DIV/0!</v>
      </c>
    </row>
    <row r="93" spans="3:71">
      <c r="C93" s="15" t="s">
        <v>44</v>
      </c>
      <c r="D93" s="82" t="e">
        <f>AVERAGE(E11:AW15,E18:AW22,E25:AW29,E32:AW36)</f>
        <v>#DIV/0!</v>
      </c>
    </row>
    <row r="94" spans="3:71">
      <c r="C94" s="15" t="s">
        <v>45</v>
      </c>
      <c r="D94" s="82">
        <f>AVERAGE(E50:AW54)</f>
        <v>2.880666666666666</v>
      </c>
    </row>
  </sheetData>
  <sheetProtection algorithmName="SHA-512" hashValue="G36vqcIgxM7qv85keeqszfMAaRaiXe8nuBwxFFpZLErm8W/51R/mBu033giHnzLNqDcGnjuoNPipuEaPbWPGRg==" saltValue="E2MWceYT7Mz9KoEpmuDZAA==" spinCount="100000" sheet="1" objects="1" scenarios="1" selectLockedCells="1"/>
  <mergeCells count="33">
    <mergeCell ref="T1:V1"/>
    <mergeCell ref="T2:V2"/>
    <mergeCell ref="C85:H86"/>
    <mergeCell ref="C25:C31"/>
    <mergeCell ref="C8:C10"/>
    <mergeCell ref="C11:C17"/>
    <mergeCell ref="C18:C24"/>
    <mergeCell ref="C78:D78"/>
    <mergeCell ref="C79:D79"/>
    <mergeCell ref="C32:C38"/>
    <mergeCell ref="C71:C77"/>
    <mergeCell ref="E3:G3"/>
    <mergeCell ref="E4:G4"/>
    <mergeCell ref="E6:G6"/>
    <mergeCell ref="M1:N2"/>
    <mergeCell ref="O1:S2"/>
    <mergeCell ref="BE87:BO87"/>
    <mergeCell ref="N85:T86"/>
    <mergeCell ref="U85:X86"/>
    <mergeCell ref="Y85:AI86"/>
    <mergeCell ref="I85:M86"/>
    <mergeCell ref="D1:E1"/>
    <mergeCell ref="D2:E2"/>
    <mergeCell ref="K1:L2"/>
    <mergeCell ref="C57:C63"/>
    <mergeCell ref="C50:C56"/>
    <mergeCell ref="E5:G5"/>
    <mergeCell ref="C39:C45"/>
    <mergeCell ref="AS3:AW4"/>
    <mergeCell ref="AN3:AR4"/>
    <mergeCell ref="C64:C70"/>
    <mergeCell ref="C46:D46"/>
    <mergeCell ref="C47:D47"/>
  </mergeCells>
  <phoneticPr fontId="3" type="noConversion"/>
  <dataValidations count="1">
    <dataValidation type="list" allowBlank="1" showInputMessage="1" showErrorMessage="1" sqref="E10:AW10">
      <formula1>Turnos</formula1>
    </dataValidation>
  </dataValidations>
  <printOptions horizontalCentered="1" verticalCentered="1"/>
  <pageMargins left="0" right="0" top="0.59055118110236227" bottom="0.59055118110236227" header="0.39370078740157483" footer="0.23622047244094491"/>
  <pageSetup paperSize="9" scale="46" fitToHeight="2" orientation="landscape" r:id="rId1"/>
  <headerFooter alignWithMargins="0">
    <oddFooter>&amp;R&amp;A</oddFooter>
  </headerFooter>
  <rowBreaks count="1" manualBreakCount="1">
    <brk id="49" max="4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Configurações</vt:lpstr>
      <vt:lpstr>SJCPIL-R 15-077-04</vt:lpstr>
      <vt:lpstr>'SJCPIL-R 15-077-04'!Area_de_impressao</vt:lpstr>
      <vt:lpstr>'SJCPIL-R 15-077-04'!Titulos_de_impressao</vt:lpstr>
      <vt:lpstr>UM_1_XM_PESO_TB</vt:lpstr>
      <vt:lpstr>UM_3_XM_PESO_TB</vt:lpstr>
      <vt:lpstr>UM_4_XM_PESO_TB</vt:lpstr>
    </vt:vector>
  </TitlesOfParts>
  <Company>Panasonic do Brasil Limitada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otorquati</dc:creator>
  <cp:lastModifiedBy>Kleber Rodrigues de Oliveira</cp:lastModifiedBy>
  <cp:lastPrinted>2019-10-23T19:16:38Z</cp:lastPrinted>
  <dcterms:created xsi:type="dcterms:W3CDTF">2011-01-05T12:46:15Z</dcterms:created>
  <dcterms:modified xsi:type="dcterms:W3CDTF">2022-02-25T17:16:24Z</dcterms:modified>
</cp:coreProperties>
</file>