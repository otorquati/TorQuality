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UM-4\"/>
    </mc:Choice>
  </mc:AlternateContent>
  <xr:revisionPtr revIDLastSave="0" documentId="13_ncr:1_{3087C3D5-4CE5-4939-82FC-087F6B10EF22}" xr6:coauthVersionLast="47" xr6:coauthVersionMax="47" xr10:uidLastSave="{00000000-0000-0000-0000-000000000000}"/>
  <workbookProtection workbookAlgorithmName="SHA-512" workbookHashValue="B95RdJOJe+DEILtw2k/GExQw9JbAcXVbwaUuOHtH1cawiQKS2NzHxeI1Sj7sW+L/iST+gpkrW0ENmV69zEeRmw==" workbookSaltValue="9e/iUZvt+3si4B5XII1GTQ==" workbookSpinCount="100000" lockStructure="1"/>
  <bookViews>
    <workbookView xWindow="-120" yWindow="-120" windowWidth="29040" windowHeight="16440" activeTab="3" xr2:uid="{00000000-000D-0000-FFFF-FFFF00000000}"/>
  </bookViews>
  <sheets>
    <sheet name="Configurações" sheetId="24" r:id="rId1"/>
    <sheet name="SJCPIL-R 16-408-02" sheetId="21" r:id="rId2"/>
    <sheet name="SJCPIL-R 16-410-02" sheetId="22" r:id="rId3"/>
    <sheet name="SJCPIL-R 16-415-02" sheetId="23" r:id="rId4"/>
  </sheets>
  <definedNames>
    <definedName name="_xlnm.Print_Area" localSheetId="1">'SJCPIL-R 16-408-02'!$A$1:$CF$63</definedName>
    <definedName name="_xlnm.Print_Area" localSheetId="2">'SJCPIL-R 16-410-02'!$A$1:$CF$63</definedName>
    <definedName name="_xlnm.Print_Area" localSheetId="3">'SJCPIL-R 16-415-02'!$A$1:$CF$63</definedName>
    <definedName name="Turnos">OFFSET(Configurações!$D$10,,,COUNTA(Configurações!$D$10:$D$16))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23" l="1"/>
  <c r="B56" i="22"/>
  <c r="BT54" i="23"/>
  <c r="BS54" i="23"/>
  <c r="BR54" i="23"/>
  <c r="BQ54" i="23"/>
  <c r="BP54" i="23"/>
  <c r="BO54" i="23"/>
  <c r="BN54" i="23"/>
  <c r="BM54" i="23"/>
  <c r="BL54" i="23"/>
  <c r="BK54" i="23"/>
  <c r="BJ54" i="23"/>
  <c r="BI54" i="23"/>
  <c r="BH54" i="23"/>
  <c r="BG54" i="23"/>
  <c r="BF54" i="23"/>
  <c r="BE54" i="23"/>
  <c r="BD54" i="23"/>
  <c r="BC54" i="23"/>
  <c r="BB54" i="23"/>
  <c r="BA54" i="23"/>
  <c r="AZ54" i="23"/>
  <c r="BT53" i="23"/>
  <c r="BS53" i="23"/>
  <c r="BR53" i="23"/>
  <c r="BQ53" i="23"/>
  <c r="BP53" i="23"/>
  <c r="BO53" i="23"/>
  <c r="BN53" i="23"/>
  <c r="BM53" i="23"/>
  <c r="BL53" i="23"/>
  <c r="BK53" i="23"/>
  <c r="BJ53" i="23"/>
  <c r="BI53" i="23"/>
  <c r="BH53" i="23"/>
  <c r="BG53" i="23"/>
  <c r="BF53" i="23"/>
  <c r="BE53" i="23"/>
  <c r="BD53" i="23"/>
  <c r="BC53" i="23"/>
  <c r="BB53" i="23"/>
  <c r="BA53" i="23"/>
  <c r="AZ53" i="23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BT54" i="21"/>
  <c r="BS54" i="21"/>
  <c r="BR54" i="21"/>
  <c r="BQ54" i="21"/>
  <c r="BP54" i="21"/>
  <c r="BO54" i="21"/>
  <c r="BN54" i="21"/>
  <c r="BM54" i="21"/>
  <c r="BL54" i="21"/>
  <c r="BK54" i="21"/>
  <c r="BJ54" i="21"/>
  <c r="BI54" i="21"/>
  <c r="BH54" i="21"/>
  <c r="BG54" i="21"/>
  <c r="BF54" i="21"/>
  <c r="BE54" i="21"/>
  <c r="BD54" i="21"/>
  <c r="BC54" i="21"/>
  <c r="BB54" i="21"/>
  <c r="BA54" i="21"/>
  <c r="AZ54" i="21"/>
  <c r="BT53" i="21"/>
  <c r="BS53" i="21"/>
  <c r="BR53" i="21"/>
  <c r="BQ53" i="21"/>
  <c r="BP53" i="21"/>
  <c r="BO53" i="21"/>
  <c r="BN53" i="21"/>
  <c r="BM53" i="21"/>
  <c r="BL53" i="21"/>
  <c r="BK53" i="21"/>
  <c r="BJ53" i="21"/>
  <c r="BI53" i="21"/>
  <c r="BH53" i="21"/>
  <c r="BG53" i="21"/>
  <c r="BF53" i="21"/>
  <c r="BE53" i="21"/>
  <c r="BD53" i="21"/>
  <c r="BC53" i="21"/>
  <c r="BB53" i="21"/>
  <c r="BA53" i="21"/>
  <c r="AZ53" i="21"/>
  <c r="CE54" i="21"/>
  <c r="CD54" i="21"/>
  <c r="CC54" i="21"/>
  <c r="CB54" i="21"/>
  <c r="CA54" i="21"/>
  <c r="BZ54" i="21"/>
  <c r="BY54" i="21"/>
  <c r="BX54" i="21"/>
  <c r="CE53" i="21"/>
  <c r="CD53" i="21"/>
  <c r="CC53" i="21"/>
  <c r="CB53" i="21"/>
  <c r="CA53" i="21"/>
  <c r="BZ53" i="21"/>
  <c r="BY53" i="21"/>
  <c r="BX53" i="21"/>
  <c r="CE54" i="22"/>
  <c r="CD54" i="22"/>
  <c r="CC54" i="22"/>
  <c r="CB54" i="22"/>
  <c r="CA54" i="22"/>
  <c r="BZ54" i="22"/>
  <c r="BY54" i="22"/>
  <c r="BX54" i="22"/>
  <c r="CE53" i="22"/>
  <c r="CD53" i="22"/>
  <c r="CC53" i="22"/>
  <c r="CB53" i="22"/>
  <c r="CA53" i="22"/>
  <c r="BZ53" i="22"/>
  <c r="BY53" i="22"/>
  <c r="BX53" i="22"/>
  <c r="BW54" i="23"/>
  <c r="BV54" i="23"/>
  <c r="BU54" i="23"/>
  <c r="BW53" i="23"/>
  <c r="BV53" i="23"/>
  <c r="BU53" i="23"/>
  <c r="BW54" i="22"/>
  <c r="BV54" i="22"/>
  <c r="BU54" i="22"/>
  <c r="BW53" i="22"/>
  <c r="BV53" i="22"/>
  <c r="BU53" i="22"/>
  <c r="BW54" i="21"/>
  <c r="BV54" i="21"/>
  <c r="BU54" i="21"/>
  <c r="BW53" i="21"/>
  <c r="BV53" i="21"/>
  <c r="BU53" i="21"/>
  <c r="CB4" i="21"/>
  <c r="BX4" i="21"/>
  <c r="D53" i="21"/>
  <c r="AB53" i="21"/>
  <c r="AC53" i="21"/>
  <c r="AD53" i="21"/>
  <c r="AE53" i="21"/>
  <c r="AF53" i="21"/>
  <c r="AG53" i="21"/>
  <c r="AH53" i="21"/>
  <c r="AI53" i="21"/>
  <c r="AJ53" i="21"/>
  <c r="AK53" i="21"/>
  <c r="AL53" i="21"/>
  <c r="AM53" i="21"/>
  <c r="AB54" i="21"/>
  <c r="AC54" i="21"/>
  <c r="AD54" i="21"/>
  <c r="AE54" i="21"/>
  <c r="AF54" i="21"/>
  <c r="AG54" i="21"/>
  <c r="AH54" i="21"/>
  <c r="AI54" i="21"/>
  <c r="AJ54" i="21"/>
  <c r="AK54" i="21"/>
  <c r="AL54" i="21"/>
  <c r="AM54" i="21"/>
  <c r="R53" i="23" l="1"/>
  <c r="Q53" i="23"/>
  <c r="S53" i="23"/>
  <c r="T53" i="23"/>
  <c r="U53" i="23"/>
  <c r="V53" i="23"/>
  <c r="W53" i="23"/>
  <c r="X53" i="23"/>
  <c r="Y53" i="23"/>
  <c r="Z53" i="23"/>
  <c r="AA53" i="23"/>
  <c r="AB53" i="23"/>
  <c r="AC53" i="23"/>
  <c r="Q54" i="23"/>
  <c r="R54" i="23"/>
  <c r="S54" i="23"/>
  <c r="T54" i="23"/>
  <c r="U54" i="23"/>
  <c r="V54" i="23"/>
  <c r="W54" i="23"/>
  <c r="X54" i="23"/>
  <c r="Y54" i="23"/>
  <c r="Z54" i="23"/>
  <c r="AA54" i="23"/>
  <c r="AB54" i="23"/>
  <c r="AC54" i="23"/>
  <c r="N53" i="23"/>
  <c r="N54" i="23"/>
  <c r="Q53" i="21"/>
  <c r="R53" i="21"/>
  <c r="S53" i="21"/>
  <c r="T53" i="21"/>
  <c r="U53" i="21"/>
  <c r="V53" i="21"/>
  <c r="P54" i="21"/>
  <c r="P53" i="21"/>
  <c r="E53" i="21" l="1"/>
  <c r="F53" i="21"/>
  <c r="G53" i="21"/>
  <c r="H53" i="21"/>
  <c r="I53" i="21"/>
  <c r="J53" i="21"/>
  <c r="AV53" i="23" l="1"/>
  <c r="AW53" i="23"/>
  <c r="AX53" i="23"/>
  <c r="AY53" i="23"/>
  <c r="BX53" i="23"/>
  <c r="AV54" i="23"/>
  <c r="AW54" i="23"/>
  <c r="AX54" i="23"/>
  <c r="AY54" i="23"/>
  <c r="BX54" i="23"/>
  <c r="AW53" i="22"/>
  <c r="AX53" i="22"/>
  <c r="AY53" i="22"/>
  <c r="AW54" i="22"/>
  <c r="AX54" i="22"/>
  <c r="AY54" i="22"/>
  <c r="AV53" i="21"/>
  <c r="AW53" i="21"/>
  <c r="AX53" i="21"/>
  <c r="AY53" i="21"/>
  <c r="AV54" i="21"/>
  <c r="AW54" i="21"/>
  <c r="AX54" i="21"/>
  <c r="AY54" i="21"/>
  <c r="AD53" i="23" l="1"/>
  <c r="AE53" i="23"/>
  <c r="AF53" i="23"/>
  <c r="AG53" i="23"/>
  <c r="AH53" i="23"/>
  <c r="AI53" i="23"/>
  <c r="AJ53" i="23"/>
  <c r="AK53" i="23"/>
  <c r="AL53" i="23"/>
  <c r="AM53" i="23"/>
  <c r="AN53" i="23"/>
  <c r="AO53" i="23"/>
  <c r="AP53" i="23"/>
  <c r="AQ53" i="23"/>
  <c r="AR53" i="23"/>
  <c r="AS53" i="23"/>
  <c r="AT53" i="23"/>
  <c r="AD54" i="23"/>
  <c r="AE54" i="23"/>
  <c r="AF54" i="23"/>
  <c r="AG54" i="23"/>
  <c r="AH54" i="23"/>
  <c r="AI54" i="23"/>
  <c r="AJ54" i="23"/>
  <c r="AK54" i="23"/>
  <c r="AL54" i="23"/>
  <c r="AM54" i="23"/>
  <c r="AN54" i="23"/>
  <c r="AO54" i="23"/>
  <c r="AP54" i="23"/>
  <c r="AQ54" i="23"/>
  <c r="AR54" i="23"/>
  <c r="AS54" i="23"/>
  <c r="AT54" i="23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A53" i="21"/>
  <c r="AN53" i="21"/>
  <c r="AO53" i="21"/>
  <c r="AP53" i="21"/>
  <c r="AQ53" i="21"/>
  <c r="AR53" i="21"/>
  <c r="AA54" i="21"/>
  <c r="AN54" i="21"/>
  <c r="AO54" i="21"/>
  <c r="AP54" i="21"/>
  <c r="AQ54" i="21"/>
  <c r="AR54" i="21"/>
  <c r="Z53" i="21" l="1"/>
  <c r="Z54" i="21"/>
  <c r="AT53" i="21" l="1"/>
  <c r="L53" i="22" l="1"/>
  <c r="M53" i="22"/>
  <c r="N53" i="22"/>
  <c r="N53" i="21"/>
  <c r="BX4" i="22" l="1"/>
  <c r="BX4" i="23"/>
  <c r="AU54" i="23" l="1"/>
  <c r="AU53" i="23"/>
  <c r="AV54" i="22"/>
  <c r="AU54" i="22"/>
  <c r="AT54" i="22"/>
  <c r="AS54" i="22"/>
  <c r="Z54" i="22"/>
  <c r="Y54" i="22"/>
  <c r="X54" i="22"/>
  <c r="W54" i="22"/>
  <c r="V54" i="22"/>
  <c r="AV53" i="22"/>
  <c r="AU53" i="22"/>
  <c r="AT53" i="22"/>
  <c r="AS53" i="22"/>
  <c r="Z53" i="22"/>
  <c r="Y53" i="22"/>
  <c r="X53" i="22"/>
  <c r="W53" i="22"/>
  <c r="V53" i="22"/>
  <c r="AU54" i="21"/>
  <c r="AT54" i="21"/>
  <c r="AS54" i="21"/>
  <c r="Y54" i="21"/>
  <c r="X54" i="21"/>
  <c r="W54" i="21"/>
  <c r="V54" i="21"/>
  <c r="AU53" i="21"/>
  <c r="AS53" i="21"/>
  <c r="Y53" i="21"/>
  <c r="X53" i="21"/>
  <c r="W53" i="21"/>
  <c r="K53" i="22" l="1"/>
  <c r="CB4" i="23" l="1"/>
  <c r="CB4" i="22"/>
  <c r="C75" i="23"/>
  <c r="E67" i="23"/>
  <c r="C73" i="23" s="1"/>
  <c r="CE54" i="23"/>
  <c r="CD54" i="23"/>
  <c r="CC54" i="23"/>
  <c r="CB54" i="23"/>
  <c r="CA54" i="23"/>
  <c r="BZ54" i="23"/>
  <c r="BY54" i="23"/>
  <c r="P54" i="23"/>
  <c r="O54" i="23"/>
  <c r="M54" i="23"/>
  <c r="L54" i="23"/>
  <c r="K54" i="23"/>
  <c r="J54" i="23"/>
  <c r="I54" i="23"/>
  <c r="H54" i="23"/>
  <c r="G54" i="23"/>
  <c r="F54" i="23"/>
  <c r="E54" i="23"/>
  <c r="D54" i="23"/>
  <c r="C54" i="23"/>
  <c r="CE53" i="23"/>
  <c r="CD53" i="23"/>
  <c r="CC53" i="23"/>
  <c r="CB53" i="23"/>
  <c r="CA53" i="23"/>
  <c r="BZ53" i="23"/>
  <c r="BY53" i="23"/>
  <c r="P53" i="23"/>
  <c r="O53" i="23"/>
  <c r="M53" i="23"/>
  <c r="L53" i="23"/>
  <c r="K53" i="23"/>
  <c r="J53" i="23"/>
  <c r="I53" i="23"/>
  <c r="H53" i="23"/>
  <c r="G53" i="23"/>
  <c r="F53" i="23"/>
  <c r="E53" i="23"/>
  <c r="D53" i="23"/>
  <c r="C53" i="23"/>
  <c r="C67" i="23" l="1"/>
  <c r="C74" i="23" s="1"/>
  <c r="C69" i="23"/>
  <c r="C66" i="23" s="1"/>
  <c r="C68" i="23" l="1"/>
  <c r="C75" i="22"/>
  <c r="E67" i="22"/>
  <c r="C73" i="22" s="1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U53" i="22"/>
  <c r="T53" i="22"/>
  <c r="S53" i="22"/>
  <c r="R53" i="22"/>
  <c r="Q53" i="22"/>
  <c r="P53" i="22"/>
  <c r="O53" i="22"/>
  <c r="J53" i="22"/>
  <c r="I53" i="22"/>
  <c r="H53" i="22"/>
  <c r="G53" i="22"/>
  <c r="F53" i="22"/>
  <c r="E53" i="22"/>
  <c r="D53" i="22"/>
  <c r="C53" i="22"/>
  <c r="C67" i="22" l="1"/>
  <c r="C74" i="22" s="1"/>
  <c r="C69" i="22"/>
  <c r="C66" i="22" s="1"/>
  <c r="C68" i="22" l="1"/>
  <c r="C75" i="21"/>
  <c r="E67" i="21"/>
  <c r="C73" i="21" s="1"/>
  <c r="U54" i="21"/>
  <c r="T54" i="21"/>
  <c r="S54" i="21"/>
  <c r="R54" i="21"/>
  <c r="Q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O53" i="21"/>
  <c r="M53" i="21"/>
  <c r="L53" i="21"/>
  <c r="K53" i="21"/>
  <c r="C53" i="21"/>
  <c r="E6" i="21"/>
  <c r="G5" i="21"/>
  <c r="G4" i="21" s="1"/>
  <c r="E4" i="21"/>
  <c r="G6" i="21" l="1"/>
  <c r="C67" i="21"/>
  <c r="C74" i="21" s="1"/>
  <c r="C69" i="21"/>
  <c r="C68" i="21" l="1"/>
  <c r="C66" i="21"/>
</calcChain>
</file>

<file path=xl/sharedStrings.xml><?xml version="1.0" encoding="utf-8"?>
<sst xmlns="http://schemas.openxmlformats.org/spreadsheetml/2006/main" count="171" uniqueCount="61">
  <si>
    <t>Modelo:</t>
  </si>
  <si>
    <t>Máquina:</t>
  </si>
  <si>
    <t>Característica:</t>
  </si>
  <si>
    <t>Especificação</t>
  </si>
  <si>
    <t>LSE=</t>
  </si>
  <si>
    <t>X</t>
  </si>
  <si>
    <t>D=diurno</t>
  </si>
  <si>
    <t>Visto:</t>
  </si>
  <si>
    <t>LIE=</t>
  </si>
  <si>
    <t>N=noturno</t>
  </si>
  <si>
    <t>R</t>
  </si>
  <si>
    <t>Medida: unid.(mm)</t>
  </si>
  <si>
    <t>Grupo</t>
  </si>
  <si>
    <t>Data</t>
  </si>
  <si>
    <t>Média</t>
  </si>
  <si>
    <t>Visto do operador</t>
  </si>
  <si>
    <t>Legenda:</t>
  </si>
  <si>
    <t>Diário de Bordo:</t>
  </si>
  <si>
    <t>Data:</t>
  </si>
  <si>
    <t>LSC</t>
  </si>
  <si>
    <t>LIC</t>
  </si>
  <si>
    <t>Limites Calculados</t>
  </si>
  <si>
    <t>S</t>
  </si>
  <si>
    <t>Cálculo de Cp e Cpk</t>
  </si>
  <si>
    <t>Cp</t>
  </si>
  <si>
    <t>Cpk</t>
  </si>
  <si>
    <t>Controle da Qualidade:</t>
  </si>
  <si>
    <t>Produção:</t>
  </si>
  <si>
    <t xml:space="preserve">Data: </t>
  </si>
  <si>
    <t>LSC=</t>
  </si>
  <si>
    <t>LIC=</t>
  </si>
  <si>
    <t>LC=</t>
  </si>
  <si>
    <t>Turno</t>
  </si>
  <si>
    <t>CONTROLE ESTATÍSTICO DO PROCESSO (CEP)</t>
  </si>
  <si>
    <t>UM-4</t>
  </si>
  <si>
    <t>SETOR: Montagem</t>
  </si>
  <si>
    <t>1 vez / turno</t>
  </si>
  <si>
    <t>Fechamento da boca do tubo</t>
  </si>
  <si>
    <t>Amostra n= 5</t>
  </si>
  <si>
    <t>Altura ombro sem Bottom Plate</t>
  </si>
  <si>
    <t>Limites de Especificação</t>
  </si>
  <si>
    <t>Limites de Controle</t>
  </si>
  <si>
    <t>SJCPIL-I 16-414-XX</t>
  </si>
  <si>
    <t>Tampão</t>
  </si>
  <si>
    <t>Controle de peso da bobina</t>
  </si>
  <si>
    <t>SJCPIL-I 16-408-XX</t>
  </si>
  <si>
    <t>Sistema de Gestão Integrado</t>
  </si>
  <si>
    <t>Panasonic do Brasil Limitada</t>
  </si>
  <si>
    <t>Carvão</t>
  </si>
  <si>
    <t>Altura Ombro (A3)</t>
  </si>
  <si>
    <t>SJCPIL-I 16-410-XX</t>
  </si>
  <si>
    <t>Gerência</t>
  </si>
  <si>
    <t>D</t>
  </si>
  <si>
    <t>Configurações</t>
  </si>
  <si>
    <t>Responsável</t>
  </si>
  <si>
    <t>3° T</t>
  </si>
  <si>
    <t>2º T</t>
  </si>
  <si>
    <t>Renato Pires</t>
  </si>
  <si>
    <t>Turnos</t>
  </si>
  <si>
    <t xml:space="preserve"> </t>
  </si>
  <si>
    <t>Visto do Lider / 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</si>
</sst>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5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sz val="10"/>
      <name val="Arial"/>
      <family val="2"/>
    </font>
    <font>
      <sz val="16"/>
      <name val="SwitzerlandBlack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6"/>
      <name val="Arial"/>
      <family val="2"/>
    </font>
    <font>
      <b/>
      <sz val="14"/>
      <name val="Arial"/>
      <family val="2"/>
    </font>
    <font>
      <sz val="8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6"/>
      <name val="Franklin Gothic Book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/>
  </cellStyleXfs>
  <cellXfs count="169">
    <xf numFmtId="0" fontId="0" fillId="0" borderId="0" xfId="0"/>
    <xf numFmtId="2" fontId="18" fillId="0" borderId="2" xfId="4" applyNumberFormat="1" applyFont="1" applyBorder="1" applyProtection="1">
      <protection locked="0"/>
    </xf>
    <xf numFmtId="2" fontId="18" fillId="0" borderId="3" xfId="4" applyNumberFormat="1" applyFont="1" applyBorder="1" applyProtection="1">
      <protection locked="0"/>
    </xf>
    <xf numFmtId="2" fontId="18" fillId="0" borderId="4" xfId="4" applyNumberFormat="1" applyFont="1" applyBorder="1" applyProtection="1">
      <protection locked="0"/>
    </xf>
    <xf numFmtId="2" fontId="18" fillId="0" borderId="5" xfId="4" applyNumberFormat="1" applyFont="1" applyBorder="1" applyProtection="1">
      <protection locked="0"/>
    </xf>
    <xf numFmtId="2" fontId="18" fillId="0" borderId="6" xfId="4" applyNumberFormat="1" applyFont="1" applyBorder="1" applyProtection="1">
      <protection locked="0"/>
    </xf>
    <xf numFmtId="2" fontId="18" fillId="0" borderId="7" xfId="4" applyNumberFormat="1" applyFont="1" applyBorder="1" applyProtection="1">
      <protection locked="0"/>
    </xf>
    <xf numFmtId="0" fontId="16" fillId="0" borderId="1" xfId="4" applyFont="1" applyBorder="1" applyAlignment="1" applyProtection="1">
      <alignment horizontal="center"/>
      <protection locked="0"/>
    </xf>
    <xf numFmtId="0" fontId="16" fillId="0" borderId="8" xfId="4" applyFont="1" applyBorder="1" applyAlignment="1" applyProtection="1">
      <alignment horizontal="center"/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2" fillId="0" borderId="9" xfId="0" applyNumberFormat="1" applyFont="1" applyBorder="1" applyAlignment="1">
      <alignment vertical="center"/>
    </xf>
    <xf numFmtId="2" fontId="13" fillId="0" borderId="9" xfId="0" applyNumberFormat="1" applyFont="1" applyBorder="1" applyAlignment="1">
      <alignment vertical="center"/>
    </xf>
    <xf numFmtId="0" fontId="8" fillId="0" borderId="9" xfId="4" applyFont="1" applyBorder="1"/>
    <xf numFmtId="0" fontId="14" fillId="0" borderId="9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2" fillId="0" borderId="11" xfId="4" applyFont="1" applyBorder="1"/>
    <xf numFmtId="0" fontId="6" fillId="0" borderId="11" xfId="4" applyFont="1" applyBorder="1"/>
    <xf numFmtId="0" fontId="14" fillId="0" borderId="12" xfId="0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16" fillId="0" borderId="14" xfId="4" applyFont="1" applyBorder="1"/>
    <xf numFmtId="0" fontId="16" fillId="0" borderId="15" xfId="0" applyFont="1" applyBorder="1" applyAlignment="1">
      <alignment horizontal="left" vertical="center"/>
    </xf>
    <xf numFmtId="2" fontId="16" fillId="0" borderId="16" xfId="4" applyNumberFormat="1" applyFont="1" applyBorder="1" applyAlignment="1">
      <alignment horizontal="center"/>
    </xf>
    <xf numFmtId="0" fontId="16" fillId="4" borderId="17" xfId="0" applyFont="1" applyFill="1" applyBorder="1" applyAlignment="1">
      <alignment vertical="center"/>
    </xf>
    <xf numFmtId="2" fontId="16" fillId="4" borderId="18" xfId="4" applyNumberFormat="1" applyFont="1" applyFill="1" applyBorder="1" applyAlignment="1">
      <alignment horizontal="center"/>
    </xf>
    <xf numFmtId="0" fontId="16" fillId="0" borderId="0" xfId="4" applyFont="1" applyAlignment="1">
      <alignment vertical="center"/>
    </xf>
    <xf numFmtId="0" fontId="16" fillId="0" borderId="19" xfId="0" applyFont="1" applyBorder="1" applyAlignment="1">
      <alignment horizontal="left" vertical="center"/>
    </xf>
    <xf numFmtId="2" fontId="16" fillId="0" borderId="20" xfId="4" applyNumberFormat="1" applyFont="1" applyBorder="1" applyAlignment="1">
      <alignment horizontal="center" vertical="center"/>
    </xf>
    <xf numFmtId="0" fontId="16" fillId="4" borderId="21" xfId="0" applyFont="1" applyFill="1" applyBorder="1" applyAlignment="1">
      <alignment vertical="center"/>
    </xf>
    <xf numFmtId="2" fontId="16" fillId="4" borderId="22" xfId="4" applyNumberFormat="1" applyFont="1" applyFill="1" applyBorder="1" applyAlignment="1">
      <alignment horizontal="center" vertical="center"/>
    </xf>
    <xf numFmtId="0" fontId="16" fillId="0" borderId="23" xfId="4" applyFont="1" applyBorder="1" applyAlignment="1">
      <alignment vertical="center"/>
    </xf>
    <xf numFmtId="0" fontId="16" fillId="0" borderId="25" xfId="4" applyFont="1" applyBorder="1" applyAlignment="1">
      <alignment horizontal="center"/>
    </xf>
    <xf numFmtId="0" fontId="16" fillId="0" borderId="0" xfId="4" applyFont="1"/>
    <xf numFmtId="0" fontId="16" fillId="0" borderId="26" xfId="4" applyFont="1" applyBorder="1" applyAlignment="1">
      <alignment horizontal="center"/>
    </xf>
    <xf numFmtId="0" fontId="16" fillId="0" borderId="27" xfId="4" applyFont="1" applyBorder="1" applyAlignment="1">
      <alignment horizontal="center"/>
    </xf>
    <xf numFmtId="0" fontId="16" fillId="0" borderId="27" xfId="4" applyFont="1" applyBorder="1"/>
    <xf numFmtId="0" fontId="16" fillId="0" borderId="28" xfId="4" applyFont="1" applyBorder="1"/>
    <xf numFmtId="0" fontId="15" fillId="0" borderId="29" xfId="4" applyFont="1" applyBorder="1" applyAlignment="1">
      <alignment horizontal="right" vertical="center"/>
    </xf>
    <xf numFmtId="0" fontId="16" fillId="0" borderId="30" xfId="4" applyFont="1" applyBorder="1"/>
    <xf numFmtId="0" fontId="16" fillId="0" borderId="31" xfId="4" applyFont="1" applyBorder="1"/>
    <xf numFmtId="0" fontId="15" fillId="0" borderId="32" xfId="4" applyFont="1" applyBorder="1" applyAlignment="1">
      <alignment horizontal="right" vertical="center"/>
    </xf>
    <xf numFmtId="0" fontId="16" fillId="0" borderId="12" xfId="4" applyFont="1" applyBorder="1"/>
    <xf numFmtId="0" fontId="16" fillId="0" borderId="13" xfId="4" applyFont="1" applyBorder="1"/>
    <xf numFmtId="0" fontId="16" fillId="0" borderId="29" xfId="4" applyFont="1" applyBorder="1" applyAlignment="1">
      <alignment vertical="center"/>
    </xf>
    <xf numFmtId="0" fontId="18" fillId="0" borderId="0" xfId="4" applyFont="1"/>
    <xf numFmtId="2" fontId="18" fillId="0" borderId="6" xfId="4" applyNumberFormat="1" applyFont="1" applyBorder="1"/>
    <xf numFmtId="2" fontId="18" fillId="0" borderId="7" xfId="4" applyNumberFormat="1" applyFont="1" applyBorder="1"/>
    <xf numFmtId="0" fontId="18" fillId="0" borderId="33" xfId="4" applyFont="1" applyBorder="1"/>
    <xf numFmtId="0" fontId="18" fillId="0" borderId="34" xfId="4" applyFont="1" applyBorder="1"/>
    <xf numFmtId="0" fontId="4" fillId="0" borderId="35" xfId="0" applyFont="1" applyBorder="1" applyAlignment="1">
      <alignment horizontal="center" vertical="center"/>
    </xf>
    <xf numFmtId="0" fontId="16" fillId="0" borderId="30" xfId="4" applyFont="1" applyBorder="1" applyAlignment="1">
      <alignment vertical="top"/>
    </xf>
    <xf numFmtId="0" fontId="19" fillId="0" borderId="0" xfId="0" applyFont="1" applyAlignment="1">
      <alignment horizontal="left"/>
    </xf>
    <xf numFmtId="0" fontId="1" fillId="0" borderId="0" xfId="0" applyFont="1"/>
    <xf numFmtId="0" fontId="20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6" fillId="0" borderId="37" xfId="4" applyFont="1" applyBorder="1" applyAlignment="1">
      <alignment horizontal="center" vertical="center"/>
    </xf>
    <xf numFmtId="0" fontId="16" fillId="0" borderId="26" xfId="4" quotePrefix="1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2" fontId="18" fillId="0" borderId="33" xfId="4" applyNumberFormat="1" applyFont="1" applyBorder="1"/>
    <xf numFmtId="0" fontId="16" fillId="0" borderId="39" xfId="4" applyFont="1" applyBorder="1" applyProtection="1">
      <protection locked="0"/>
    </xf>
    <xf numFmtId="0" fontId="16" fillId="0" borderId="40" xfId="4" applyFont="1" applyBorder="1" applyProtection="1">
      <protection locked="0"/>
    </xf>
    <xf numFmtId="0" fontId="18" fillId="0" borderId="41" xfId="4" applyFont="1" applyBorder="1" applyProtection="1">
      <protection locked="0"/>
    </xf>
    <xf numFmtId="0" fontId="18" fillId="0" borderId="42" xfId="4" applyFont="1" applyBorder="1" applyProtection="1">
      <protection locked="0"/>
    </xf>
    <xf numFmtId="0" fontId="18" fillId="0" borderId="43" xfId="4" applyFont="1" applyBorder="1" applyProtection="1">
      <protection locked="0"/>
    </xf>
    <xf numFmtId="0" fontId="18" fillId="0" borderId="44" xfId="4" applyFont="1" applyBorder="1" applyProtection="1">
      <protection locked="0"/>
    </xf>
    <xf numFmtId="0" fontId="18" fillId="0" borderId="45" xfId="4" applyFont="1" applyBorder="1" applyProtection="1">
      <protection locked="0"/>
    </xf>
    <xf numFmtId="0" fontId="18" fillId="0" borderId="46" xfId="4" applyFont="1" applyBorder="1" applyProtection="1">
      <protection locked="0"/>
    </xf>
    <xf numFmtId="0" fontId="16" fillId="0" borderId="0" xfId="4" applyFont="1" applyProtection="1">
      <protection locked="0"/>
    </xf>
    <xf numFmtId="0" fontId="16" fillId="0" borderId="28" xfId="4" applyFont="1" applyBorder="1" applyProtection="1">
      <protection locked="0"/>
    </xf>
    <xf numFmtId="0" fontId="16" fillId="0" borderId="12" xfId="4" applyFont="1" applyBorder="1" applyProtection="1">
      <protection locked="0"/>
    </xf>
    <xf numFmtId="0" fontId="16" fillId="0" borderId="13" xfId="4" applyFont="1" applyBorder="1" applyProtection="1">
      <protection locked="0"/>
    </xf>
    <xf numFmtId="0" fontId="16" fillId="0" borderId="0" xfId="4" applyFont="1" applyAlignment="1">
      <alignment vertical="center" wrapText="1"/>
    </xf>
    <xf numFmtId="0" fontId="6" fillId="0" borderId="29" xfId="4" applyFont="1" applyBorder="1"/>
    <xf numFmtId="0" fontId="15" fillId="0" borderId="59" xfId="4" applyFont="1" applyBorder="1" applyAlignment="1">
      <alignment horizontal="center" vertical="center"/>
    </xf>
    <xf numFmtId="0" fontId="15" fillId="0" borderId="60" xfId="4" applyFont="1" applyBorder="1" applyAlignment="1">
      <alignment horizontal="center" vertical="center"/>
    </xf>
    <xf numFmtId="0" fontId="15" fillId="0" borderId="59" xfId="4" applyFont="1" applyBorder="1" applyAlignment="1">
      <alignment horizontal="left" vertical="center"/>
    </xf>
    <xf numFmtId="0" fontId="16" fillId="0" borderId="28" xfId="4" applyFont="1" applyBorder="1" applyAlignment="1">
      <alignment vertical="center"/>
    </xf>
    <xf numFmtId="0" fontId="16" fillId="0" borderId="61" xfId="4" applyFont="1" applyBorder="1" applyAlignment="1">
      <alignment vertical="center"/>
    </xf>
    <xf numFmtId="0" fontId="16" fillId="0" borderId="12" xfId="4" applyFont="1" applyBorder="1" applyAlignment="1">
      <alignment horizontal="center" vertical="center"/>
    </xf>
    <xf numFmtId="0" fontId="16" fillId="0" borderId="62" xfId="0" applyFont="1" applyBorder="1" applyAlignment="1">
      <alignment horizontal="left" vertical="center"/>
    </xf>
    <xf numFmtId="2" fontId="16" fillId="0" borderId="11" xfId="4" applyNumberFormat="1" applyFont="1" applyBorder="1" applyAlignment="1">
      <alignment horizontal="center" vertical="center"/>
    </xf>
    <xf numFmtId="0" fontId="16" fillId="4" borderId="63" xfId="0" applyFont="1" applyFill="1" applyBorder="1" applyAlignment="1">
      <alignment vertical="center"/>
    </xf>
    <xf numFmtId="2" fontId="16" fillId="4" borderId="64" xfId="4" applyNumberFormat="1" applyFont="1" applyFill="1" applyBorder="1" applyAlignment="1">
      <alignment horizontal="center" vertical="center"/>
    </xf>
    <xf numFmtId="0" fontId="16" fillId="0" borderId="12" xfId="4" applyFont="1" applyBorder="1" applyAlignment="1">
      <alignment vertical="center"/>
    </xf>
    <xf numFmtId="0" fontId="16" fillId="0" borderId="12" xfId="4" applyFont="1" applyBorder="1" applyAlignment="1">
      <alignment vertical="center" wrapText="1"/>
    </xf>
    <xf numFmtId="0" fontId="16" fillId="0" borderId="13" xfId="4" applyFont="1" applyBorder="1" applyAlignment="1">
      <alignment vertical="center"/>
    </xf>
    <xf numFmtId="0" fontId="6" fillId="0" borderId="66" xfId="4" applyFont="1" applyBorder="1"/>
    <xf numFmtId="0" fontId="6" fillId="0" borderId="67" xfId="4" applyFont="1" applyBorder="1"/>
    <xf numFmtId="0" fontId="16" fillId="0" borderId="0" xfId="4" applyFont="1" applyAlignment="1">
      <alignment horizontal="center" vertical="center"/>
    </xf>
    <xf numFmtId="2" fontId="16" fillId="0" borderId="29" xfId="4" applyNumberFormat="1" applyFont="1" applyBorder="1" applyAlignment="1">
      <alignment horizontal="right" vertical="center"/>
    </xf>
    <xf numFmtId="2" fontId="18" fillId="0" borderId="5" xfId="4" applyNumberFormat="1" applyFont="1" applyBorder="1"/>
    <xf numFmtId="0" fontId="20" fillId="0" borderId="30" xfId="4" applyFont="1" applyBorder="1" applyAlignment="1">
      <alignment horizontal="centerContinuous"/>
    </xf>
    <xf numFmtId="0" fontId="22" fillId="0" borderId="0" xfId="4" applyFont="1" applyAlignment="1">
      <alignment horizontal="centerContinuous"/>
    </xf>
    <xf numFmtId="0" fontId="20" fillId="0" borderId="47" xfId="0" applyFont="1" applyBorder="1" applyAlignment="1">
      <alignment horizontal="centerContinuous" vertical="center"/>
    </xf>
    <xf numFmtId="0" fontId="20" fillId="0" borderId="30" xfId="0" applyFont="1" applyBorder="1" applyAlignment="1">
      <alignment horizontal="centerContinuous" vertical="center"/>
    </xf>
    <xf numFmtId="0" fontId="20" fillId="0" borderId="30" xfId="0" applyFont="1" applyBorder="1" applyAlignment="1">
      <alignment horizontal="centerContinuous"/>
    </xf>
    <xf numFmtId="0" fontId="23" fillId="0" borderId="65" xfId="4" quotePrefix="1" applyFont="1" applyBorder="1" applyAlignment="1">
      <alignment horizontal="left"/>
    </xf>
    <xf numFmtId="0" fontId="21" fillId="0" borderId="29" xfId="0" applyFont="1" applyBorder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0" fontId="22" fillId="0" borderId="0" xfId="0" applyFont="1" applyAlignment="1">
      <alignment horizontal="centerContinuous"/>
    </xf>
    <xf numFmtId="0" fontId="16" fillId="0" borderId="0" xfId="0" applyFont="1" applyAlignment="1">
      <alignment vertical="center"/>
    </xf>
    <xf numFmtId="2" fontId="16" fillId="0" borderId="0" xfId="4" applyNumberFormat="1" applyFont="1"/>
    <xf numFmtId="0" fontId="16" fillId="0" borderId="12" xfId="0" applyFont="1" applyBorder="1" applyAlignment="1">
      <alignment vertical="center"/>
    </xf>
    <xf numFmtId="1" fontId="16" fillId="0" borderId="1" xfId="4" applyNumberFormat="1" applyFont="1" applyBorder="1" applyAlignment="1" applyProtection="1">
      <alignment horizontal="center"/>
      <protection locked="0"/>
    </xf>
    <xf numFmtId="2" fontId="18" fillId="0" borderId="38" xfId="4" applyNumberFormat="1" applyFont="1" applyBorder="1"/>
    <xf numFmtId="0" fontId="16" fillId="0" borderId="29" xfId="4" applyFont="1" applyBorder="1"/>
    <xf numFmtId="14" fontId="16" fillId="0" borderId="0" xfId="4" applyNumberFormat="1" applyFont="1" applyProtection="1">
      <protection locked="0"/>
    </xf>
    <xf numFmtId="0" fontId="16" fillId="0" borderId="32" xfId="4" applyFont="1" applyBorder="1" applyAlignment="1">
      <alignment horizontal="center" vertical="top"/>
    </xf>
    <xf numFmtId="0" fontId="16" fillId="0" borderId="12" xfId="4" applyFont="1" applyBorder="1" applyAlignment="1">
      <alignment horizontal="left" vertical="top"/>
    </xf>
    <xf numFmtId="0" fontId="16" fillId="0" borderId="68" xfId="4" applyFont="1" applyBorder="1" applyProtection="1">
      <protection locked="0"/>
    </xf>
    <xf numFmtId="0" fontId="16" fillId="0" borderId="69" xfId="4" applyFont="1" applyBorder="1" applyAlignment="1" applyProtection="1">
      <alignment horizontal="center"/>
      <protection locked="0"/>
    </xf>
    <xf numFmtId="0" fontId="24" fillId="0" borderId="0" xfId="0" applyFont="1"/>
    <xf numFmtId="0" fontId="4" fillId="0" borderId="0" xfId="0" applyFont="1"/>
    <xf numFmtId="0" fontId="9" fillId="0" borderId="0" xfId="0" applyFont="1"/>
    <xf numFmtId="0" fontId="0" fillId="5" borderId="0" xfId="0" applyFill="1" applyProtection="1">
      <protection locked="0"/>
    </xf>
    <xf numFmtId="0" fontId="4" fillId="5" borderId="0" xfId="0" applyFont="1" applyFill="1" applyProtection="1">
      <protection locked="0"/>
    </xf>
    <xf numFmtId="0" fontId="16" fillId="0" borderId="70" xfId="4" applyFont="1" applyBorder="1" applyAlignment="1" applyProtection="1">
      <alignment horizontal="center"/>
      <protection locked="0"/>
    </xf>
    <xf numFmtId="0" fontId="4" fillId="0" borderId="36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0" fillId="0" borderId="48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19" fillId="0" borderId="48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0" borderId="50" xfId="0" applyFont="1" applyBorder="1" applyAlignment="1">
      <alignment horizontal="left" vertical="center"/>
    </xf>
    <xf numFmtId="0" fontId="19" fillId="0" borderId="51" xfId="0" applyFont="1" applyBorder="1" applyAlignment="1">
      <alignment horizontal="left" vertical="center"/>
    </xf>
    <xf numFmtId="0" fontId="19" fillId="0" borderId="54" xfId="0" applyFont="1" applyBorder="1" applyAlignment="1">
      <alignment horizontal="left" vertical="center"/>
    </xf>
    <xf numFmtId="0" fontId="19" fillId="0" borderId="55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52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2" fontId="16" fillId="0" borderId="29" xfId="4" applyNumberFormat="1" applyFont="1" applyBorder="1" applyAlignment="1">
      <alignment horizontal="right" vertical="center"/>
    </xf>
    <xf numFmtId="49" fontId="16" fillId="0" borderId="29" xfId="4" applyNumberFormat="1" applyFont="1" applyBorder="1" applyAlignment="1">
      <alignment horizontal="right" vertical="center"/>
    </xf>
    <xf numFmtId="2" fontId="16" fillId="0" borderId="47" xfId="4" applyNumberFormat="1" applyFont="1" applyBorder="1" applyAlignment="1">
      <alignment horizontal="right" vertical="center"/>
    </xf>
    <xf numFmtId="0" fontId="16" fillId="0" borderId="47" xfId="4" applyFont="1" applyBorder="1" applyAlignment="1">
      <alignment horizontal="center" vertical="top"/>
    </xf>
    <xf numFmtId="0" fontId="16" fillId="0" borderId="30" xfId="4" applyFont="1" applyBorder="1" applyAlignment="1">
      <alignment horizontal="center" vertical="top"/>
    </xf>
    <xf numFmtId="0" fontId="16" fillId="0" borderId="31" xfId="4" applyFont="1" applyBorder="1" applyAlignment="1">
      <alignment horizontal="center" vertical="top"/>
    </xf>
    <xf numFmtId="0" fontId="16" fillId="0" borderId="29" xfId="4" applyFont="1" applyBorder="1" applyAlignment="1">
      <alignment horizontal="right" vertical="center"/>
    </xf>
    <xf numFmtId="0" fontId="16" fillId="0" borderId="0" xfId="4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49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9" fillId="0" borderId="47" xfId="4" applyFont="1" applyBorder="1" applyAlignment="1">
      <alignment horizontal="center" vertical="center"/>
    </xf>
    <xf numFmtId="0" fontId="9" fillId="0" borderId="30" xfId="4" applyFont="1" applyBorder="1" applyAlignment="1">
      <alignment horizontal="center" vertical="center"/>
    </xf>
    <xf numFmtId="0" fontId="9" fillId="0" borderId="32" xfId="4" applyFont="1" applyBorder="1" applyAlignment="1">
      <alignment horizontal="center" vertical="center"/>
    </xf>
    <xf numFmtId="0" fontId="9" fillId="0" borderId="12" xfId="4" applyFont="1" applyBorder="1" applyAlignment="1">
      <alignment horizontal="center" vertical="center"/>
    </xf>
    <xf numFmtId="0" fontId="10" fillId="0" borderId="30" xfId="4" applyFont="1" applyBorder="1" applyAlignment="1">
      <alignment horizontal="center" vertical="center"/>
    </xf>
    <xf numFmtId="0" fontId="10" fillId="0" borderId="31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0" fillId="0" borderId="13" xfId="4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2" fontId="12" fillId="0" borderId="25" xfId="0" applyNumberFormat="1" applyFont="1" applyBorder="1" applyAlignment="1">
      <alignment horizontal="center" vertical="center"/>
    </xf>
    <xf numFmtId="2" fontId="12" fillId="0" borderId="9" xfId="0" applyNumberFormat="1" applyFont="1" applyBorder="1" applyAlignment="1">
      <alignment horizontal="center" vertical="center"/>
    </xf>
    <xf numFmtId="2" fontId="12" fillId="0" borderId="56" xfId="0" applyNumberFormat="1" applyFont="1" applyBorder="1" applyAlignment="1">
      <alignment horizontal="center" vertical="center"/>
    </xf>
    <xf numFmtId="0" fontId="12" fillId="0" borderId="57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2" fillId="0" borderId="58" xfId="4" applyFont="1" applyBorder="1" applyAlignment="1">
      <alignment horizontal="center"/>
    </xf>
  </cellXfs>
  <cellStyles count="12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11" xr:uid="{00000000-0005-0000-0000-000004000000}"/>
    <cellStyle name="Normal_FA" xfId="4" xr:uid="{00000000-0005-0000-0000-000005000000}"/>
    <cellStyle name="Percent [2]" xfId="5" xr:uid="{00000000-0005-0000-0000-000006000000}"/>
    <cellStyle name="桁区切り [0.00]_laroux" xfId="6" xr:uid="{00000000-0005-0000-0000-000007000000}"/>
    <cellStyle name="桁区切り_laroux" xfId="7" xr:uid="{00000000-0005-0000-0000-000008000000}"/>
    <cellStyle name="標準_22生産1" xfId="8" xr:uid="{00000000-0005-0000-0000-000009000000}"/>
    <cellStyle name="通貨 [0.00]_９７上" xfId="9" xr:uid="{00000000-0005-0000-0000-00000A000000}"/>
    <cellStyle name="通貨_９７上" xfId="10" xr:uid="{00000000-0005-0000-0000-00000B000000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543086784142829E-2"/>
          <c:y val="2.1701388888888888E-2"/>
          <c:w val="0.97060962247355875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16-408-02'!$B$53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16-408-02'!$C$9:$CE$9</c:f>
              <c:numCache>
                <c:formatCode>General</c:formatCode>
                <c:ptCount val="8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cat>
          <c:val>
            <c:numRef>
              <c:f>'SJCPIL-R 16-408-02'!$C$53:$CE$53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A-4596-B011-2F5CEA093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40008"/>
        <c:axId val="45164039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16-408-02'!$E$4</c:f>
              <c:numCache>
                <c:formatCode>0.00</c:formatCode>
                <c:ptCount val="1"/>
                <c:pt idx="0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9A-4596-B011-2F5CEA09376E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rgbClr val="00B050"/>
                </a:solidFill>
              </a:ln>
            </c:spPr>
          </c:errBars>
          <c:yVal>
            <c:numRef>
              <c:f>'SJCPIL-R 16-408-02'!$G$4</c:f>
              <c:numCache>
                <c:formatCode>0.00</c:formatCode>
                <c:ptCount val="1"/>
                <c:pt idx="0">
                  <c:v>4.1999999999999993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9A-4596-B011-2F5CEA09376E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  <a:prstDash val="lgDashDotDot"/>
              </a:ln>
            </c:spPr>
          </c:errBars>
          <c:yVal>
            <c:numRef>
              <c:f>'SJCPIL-R 16-408-02'!$G$5</c:f>
              <c:numCache>
                <c:formatCode>0.00</c:formatCode>
                <c:ptCount val="1"/>
                <c:pt idx="0">
                  <c:v>4.0999999999999996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9A-4596-B011-2F5CEA09376E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00B05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16-408-02'!$G$6</c:f>
              <c:numCache>
                <c:formatCode>0.00</c:formatCode>
                <c:ptCount val="1"/>
                <c:pt idx="0">
                  <c:v>3.9999999999999996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9A-4596-B011-2F5CEA09376E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16-408-02'!$E$6</c:f>
              <c:numCache>
                <c:formatCode>0.00</c:formatCode>
                <c:ptCount val="1"/>
                <c:pt idx="0">
                  <c:v>3.9499999999999997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9A-4596-B011-2F5CEA093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41600"/>
        <c:axId val="451641208"/>
      </c:scatterChart>
      <c:catAx>
        <c:axId val="451640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51640392"/>
        <c:crosses val="autoZero"/>
        <c:auto val="1"/>
        <c:lblAlgn val="ctr"/>
        <c:lblOffset val="100"/>
        <c:tickMarkSkip val="1"/>
        <c:noMultiLvlLbl val="0"/>
      </c:catAx>
      <c:valAx>
        <c:axId val="451640392"/>
        <c:scaling>
          <c:orientation val="minMax"/>
          <c:max val="4.3"/>
          <c:min val="3.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640008"/>
        <c:crosses val="autoZero"/>
        <c:crossBetween val="between"/>
        <c:majorUnit val="5.000000000000001E-2"/>
        <c:minorUnit val="1.0000000000000002E-2"/>
      </c:valAx>
      <c:valAx>
        <c:axId val="45164120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641600"/>
        <c:crosses val="max"/>
        <c:crossBetween val="midCat"/>
      </c:valAx>
      <c:valAx>
        <c:axId val="4516416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6412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215107591145479E-2"/>
          <c:y val="5.6677495575681358E-2"/>
          <c:w val="0.98695535422902769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16-408-02'!$C$54:$CE$54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8-4E73-AB5D-35CA7AA80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41992"/>
        <c:axId val="45164081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16-408-02'!$G$7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F8-4E73-AB5D-35CA7AA80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43168"/>
        <c:axId val="451642384"/>
      </c:scatterChart>
      <c:catAx>
        <c:axId val="4516419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51640816"/>
        <c:crosses val="autoZero"/>
        <c:auto val="1"/>
        <c:lblAlgn val="ctr"/>
        <c:lblOffset val="100"/>
        <c:noMultiLvlLbl val="0"/>
      </c:catAx>
      <c:valAx>
        <c:axId val="451640816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641992"/>
        <c:crosses val="autoZero"/>
        <c:crossBetween val="between"/>
        <c:majorUnit val="0.1"/>
        <c:minorUnit val="2.0000000000000004E-2"/>
      </c:valAx>
      <c:valAx>
        <c:axId val="4516423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643168"/>
        <c:crosses val="max"/>
        <c:crossBetween val="midCat"/>
      </c:valAx>
      <c:valAx>
        <c:axId val="4516431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6423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19026932192244E-2"/>
          <c:y val="2.1701388888888888E-2"/>
          <c:w val="0.97228097306780781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16-410-02'!$B$53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16-410-02'!$C$9:$CE$9</c:f>
              <c:numCache>
                <c:formatCode>General</c:formatCode>
                <c:ptCount val="8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cat>
          <c:val>
            <c:numRef>
              <c:f>'SJCPIL-R 16-410-02'!$C$53:$CE$53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3-4DB9-8F26-52309E26F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44344"/>
        <c:axId val="45164395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16-410-02'!$E$4</c:f>
              <c:numCache>
                <c:formatCode>0.00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3-4DB9-8F26-52309E26FD17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rgbClr val="00B050"/>
                </a:solidFill>
              </a:ln>
            </c:spPr>
          </c:errBars>
          <c:yVal>
            <c:numRef>
              <c:f>'SJCPIL-R 16-410-02'!$G$4</c:f>
              <c:numCache>
                <c:formatCode>0.00</c:formatCode>
                <c:ptCount val="1"/>
                <c:pt idx="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73-4DB9-8F26-52309E26FD17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  <a:prstDash val="lgDashDotDot"/>
              </a:ln>
            </c:spPr>
          </c:errBars>
          <c:yVal>
            <c:numRef>
              <c:f>'SJCPIL-R 16-410-02'!$G$5</c:f>
              <c:numCache>
                <c:formatCode>0.00</c:formatCode>
                <c:ptCount val="1"/>
                <c:pt idx="0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73-4DB9-8F26-52309E26FD17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00B05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16-410-02'!$G$6</c:f>
              <c:numCache>
                <c:formatCode>0.00</c:formatCode>
                <c:ptCount val="1"/>
                <c:pt idx="0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73-4DB9-8F26-52309E26FD17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16-410-02'!$E$6</c:f>
              <c:numCache>
                <c:formatCode>0.00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73-4DB9-8F26-52309E26F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25184"/>
        <c:axId val="451025968"/>
      </c:scatterChart>
      <c:catAx>
        <c:axId val="451644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51643952"/>
        <c:crosses val="autoZero"/>
        <c:auto val="1"/>
        <c:lblAlgn val="ctr"/>
        <c:lblOffset val="100"/>
        <c:tickMarkSkip val="1"/>
        <c:noMultiLvlLbl val="0"/>
      </c:catAx>
      <c:valAx>
        <c:axId val="451643952"/>
        <c:scaling>
          <c:orientation val="minMax"/>
          <c:max val="36.5"/>
          <c:min val="3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644344"/>
        <c:crosses val="autoZero"/>
        <c:crossBetween val="between"/>
        <c:majorUnit val="0.5"/>
        <c:minorUnit val="0.1"/>
      </c:valAx>
      <c:valAx>
        <c:axId val="45102596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025184"/>
        <c:crosses val="max"/>
        <c:crossBetween val="midCat"/>
      </c:valAx>
      <c:valAx>
        <c:axId val="45102518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02596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056407746197964E-2"/>
          <c:y val="5.6677495575681358E-2"/>
          <c:w val="0.98720513704199364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16-410-02'!$C$54:$CE$54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CB-4038-9C81-FF75701B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024792"/>
        <c:axId val="45102165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16-410-02'!$G$7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CB-4038-9C81-FF75701B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20088"/>
        <c:axId val="451023224"/>
      </c:scatterChart>
      <c:catAx>
        <c:axId val="4510247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51021656"/>
        <c:crosses val="autoZero"/>
        <c:auto val="1"/>
        <c:lblAlgn val="ctr"/>
        <c:lblOffset val="100"/>
        <c:noMultiLvlLbl val="0"/>
      </c:catAx>
      <c:valAx>
        <c:axId val="451021656"/>
        <c:scaling>
          <c:orientation val="minMax"/>
          <c:max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024792"/>
        <c:crosses val="autoZero"/>
        <c:crossBetween val="between"/>
        <c:majorUnit val="0.5"/>
        <c:minorUnit val="0.1"/>
      </c:valAx>
      <c:valAx>
        <c:axId val="45102322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020088"/>
        <c:crosses val="max"/>
        <c:crossBetween val="midCat"/>
      </c:valAx>
      <c:valAx>
        <c:axId val="45102008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02322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566426133812075E-2"/>
          <c:y val="2.1701388888888888E-2"/>
          <c:w val="0.9710016753151328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16-415-02'!$B$53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16-415-02'!$C$9:$CE$9</c:f>
              <c:numCache>
                <c:formatCode>General</c:formatCode>
                <c:ptCount val="8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cat>
          <c:val>
            <c:numRef>
              <c:f>'SJCPIL-R 16-415-02'!$C$53:$CE$53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35-4C63-9DB3-FED6E6A60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026360"/>
        <c:axId val="4510240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16-415-02'!$E$4</c:f>
              <c:numCache>
                <c:formatCode>0.00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35-4C63-9DB3-FED6E6A6010C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rgbClr val="00B050"/>
                </a:solidFill>
              </a:ln>
            </c:spPr>
          </c:errBars>
          <c:yVal>
            <c:numRef>
              <c:f>'SJCPIL-R 16-415-02'!$G$4</c:f>
              <c:numCache>
                <c:formatCode>0.00</c:formatCode>
                <c:ptCount val="1"/>
                <c:pt idx="0">
                  <c:v>42.15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35-4C63-9DB3-FED6E6A6010C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  <a:prstDash val="lgDashDotDot"/>
              </a:ln>
            </c:spPr>
          </c:errBars>
          <c:yVal>
            <c:numRef>
              <c:f>'SJCPIL-R 16-415-02'!$G$5</c:f>
              <c:numCache>
                <c:formatCode>0.00</c:formatCode>
                <c:ptCount val="1"/>
                <c:pt idx="0">
                  <c:v>42.05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35-4C63-9DB3-FED6E6A6010C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00B05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16-415-02'!$G$6</c:f>
              <c:numCache>
                <c:formatCode>0.00</c:formatCode>
                <c:ptCount val="1"/>
                <c:pt idx="0">
                  <c:v>41.95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35-4C63-9DB3-FED6E6A6010C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16-415-02'!$E$6</c:f>
              <c:numCache>
                <c:formatCode>0.00</c:formatCode>
                <c:ptCount val="1"/>
                <c:pt idx="0">
                  <c:v>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35-4C63-9DB3-FED6E6A60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26752"/>
        <c:axId val="451022832"/>
      </c:scatterChart>
      <c:catAx>
        <c:axId val="451026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51024008"/>
        <c:crosses val="autoZero"/>
        <c:auto val="1"/>
        <c:lblAlgn val="ctr"/>
        <c:lblOffset val="100"/>
        <c:tickMarkSkip val="1"/>
        <c:noMultiLvlLbl val="0"/>
      </c:catAx>
      <c:valAx>
        <c:axId val="451024008"/>
        <c:scaling>
          <c:orientation val="minMax"/>
          <c:max val="42.25"/>
          <c:min val="41.8499999999999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026360"/>
        <c:crosses val="autoZero"/>
        <c:crossBetween val="between"/>
        <c:majorUnit val="0.1"/>
        <c:minorUnit val="1.0000000000000002E-2"/>
      </c:valAx>
      <c:valAx>
        <c:axId val="45102283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026752"/>
        <c:crosses val="max"/>
        <c:crossBetween val="midCat"/>
      </c:valAx>
      <c:valAx>
        <c:axId val="45102675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02283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215309130317341E-2"/>
          <c:y val="8.0486814148231459E-2"/>
          <c:w val="0.98767519542946736"/>
          <c:h val="0.8652193475815522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16-415-02'!$C$54:$CE$54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2-48E7-B68F-DA207ED7E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020480"/>
        <c:axId val="45102361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16-415-02'!$G$7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72-48E7-B68F-DA207ED7E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019696"/>
        <c:axId val="451022048"/>
      </c:scatterChart>
      <c:catAx>
        <c:axId val="45102048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51023616"/>
        <c:crosses val="autoZero"/>
        <c:auto val="1"/>
        <c:lblAlgn val="ctr"/>
        <c:lblOffset val="100"/>
        <c:noMultiLvlLbl val="0"/>
      </c:catAx>
      <c:valAx>
        <c:axId val="451023616"/>
        <c:scaling>
          <c:orientation val="minMax"/>
          <c:max val="0.3000000000000000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51020480"/>
        <c:crosses val="autoZero"/>
        <c:crossBetween val="between"/>
        <c:majorUnit val="0.1"/>
        <c:minorUnit val="2.0000000000000004E-2"/>
      </c:valAx>
      <c:valAx>
        <c:axId val="45102204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51019696"/>
        <c:crosses val="max"/>
        <c:crossBetween val="midCat"/>
      </c:valAx>
      <c:valAx>
        <c:axId val="45101969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5102204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8D79A8C-8466-498F-814F-4BE6EB98E8F4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51B91DB-6C0A-4B71-8379-873391DD4001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9BF10B3D-B90D-4164-B97F-E1D960DDA07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165E309F-B447-4575-8F9F-2390CCACB609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1621999-9060-45A6-BCB4-C7241BA91E50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75</xdr:col>
      <xdr:colOff>0</xdr:colOff>
      <xdr:row>1</xdr:row>
      <xdr:rowOff>9525</xdr:rowOff>
    </xdr:from>
    <xdr:to>
      <xdr:col>75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88F8C690-99A7-431C-8E15-F31ED8D1077A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5DE0A751-5281-481E-8D3A-0E46DD07C970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E17AE32E-AAD8-46FB-8E15-E2AF6E5A68F8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10592983-5D7A-4F3B-913A-67DBD78AB980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4DCD1549-5694-4227-8684-1F362AF573F3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CBAAA06E-A76B-430B-AE6D-EF5ED35749C4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9ECD17A3-357B-4D79-8BAA-8D3F51F0B1EC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83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222C225-247B-49D1-A4BC-235D2BFCA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83</xdr:col>
      <xdr:colOff>9525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4EB17C0-3C59-4BB9-8707-CDF91440D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733C59E-40C5-4D07-B377-F90EE126F844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2FFCCA8F-0547-49D8-A8F6-EC31B6FA2D30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4B77CCE-74BB-4070-89B9-51BCB312F281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EC4981A4-8DF3-4288-8AE1-3DB304DFE986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9D4876BA-4C61-4FCA-ADF5-CC15C00EB307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845C2031-F854-4828-97CD-20F4AF7AC58F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2" name="Line 18">
          <a:extLst>
            <a:ext uri="{FF2B5EF4-FFF2-40B4-BE49-F238E27FC236}">
              <a16:creationId xmlns:a16="http://schemas.microsoft.com/office/drawing/2014/main" id="{6374F1DC-8215-42F3-87FB-237B7A54146E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65CD1DF-7D93-4FB1-9DC0-18557A485B3A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4DAC6F5-BC88-4D0E-A4A5-4C46EEF72F18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3C98FA78-3B9B-442B-8D49-18571DA69C0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B2DE24DD-04F5-4A2B-9023-F01A11DA13F4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1CB43674-7B55-489A-B2F2-A912DE74FE87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D28B52C-2150-4DAE-8CBF-155F5D9648FE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D71AFE51-1835-4395-B5F1-7D18F3DF5E1A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C22E6382-5E91-4886-846B-B57C046A88CC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374DC536-9173-4E7C-A4B9-FC1B78CC666A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226BECFA-12C0-4B10-9461-F3992BFA92CC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E12E5374-53E4-4825-8407-FC0140C915B3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2E4AB28F-E991-441A-86CD-575AE10F35B8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82</xdr:col>
      <xdr:colOff>428625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A4B877E-4662-44FE-A67D-C90704429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613832</xdr:colOff>
      <xdr:row>35</xdr:row>
      <xdr:rowOff>19050</xdr:rowOff>
    </xdr:from>
    <xdr:to>
      <xdr:col>82</xdr:col>
      <xdr:colOff>438149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D9C7C5D-D266-4086-B2B0-8CEB743F27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31F80AB-1E43-406C-951F-2D0D8E210B9C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DA059FA6-A091-4ADD-898B-DE90F2395181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3519422-1C1B-4F24-B2E7-5B47AAFD2835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3ABC0784-6420-42A7-BE9E-C909927D2055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014DBC07-7B6C-42E3-859B-46944082EFFD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9B79DA4E-FC68-414C-AEBF-936860AF235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CCAAF5D-49BA-46C9-AD03-3E6EAF1B8EB6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C0977CF-451B-41DD-BDFF-7D54ADD43A4B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AB18EF3C-6F22-418C-A95A-366679205BF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D44F2BC7-9C82-4FAC-B687-D0B0E253B783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1A34C74E-A60A-4349-A51C-423165974995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75</xdr:col>
      <xdr:colOff>0</xdr:colOff>
      <xdr:row>1</xdr:row>
      <xdr:rowOff>9525</xdr:rowOff>
    </xdr:from>
    <xdr:to>
      <xdr:col>75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33ACFACA-5950-462E-8B8E-959BE40CA122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F076162-8627-4397-BEEA-D36431483DEB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A149292-7B8D-4FDF-B141-F766C38526EE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B227D78D-33AB-481B-B7A2-1590FAB95B85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5684A9EA-DC9F-4888-8623-3813CF92194E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E7982718-78B2-4057-9F22-8A819962CF0D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A0B5B145-4D43-4495-96E4-E02B2BC63AAF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83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488B469-8B85-4EDA-804A-0D755855E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82</xdr:col>
      <xdr:colOff>419100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B4B0303-0612-440C-BAAC-06A77ABB3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C39A3B66-0DFC-4744-A9B7-2DD8FD13BB3A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526C7E8-9C20-4BB7-B6B1-0EF73FE117CB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4C9D7A29-ABDE-4BE8-A1A6-02A412F3BD79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85AA8224-6CF0-4DE0-8572-5099EF2EB5E6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7EF4C7F9-566B-49E1-8911-39DA72CBD7E5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EE1A7C4C-171A-481E-A9FA-7018FA06CBE3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indexed="47"/>
  </sheetPr>
  <dimension ref="B2:D16"/>
  <sheetViews>
    <sheetView zoomScaleNormal="100" workbookViewId="0">
      <selection activeCell="D10" sqref="D10"/>
    </sheetView>
  </sheetViews>
  <sheetFormatPr defaultRowHeight="12.75"/>
  <cols>
    <col min="4" max="4" width="27.28515625" customWidth="1"/>
  </cols>
  <sheetData>
    <row r="2" spans="2:4" ht="25.5">
      <c r="B2" s="114" t="s">
        <v>53</v>
      </c>
    </row>
    <row r="4" spans="2:4">
      <c r="B4" s="121" t="s">
        <v>54</v>
      </c>
      <c r="C4" s="121"/>
      <c r="D4" s="117" t="s">
        <v>57</v>
      </c>
    </row>
    <row r="10" spans="2:4">
      <c r="B10" s="115"/>
      <c r="C10" s="116" t="s">
        <v>58</v>
      </c>
      <c r="D10" s="118" t="s">
        <v>52</v>
      </c>
    </row>
    <row r="11" spans="2:4">
      <c r="D11" s="118" t="s">
        <v>56</v>
      </c>
    </row>
    <row r="12" spans="2:4">
      <c r="D12" s="118" t="s">
        <v>55</v>
      </c>
    </row>
    <row r="13" spans="2:4">
      <c r="D13" s="118"/>
    </row>
    <row r="14" spans="2:4">
      <c r="D14" s="117"/>
    </row>
    <row r="15" spans="2:4">
      <c r="D15" s="117"/>
    </row>
    <row r="16" spans="2:4">
      <c r="D16" s="117"/>
    </row>
  </sheetData>
  <sheetProtection algorithmName="SHA-512" hashValue="eBCem16UIE6WqbXwGuRlFroG82/JgsCkuGIVhIQjPsXXvNNqinyVwhfJmjcNMUx2gFgauT/QbAyaNB62FDi1+Q==" saltValue="X+4KqcXyO6KrjiLJGyTieg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B1:DA75"/>
  <sheetViews>
    <sheetView showZeros="0" topLeftCell="A7" zoomScaleNormal="100" workbookViewId="0">
      <selection activeCell="C48" sqref="C48"/>
    </sheetView>
  </sheetViews>
  <sheetFormatPr defaultColWidth="10.28515625" defaultRowHeight="12.75"/>
  <cols>
    <col min="1" max="1" width="1.5703125" style="9" customWidth="1"/>
    <col min="2" max="2" width="16.140625" style="9" customWidth="1"/>
    <col min="3" max="83" width="6.7109375" style="9" customWidth="1"/>
    <col min="84" max="84" width="3.140625" style="9" customWidth="1"/>
    <col min="85" max="105" width="6.7109375" style="9" customWidth="1"/>
    <col min="106" max="16384" width="10.28515625" style="9"/>
  </cols>
  <sheetData>
    <row r="1" spans="2:100" ht="21.75" thickBot="1">
      <c r="B1" s="95" t="s">
        <v>46</v>
      </c>
      <c r="C1" s="96"/>
      <c r="D1" s="96"/>
      <c r="E1" s="96"/>
      <c r="F1" s="97"/>
      <c r="G1" s="97"/>
      <c r="H1" s="93"/>
      <c r="I1" s="98" t="s">
        <v>33</v>
      </c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9"/>
      <c r="CV1" s="10"/>
    </row>
    <row r="2" spans="2:100" s="11" customFormat="1" ht="19.5" customHeight="1">
      <c r="B2" s="99" t="s">
        <v>47</v>
      </c>
      <c r="C2" s="100"/>
      <c r="D2" s="101"/>
      <c r="E2" s="101"/>
      <c r="F2" s="102"/>
      <c r="G2" s="102"/>
      <c r="H2" s="94"/>
      <c r="I2" s="149" t="s">
        <v>0</v>
      </c>
      <c r="J2" s="150"/>
      <c r="K2" s="153" t="s">
        <v>34</v>
      </c>
      <c r="L2" s="154"/>
      <c r="M2" s="157" t="s">
        <v>35</v>
      </c>
      <c r="N2" s="158"/>
      <c r="O2" s="158"/>
      <c r="P2" s="158"/>
      <c r="Q2" s="159"/>
      <c r="R2" s="163" t="s">
        <v>1</v>
      </c>
      <c r="S2" s="164"/>
      <c r="T2" s="165"/>
      <c r="U2" s="12" t="s">
        <v>43</v>
      </c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3"/>
      <c r="BU2" s="13"/>
      <c r="BV2" s="13"/>
      <c r="BW2" s="13"/>
      <c r="BX2" s="14"/>
      <c r="BY2" s="14"/>
      <c r="BZ2" s="14"/>
      <c r="CA2" s="14"/>
      <c r="CB2" s="14"/>
      <c r="CC2" s="15"/>
      <c r="CD2" s="15"/>
      <c r="CE2" s="16"/>
    </row>
    <row r="3" spans="2:100" ht="16.899999999999999" customHeight="1" thickBot="1">
      <c r="B3" s="74"/>
      <c r="I3" s="151"/>
      <c r="J3" s="152"/>
      <c r="K3" s="155"/>
      <c r="L3" s="156"/>
      <c r="M3" s="160"/>
      <c r="N3" s="161"/>
      <c r="O3" s="161"/>
      <c r="P3" s="161"/>
      <c r="Q3" s="162"/>
      <c r="R3" s="166" t="s">
        <v>2</v>
      </c>
      <c r="S3" s="167"/>
      <c r="T3" s="168"/>
      <c r="U3" s="17" t="s">
        <v>44</v>
      </c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8"/>
      <c r="BU3" s="18"/>
      <c r="BV3" s="18"/>
      <c r="BW3" s="18"/>
      <c r="BX3" s="18"/>
      <c r="BY3" s="18"/>
      <c r="BZ3" s="18"/>
      <c r="CA3" s="18"/>
      <c r="CB3" s="18"/>
      <c r="CC3" s="19"/>
      <c r="CD3" s="19"/>
      <c r="CE3" s="20"/>
    </row>
    <row r="4" spans="2:100" s="26" customFormat="1" ht="16.899999999999999" customHeight="1" thickTop="1">
      <c r="B4" s="75" t="s">
        <v>3</v>
      </c>
      <c r="C4" s="21"/>
      <c r="D4" s="22" t="s">
        <v>4</v>
      </c>
      <c r="E4" s="23">
        <f>E5+0.15</f>
        <v>4.25</v>
      </c>
      <c r="F4" s="24" t="s">
        <v>29</v>
      </c>
      <c r="G4" s="25">
        <f>G5+0.1</f>
        <v>4.1999999999999993</v>
      </c>
      <c r="H4" s="103"/>
      <c r="I4" s="104"/>
      <c r="BX4" s="147" t="str">
        <f ca="1">"MÊS: "&amp;MID(CELL("nome.arquivo"),SEARCH(".xl",CELL("nome.arquivo"))-2,2)</f>
        <v>MÊS: 03</v>
      </c>
      <c r="BY4" s="143"/>
      <c r="BZ4" s="143"/>
      <c r="CA4" s="143"/>
      <c r="CB4" s="143" t="str">
        <f ca="1">"ANO: 20"&amp;MID(CELL("nome.arquivo"),SEARCH(".xl",CELL("nome.arquivo"))-4,2)</f>
        <v>ANO: 2022</v>
      </c>
      <c r="CC4" s="143"/>
      <c r="CD4" s="143"/>
      <c r="CE4" s="144"/>
    </row>
    <row r="5" spans="2:100" s="26" customFormat="1" ht="16.899999999999999" customHeight="1" thickBot="1">
      <c r="B5" s="76" t="s">
        <v>45</v>
      </c>
      <c r="C5" s="90" t="s">
        <v>5</v>
      </c>
      <c r="D5" s="27" t="s">
        <v>31</v>
      </c>
      <c r="E5" s="28">
        <v>4.0999999999999996</v>
      </c>
      <c r="F5" s="29" t="s">
        <v>31</v>
      </c>
      <c r="G5" s="30">
        <f>E5</f>
        <v>4.0999999999999996</v>
      </c>
      <c r="H5" s="103"/>
      <c r="I5" s="26" t="s">
        <v>38</v>
      </c>
      <c r="R5" s="26" t="s">
        <v>6</v>
      </c>
      <c r="BX5" s="148"/>
      <c r="BY5" s="145"/>
      <c r="BZ5" s="145"/>
      <c r="CA5" s="145"/>
      <c r="CB5" s="145"/>
      <c r="CC5" s="145"/>
      <c r="CD5" s="145"/>
      <c r="CE5" s="146"/>
    </row>
    <row r="6" spans="2:100" s="26" customFormat="1" ht="16.899999999999999" customHeight="1">
      <c r="B6" s="77" t="s">
        <v>7</v>
      </c>
      <c r="C6" s="31"/>
      <c r="D6" s="27" t="s">
        <v>8</v>
      </c>
      <c r="E6" s="28">
        <f>E5-0.15</f>
        <v>3.9499999999999997</v>
      </c>
      <c r="F6" s="29" t="s">
        <v>30</v>
      </c>
      <c r="G6" s="30">
        <f>G5-0.1</f>
        <v>3.9999999999999996</v>
      </c>
      <c r="H6" s="103"/>
      <c r="I6" s="26" t="s">
        <v>36</v>
      </c>
      <c r="R6" s="26" t="s">
        <v>9</v>
      </c>
      <c r="CA6" s="73"/>
      <c r="CB6" s="73"/>
      <c r="CE6" s="78"/>
    </row>
    <row r="7" spans="2:100" s="26" customFormat="1" ht="16.899999999999999" customHeight="1" thickBot="1">
      <c r="B7" s="79"/>
      <c r="C7" s="80" t="s">
        <v>10</v>
      </c>
      <c r="D7" s="81" t="s">
        <v>4</v>
      </c>
      <c r="E7" s="82">
        <v>0.3</v>
      </c>
      <c r="F7" s="83" t="s">
        <v>29</v>
      </c>
      <c r="G7" s="84">
        <v>0.2</v>
      </c>
      <c r="H7" s="105"/>
      <c r="I7" s="85" t="s">
        <v>11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6"/>
      <c r="CB7" s="86"/>
      <c r="CC7" s="85"/>
      <c r="CD7" s="85"/>
      <c r="CE7" s="87"/>
    </row>
    <row r="8" spans="2:100" s="26" customFormat="1" ht="4.5" customHeight="1" thickBot="1"/>
    <row r="9" spans="2:100" s="33" customFormat="1">
      <c r="B9" s="32" t="s">
        <v>12</v>
      </c>
      <c r="C9" s="61">
        <v>1</v>
      </c>
      <c r="D9" s="61">
        <v>2</v>
      </c>
      <c r="E9" s="61">
        <v>3</v>
      </c>
      <c r="F9" s="61">
        <v>4</v>
      </c>
      <c r="G9" s="61">
        <v>5</v>
      </c>
      <c r="H9" s="61">
        <v>6</v>
      </c>
      <c r="I9" s="61">
        <v>7</v>
      </c>
      <c r="J9" s="61">
        <v>8</v>
      </c>
      <c r="K9" s="61">
        <v>9</v>
      </c>
      <c r="L9" s="61">
        <v>10</v>
      </c>
      <c r="M9" s="61">
        <v>11</v>
      </c>
      <c r="N9" s="61">
        <v>12</v>
      </c>
      <c r="O9" s="61">
        <v>13</v>
      </c>
      <c r="P9" s="61">
        <v>14</v>
      </c>
      <c r="Q9" s="61">
        <v>15</v>
      </c>
      <c r="R9" s="61">
        <v>16</v>
      </c>
      <c r="S9" s="61">
        <v>17</v>
      </c>
      <c r="T9" s="61">
        <v>18</v>
      </c>
      <c r="U9" s="61">
        <v>19</v>
      </c>
      <c r="V9" s="61">
        <v>20</v>
      </c>
      <c r="W9" s="61">
        <v>21</v>
      </c>
      <c r="X9" s="61">
        <v>22</v>
      </c>
      <c r="Y9" s="61">
        <v>23</v>
      </c>
      <c r="Z9" s="61">
        <v>24</v>
      </c>
      <c r="AA9" s="61">
        <v>25</v>
      </c>
      <c r="AB9" s="61">
        <v>26</v>
      </c>
      <c r="AC9" s="61">
        <v>27</v>
      </c>
      <c r="AD9" s="61">
        <v>28</v>
      </c>
      <c r="AE9" s="61">
        <v>29</v>
      </c>
      <c r="AF9" s="61">
        <v>30</v>
      </c>
      <c r="AG9" s="61">
        <v>31</v>
      </c>
      <c r="AH9" s="61">
        <v>32</v>
      </c>
      <c r="AI9" s="61">
        <v>33</v>
      </c>
      <c r="AJ9" s="61">
        <v>34</v>
      </c>
      <c r="AK9" s="61">
        <v>35</v>
      </c>
      <c r="AL9" s="61">
        <v>36</v>
      </c>
      <c r="AM9" s="61">
        <v>37</v>
      </c>
      <c r="AN9" s="61">
        <v>38</v>
      </c>
      <c r="AO9" s="61">
        <v>39</v>
      </c>
      <c r="AP9" s="61">
        <v>40</v>
      </c>
      <c r="AQ9" s="61">
        <v>41</v>
      </c>
      <c r="AR9" s="61">
        <v>42</v>
      </c>
      <c r="AS9" s="61">
        <v>43</v>
      </c>
      <c r="AT9" s="61">
        <v>44</v>
      </c>
      <c r="AU9" s="112">
        <v>45</v>
      </c>
      <c r="AV9" s="61">
        <v>46</v>
      </c>
      <c r="AW9" s="112">
        <v>47</v>
      </c>
      <c r="AX9" s="61">
        <v>48</v>
      </c>
      <c r="AY9" s="112">
        <v>49</v>
      </c>
      <c r="AZ9" s="112">
        <v>50</v>
      </c>
      <c r="BA9" s="112">
        <v>51</v>
      </c>
      <c r="BB9" s="112">
        <v>52</v>
      </c>
      <c r="BC9" s="112">
        <v>53</v>
      </c>
      <c r="BD9" s="112">
        <v>54</v>
      </c>
      <c r="BE9" s="112">
        <v>55</v>
      </c>
      <c r="BF9" s="112">
        <v>56</v>
      </c>
      <c r="BG9" s="112">
        <v>57</v>
      </c>
      <c r="BH9" s="112">
        <v>58</v>
      </c>
      <c r="BI9" s="112">
        <v>59</v>
      </c>
      <c r="BJ9" s="112">
        <v>60</v>
      </c>
      <c r="BK9" s="61">
        <v>61</v>
      </c>
      <c r="BL9" s="112">
        <v>62</v>
      </c>
      <c r="BM9" s="61">
        <v>63</v>
      </c>
      <c r="BN9" s="112">
        <v>64</v>
      </c>
      <c r="BO9" s="61">
        <v>65</v>
      </c>
      <c r="BP9" s="112">
        <v>66</v>
      </c>
      <c r="BQ9" s="61">
        <v>67</v>
      </c>
      <c r="BR9" s="112">
        <v>68</v>
      </c>
      <c r="BS9" s="61">
        <v>69</v>
      </c>
      <c r="BT9" s="112">
        <v>70</v>
      </c>
      <c r="BU9" s="61">
        <v>71</v>
      </c>
      <c r="BV9" s="112">
        <v>72</v>
      </c>
      <c r="BW9" s="61">
        <v>73</v>
      </c>
      <c r="BX9" s="112">
        <v>74</v>
      </c>
      <c r="BY9" s="61">
        <v>75</v>
      </c>
      <c r="BZ9" s="112">
        <v>76</v>
      </c>
      <c r="CA9" s="61">
        <v>77</v>
      </c>
      <c r="CB9" s="112">
        <v>78</v>
      </c>
      <c r="CC9" s="61">
        <v>79</v>
      </c>
      <c r="CD9" s="112">
        <v>80</v>
      </c>
      <c r="CE9" s="62">
        <v>81</v>
      </c>
    </row>
    <row r="10" spans="2:100" s="33" customFormat="1" ht="14.1" customHeight="1">
      <c r="B10" s="34" t="s">
        <v>13</v>
      </c>
      <c r="C10" s="10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13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119"/>
      <c r="BZ10" s="119"/>
      <c r="CA10" s="119"/>
      <c r="CB10" s="7"/>
      <c r="CC10" s="7"/>
      <c r="CD10" s="7"/>
      <c r="CE10" s="8"/>
    </row>
    <row r="11" spans="2:100" s="33" customFormat="1" ht="14.1" customHeight="1">
      <c r="B11" s="35" t="s">
        <v>32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8"/>
    </row>
    <row r="12" spans="2:100" s="33" customFormat="1" ht="12" customHeight="1">
      <c r="B12" s="36"/>
      <c r="CE12" s="37"/>
    </row>
    <row r="13" spans="2:100" s="33" customFormat="1" ht="12" customHeight="1">
      <c r="B13" s="133"/>
      <c r="CE13" s="37"/>
    </row>
    <row r="14" spans="2:100" s="33" customFormat="1" ht="12" customHeight="1">
      <c r="B14" s="133"/>
      <c r="CE14" s="37"/>
    </row>
    <row r="15" spans="2:100" s="33" customFormat="1" ht="12" customHeight="1">
      <c r="B15" s="134"/>
      <c r="CE15" s="37"/>
    </row>
    <row r="16" spans="2:100" s="33" customFormat="1" ht="12" customHeight="1">
      <c r="B16" s="134"/>
      <c r="CE16" s="37"/>
    </row>
    <row r="17" spans="2:83" s="33" customFormat="1" ht="12" customHeight="1">
      <c r="B17" s="134"/>
      <c r="CE17" s="37"/>
    </row>
    <row r="18" spans="2:83" s="33" customFormat="1" ht="12" customHeight="1">
      <c r="B18" s="134"/>
      <c r="CE18" s="37"/>
    </row>
    <row r="19" spans="2:83" s="33" customFormat="1" ht="12" customHeight="1">
      <c r="B19" s="134"/>
      <c r="CE19" s="37"/>
    </row>
    <row r="20" spans="2:83" s="33" customFormat="1" ht="12" customHeight="1">
      <c r="B20" s="134"/>
      <c r="CE20" s="37"/>
    </row>
    <row r="21" spans="2:83" s="33" customFormat="1" ht="12" customHeight="1">
      <c r="B21" s="134"/>
      <c r="CE21" s="37"/>
    </row>
    <row r="22" spans="2:83" s="33" customFormat="1" ht="12" customHeight="1">
      <c r="B22" s="134"/>
      <c r="CE22" s="37"/>
    </row>
    <row r="23" spans="2:83" s="33" customFormat="1" ht="12" customHeight="1">
      <c r="B23" s="133"/>
      <c r="CE23" s="37"/>
    </row>
    <row r="24" spans="2:83" s="33" customFormat="1" ht="12" customHeight="1">
      <c r="B24" s="133"/>
      <c r="CE24" s="37"/>
    </row>
    <row r="25" spans="2:83" s="33" customFormat="1" ht="12" customHeight="1">
      <c r="B25" s="134"/>
      <c r="CE25" s="37"/>
    </row>
    <row r="26" spans="2:83" s="33" customFormat="1" ht="12" customHeight="1">
      <c r="B26" s="134"/>
      <c r="CE26" s="37"/>
    </row>
    <row r="27" spans="2:83" s="33" customFormat="1" ht="12" customHeight="1">
      <c r="B27" s="134"/>
      <c r="CE27" s="37"/>
    </row>
    <row r="28" spans="2:83" s="33" customFormat="1" ht="12" customHeight="1">
      <c r="B28" s="134"/>
      <c r="CE28" s="37"/>
    </row>
    <row r="29" spans="2:83" s="33" customFormat="1" ht="12" customHeight="1">
      <c r="B29" s="134"/>
      <c r="CE29" s="37"/>
    </row>
    <row r="30" spans="2:83" s="33" customFormat="1" ht="12" customHeight="1">
      <c r="B30" s="134"/>
      <c r="CE30" s="37"/>
    </row>
    <row r="31" spans="2:83" s="33" customFormat="1" ht="12" customHeight="1">
      <c r="B31" s="134"/>
      <c r="CE31" s="37"/>
    </row>
    <row r="32" spans="2:83" s="33" customFormat="1" ht="12" customHeight="1">
      <c r="B32" s="134"/>
      <c r="CE32" s="37"/>
    </row>
    <row r="33" spans="2:83" s="33" customFormat="1" ht="12" customHeight="1">
      <c r="B33" s="133"/>
      <c r="CE33" s="37"/>
    </row>
    <row r="34" spans="2:83" s="33" customFormat="1" ht="12" customHeight="1">
      <c r="B34" s="133"/>
      <c r="CE34" s="37"/>
    </row>
    <row r="35" spans="2:83" s="33" customFormat="1" ht="12" customHeight="1" thickBot="1">
      <c r="B35" s="38"/>
      <c r="CE35" s="37"/>
    </row>
    <row r="36" spans="2:83" s="33" customFormat="1" ht="12" customHeight="1">
      <c r="B36" s="135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40"/>
    </row>
    <row r="37" spans="2:83" s="33" customFormat="1" ht="12" customHeight="1">
      <c r="B37" s="133"/>
      <c r="CE37" s="37"/>
    </row>
    <row r="38" spans="2:83" s="33" customFormat="1" ht="12" customHeight="1">
      <c r="B38" s="91"/>
      <c r="CE38" s="37"/>
    </row>
    <row r="39" spans="2:83" s="33" customFormat="1" ht="12" customHeight="1">
      <c r="B39" s="91"/>
      <c r="CE39" s="37"/>
    </row>
    <row r="40" spans="2:83" s="33" customFormat="1" ht="12" customHeight="1">
      <c r="B40" s="91"/>
      <c r="CE40" s="37"/>
    </row>
    <row r="41" spans="2:83" s="33" customFormat="1" ht="12" customHeight="1">
      <c r="B41" s="133"/>
      <c r="CE41" s="37"/>
    </row>
    <row r="42" spans="2:83" s="33" customFormat="1" ht="12" customHeight="1">
      <c r="B42" s="133"/>
      <c r="CE42" s="37"/>
    </row>
    <row r="43" spans="2:83" s="33" customFormat="1" ht="12" customHeight="1">
      <c r="B43" s="91"/>
      <c r="CE43" s="37"/>
    </row>
    <row r="44" spans="2:83" s="33" customFormat="1" ht="12" customHeight="1">
      <c r="B44" s="91"/>
      <c r="CE44" s="37"/>
    </row>
    <row r="45" spans="2:83" s="33" customFormat="1" ht="12" customHeight="1">
      <c r="B45" s="91"/>
      <c r="CE45" s="37"/>
    </row>
    <row r="46" spans="2:83" s="33" customFormat="1" ht="12" customHeight="1" thickBot="1">
      <c r="B46" s="41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3"/>
    </row>
    <row r="47" spans="2:83" s="33" customFormat="1" ht="6" customHeight="1">
      <c r="B47" s="44"/>
      <c r="CE47" s="37"/>
    </row>
    <row r="48" spans="2:83" s="45" customFormat="1" ht="15" customHeight="1">
      <c r="B48" s="57">
        <v>1</v>
      </c>
      <c r="C48" s="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3"/>
    </row>
    <row r="49" spans="2:105" s="45" customFormat="1" ht="15" customHeight="1">
      <c r="B49" s="58">
        <v>2</v>
      </c>
      <c r="C49" s="4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6"/>
    </row>
    <row r="50" spans="2:105" s="45" customFormat="1" ht="15" customHeight="1">
      <c r="B50" s="58">
        <v>3</v>
      </c>
      <c r="C50" s="4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6"/>
    </row>
    <row r="51" spans="2:105" s="45" customFormat="1" ht="15" customHeight="1">
      <c r="B51" s="58">
        <v>4</v>
      </c>
      <c r="C51" s="4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6"/>
    </row>
    <row r="52" spans="2:105" s="45" customFormat="1" ht="15" customHeight="1">
      <c r="B52" s="59">
        <v>5</v>
      </c>
      <c r="C52" s="4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6"/>
    </row>
    <row r="53" spans="2:105" s="45" customFormat="1" ht="15" customHeight="1">
      <c r="B53" s="59" t="s">
        <v>14</v>
      </c>
      <c r="C53" s="92" t="str">
        <f t="shared" ref="C53:V53" si="0">IF(ISERR(AVERAGE(C48:C52))," ",AVERAGE(C48:C52))</f>
        <v xml:space="preserve"> </v>
      </c>
      <c r="D53" s="46" t="str">
        <f t="shared" ref="D53" si="1">IF(ISERR(AVERAGE(D48:D52))," ",AVERAGE(D48:D52))</f>
        <v xml:space="preserve"> </v>
      </c>
      <c r="E53" s="46" t="str">
        <f t="shared" si="0"/>
        <v xml:space="preserve"> </v>
      </c>
      <c r="F53" s="46" t="str">
        <f t="shared" si="0"/>
        <v xml:space="preserve"> </v>
      </c>
      <c r="G53" s="46" t="str">
        <f t="shared" si="0"/>
        <v xml:space="preserve"> </v>
      </c>
      <c r="H53" s="46" t="str">
        <f t="shared" si="0"/>
        <v xml:space="preserve"> </v>
      </c>
      <c r="I53" s="46" t="str">
        <f t="shared" si="0"/>
        <v xml:space="preserve"> </v>
      </c>
      <c r="J53" s="46" t="str">
        <f t="shared" si="0"/>
        <v xml:space="preserve"> </v>
      </c>
      <c r="K53" s="46" t="str">
        <f t="shared" si="0"/>
        <v xml:space="preserve"> </v>
      </c>
      <c r="L53" s="46" t="str">
        <f t="shared" si="0"/>
        <v xml:space="preserve"> </v>
      </c>
      <c r="M53" s="46" t="str">
        <f t="shared" si="0"/>
        <v xml:space="preserve"> </v>
      </c>
      <c r="N53" s="46" t="str">
        <f t="shared" si="0"/>
        <v xml:space="preserve"> </v>
      </c>
      <c r="O53" s="46" t="str">
        <f t="shared" si="0"/>
        <v xml:space="preserve"> </v>
      </c>
      <c r="P53" s="46" t="str">
        <f t="shared" si="0"/>
        <v xml:space="preserve"> </v>
      </c>
      <c r="Q53" s="46" t="str">
        <f t="shared" si="0"/>
        <v xml:space="preserve"> </v>
      </c>
      <c r="R53" s="46" t="str">
        <f t="shared" si="0"/>
        <v xml:space="preserve"> </v>
      </c>
      <c r="S53" s="46" t="str">
        <f t="shared" si="0"/>
        <v xml:space="preserve"> </v>
      </c>
      <c r="T53" s="46" t="str">
        <f t="shared" si="0"/>
        <v xml:space="preserve"> </v>
      </c>
      <c r="U53" s="46" t="str">
        <f t="shared" si="0"/>
        <v xml:space="preserve"> </v>
      </c>
      <c r="V53" s="46" t="str">
        <f t="shared" si="0"/>
        <v xml:space="preserve"> </v>
      </c>
      <c r="W53" s="46" t="str">
        <f t="shared" ref="W53:AU53" si="2">IF(ISERR(AVERAGE(W48:W52))," ",AVERAGE(W48:W52))</f>
        <v xml:space="preserve"> </v>
      </c>
      <c r="X53" s="46" t="str">
        <f t="shared" si="2"/>
        <v xml:space="preserve"> </v>
      </c>
      <c r="Y53" s="46" t="str">
        <f t="shared" si="2"/>
        <v xml:space="preserve"> </v>
      </c>
      <c r="Z53" s="46" t="str">
        <f t="shared" ref="Z53:AR53" si="3">IF(ISERR(AVERAGE(Z48:Z52))," ",AVERAGE(Z48:Z52))</f>
        <v xml:space="preserve"> </v>
      </c>
      <c r="AA53" s="46" t="str">
        <f t="shared" si="3"/>
        <v xml:space="preserve"> </v>
      </c>
      <c r="AB53" s="46" t="str">
        <f t="shared" ref="AB53:AM53" si="4">IF(ISERR(AVERAGE(AB48:AB52))," ",AVERAGE(AB48:AB52))</f>
        <v xml:space="preserve"> </v>
      </c>
      <c r="AC53" s="46" t="str">
        <f t="shared" si="4"/>
        <v xml:space="preserve"> </v>
      </c>
      <c r="AD53" s="46" t="str">
        <f t="shared" si="4"/>
        <v xml:space="preserve"> </v>
      </c>
      <c r="AE53" s="46" t="str">
        <f t="shared" si="4"/>
        <v xml:space="preserve"> </v>
      </c>
      <c r="AF53" s="46" t="str">
        <f t="shared" si="4"/>
        <v xml:space="preserve"> </v>
      </c>
      <c r="AG53" s="46" t="str">
        <f t="shared" si="4"/>
        <v xml:space="preserve"> </v>
      </c>
      <c r="AH53" s="46" t="str">
        <f t="shared" si="4"/>
        <v xml:space="preserve"> </v>
      </c>
      <c r="AI53" s="46" t="str">
        <f t="shared" si="4"/>
        <v xml:space="preserve"> </v>
      </c>
      <c r="AJ53" s="46" t="str">
        <f t="shared" si="4"/>
        <v xml:space="preserve"> </v>
      </c>
      <c r="AK53" s="46" t="str">
        <f t="shared" si="4"/>
        <v xml:space="preserve"> </v>
      </c>
      <c r="AL53" s="46" t="str">
        <f t="shared" si="4"/>
        <v xml:space="preserve"> </v>
      </c>
      <c r="AM53" s="46" t="str">
        <f t="shared" si="4"/>
        <v xml:space="preserve"> </v>
      </c>
      <c r="AN53" s="46" t="str">
        <f t="shared" si="3"/>
        <v xml:space="preserve"> </v>
      </c>
      <c r="AO53" s="46" t="str">
        <f t="shared" si="3"/>
        <v xml:space="preserve"> </v>
      </c>
      <c r="AP53" s="46" t="str">
        <f t="shared" si="3"/>
        <v xml:space="preserve"> </v>
      </c>
      <c r="AQ53" s="46" t="str">
        <f t="shared" si="3"/>
        <v xml:space="preserve"> </v>
      </c>
      <c r="AR53" s="46" t="str">
        <f t="shared" si="3"/>
        <v xml:space="preserve"> </v>
      </c>
      <c r="AS53" s="46" t="str">
        <f t="shared" si="2"/>
        <v xml:space="preserve"> </v>
      </c>
      <c r="AT53" s="46" t="str">
        <f t="shared" si="2"/>
        <v xml:space="preserve"> </v>
      </c>
      <c r="AU53" s="46" t="str">
        <f t="shared" si="2"/>
        <v xml:space="preserve"> </v>
      </c>
      <c r="AV53" s="46" t="str">
        <f t="shared" ref="AV53:BT53" si="5">IF(ISERR(AVERAGE(AV48:AV52))," ",AVERAGE(AV48:AV52))</f>
        <v xml:space="preserve"> </v>
      </c>
      <c r="AW53" s="46" t="str">
        <f t="shared" si="5"/>
        <v xml:space="preserve"> </v>
      </c>
      <c r="AX53" s="46" t="str">
        <f t="shared" si="5"/>
        <v xml:space="preserve"> </v>
      </c>
      <c r="AY53" s="46" t="str">
        <f t="shared" si="5"/>
        <v xml:space="preserve"> </v>
      </c>
      <c r="AZ53" s="46" t="str">
        <f t="shared" si="5"/>
        <v xml:space="preserve"> </v>
      </c>
      <c r="BA53" s="46" t="str">
        <f t="shared" si="5"/>
        <v xml:space="preserve"> </v>
      </c>
      <c r="BB53" s="46" t="str">
        <f t="shared" si="5"/>
        <v xml:space="preserve"> </v>
      </c>
      <c r="BC53" s="46" t="str">
        <f t="shared" si="5"/>
        <v xml:space="preserve"> </v>
      </c>
      <c r="BD53" s="46" t="str">
        <f t="shared" si="5"/>
        <v xml:space="preserve"> </v>
      </c>
      <c r="BE53" s="46" t="str">
        <f t="shared" si="5"/>
        <v xml:space="preserve"> </v>
      </c>
      <c r="BF53" s="46" t="str">
        <f t="shared" si="5"/>
        <v xml:space="preserve"> </v>
      </c>
      <c r="BG53" s="46" t="str">
        <f t="shared" si="5"/>
        <v xml:space="preserve"> </v>
      </c>
      <c r="BH53" s="46" t="str">
        <f t="shared" si="5"/>
        <v xml:space="preserve"> </v>
      </c>
      <c r="BI53" s="46" t="str">
        <f t="shared" si="5"/>
        <v xml:space="preserve"> </v>
      </c>
      <c r="BJ53" s="46" t="str">
        <f t="shared" si="5"/>
        <v xml:space="preserve"> </v>
      </c>
      <c r="BK53" s="46" t="str">
        <f t="shared" si="5"/>
        <v xml:space="preserve"> </v>
      </c>
      <c r="BL53" s="46" t="str">
        <f t="shared" si="5"/>
        <v xml:space="preserve"> </v>
      </c>
      <c r="BM53" s="46" t="str">
        <f t="shared" si="5"/>
        <v xml:space="preserve"> </v>
      </c>
      <c r="BN53" s="46" t="str">
        <f t="shared" si="5"/>
        <v xml:space="preserve"> </v>
      </c>
      <c r="BO53" s="46" t="str">
        <f t="shared" si="5"/>
        <v xml:space="preserve"> </v>
      </c>
      <c r="BP53" s="46" t="str">
        <f t="shared" si="5"/>
        <v xml:space="preserve"> </v>
      </c>
      <c r="BQ53" s="46" t="str">
        <f t="shared" si="5"/>
        <v xml:space="preserve"> </v>
      </c>
      <c r="BR53" s="46" t="str">
        <f t="shared" si="5"/>
        <v xml:space="preserve"> </v>
      </c>
      <c r="BS53" s="46" t="str">
        <f t="shared" si="5"/>
        <v xml:space="preserve"> </v>
      </c>
      <c r="BT53" s="46" t="str">
        <f t="shared" si="5"/>
        <v xml:space="preserve"> </v>
      </c>
      <c r="BU53" s="46" t="str">
        <f t="shared" ref="BU53:BW53" si="6">IF(ISERR(AVERAGE(BU48:BU52))," ",AVERAGE(BU48:BU52))</f>
        <v xml:space="preserve"> </v>
      </c>
      <c r="BV53" s="46" t="str">
        <f t="shared" si="6"/>
        <v xml:space="preserve"> </v>
      </c>
      <c r="BW53" s="46" t="str">
        <f t="shared" si="6"/>
        <v xml:space="preserve"> </v>
      </c>
      <c r="BX53" s="46" t="str">
        <f t="shared" ref="BX53:CE53" si="7">IF(ISERR(AVERAGE(BX48:BX52))," ",AVERAGE(BX48:BX52))</f>
        <v xml:space="preserve"> </v>
      </c>
      <c r="BY53" s="46" t="str">
        <f t="shared" si="7"/>
        <v xml:space="preserve"> </v>
      </c>
      <c r="BZ53" s="46" t="str">
        <f t="shared" si="7"/>
        <v xml:space="preserve"> </v>
      </c>
      <c r="CA53" s="46" t="str">
        <f t="shared" si="7"/>
        <v xml:space="preserve"> </v>
      </c>
      <c r="CB53" s="46" t="str">
        <f t="shared" si="7"/>
        <v xml:space="preserve"> </v>
      </c>
      <c r="CC53" s="46" t="str">
        <f t="shared" si="7"/>
        <v xml:space="preserve"> </v>
      </c>
      <c r="CD53" s="46" t="str">
        <f t="shared" si="7"/>
        <v xml:space="preserve"> </v>
      </c>
      <c r="CE53" s="47" t="str">
        <f t="shared" si="7"/>
        <v xml:space="preserve"> </v>
      </c>
    </row>
    <row r="54" spans="2:105" s="45" customFormat="1" ht="15" customHeight="1">
      <c r="B54" s="59" t="s">
        <v>10</v>
      </c>
      <c r="C54" s="107">
        <f t="shared" ref="C54:U54" si="8">MAX(C48:C52)-MIN(C48:C52)</f>
        <v>0</v>
      </c>
      <c r="D54" s="60">
        <f t="shared" si="8"/>
        <v>0</v>
      </c>
      <c r="E54" s="60">
        <f t="shared" si="8"/>
        <v>0</v>
      </c>
      <c r="F54" s="60">
        <f t="shared" si="8"/>
        <v>0</v>
      </c>
      <c r="G54" s="60">
        <f t="shared" si="8"/>
        <v>0</v>
      </c>
      <c r="H54" s="60">
        <f t="shared" si="8"/>
        <v>0</v>
      </c>
      <c r="I54" s="60">
        <f t="shared" si="8"/>
        <v>0</v>
      </c>
      <c r="J54" s="60">
        <f t="shared" si="8"/>
        <v>0</v>
      </c>
      <c r="K54" s="60">
        <f t="shared" si="8"/>
        <v>0</v>
      </c>
      <c r="L54" s="60">
        <f t="shared" si="8"/>
        <v>0</v>
      </c>
      <c r="M54" s="60">
        <f t="shared" si="8"/>
        <v>0</v>
      </c>
      <c r="N54" s="60">
        <f t="shared" si="8"/>
        <v>0</v>
      </c>
      <c r="O54" s="60">
        <f t="shared" si="8"/>
        <v>0</v>
      </c>
      <c r="P54" s="60">
        <f t="shared" si="8"/>
        <v>0</v>
      </c>
      <c r="Q54" s="60">
        <f t="shared" si="8"/>
        <v>0</v>
      </c>
      <c r="R54" s="48">
        <f t="shared" si="8"/>
        <v>0</v>
      </c>
      <c r="S54" s="48">
        <f t="shared" si="8"/>
        <v>0</v>
      </c>
      <c r="T54" s="48">
        <f t="shared" si="8"/>
        <v>0</v>
      </c>
      <c r="U54" s="48">
        <f t="shared" si="8"/>
        <v>0</v>
      </c>
      <c r="V54" s="48">
        <f t="shared" ref="V54:AU54" si="9">MAX(V48:V52)-MIN(V48:V52)</f>
        <v>0</v>
      </c>
      <c r="W54" s="48">
        <f t="shared" si="9"/>
        <v>0</v>
      </c>
      <c r="X54" s="48">
        <f t="shared" si="9"/>
        <v>0</v>
      </c>
      <c r="Y54" s="48">
        <f t="shared" si="9"/>
        <v>0</v>
      </c>
      <c r="Z54" s="48">
        <f t="shared" ref="Z54:AR54" si="10">MAX(Z48:Z52)-MIN(Z48:Z52)</f>
        <v>0</v>
      </c>
      <c r="AA54" s="48">
        <f t="shared" si="10"/>
        <v>0</v>
      </c>
      <c r="AB54" s="48">
        <f t="shared" ref="AB54:AM54" si="11">MAX(AB48:AB52)-MIN(AB48:AB52)</f>
        <v>0</v>
      </c>
      <c r="AC54" s="48">
        <f t="shared" si="11"/>
        <v>0</v>
      </c>
      <c r="AD54" s="48">
        <f t="shared" si="11"/>
        <v>0</v>
      </c>
      <c r="AE54" s="48">
        <f t="shared" si="11"/>
        <v>0</v>
      </c>
      <c r="AF54" s="48">
        <f t="shared" si="11"/>
        <v>0</v>
      </c>
      <c r="AG54" s="48">
        <f t="shared" si="11"/>
        <v>0</v>
      </c>
      <c r="AH54" s="48">
        <f t="shared" si="11"/>
        <v>0</v>
      </c>
      <c r="AI54" s="48">
        <f t="shared" si="11"/>
        <v>0</v>
      </c>
      <c r="AJ54" s="48">
        <f t="shared" si="11"/>
        <v>0</v>
      </c>
      <c r="AK54" s="48">
        <f t="shared" si="11"/>
        <v>0</v>
      </c>
      <c r="AL54" s="48">
        <f t="shared" si="11"/>
        <v>0</v>
      </c>
      <c r="AM54" s="48">
        <f t="shared" si="11"/>
        <v>0</v>
      </c>
      <c r="AN54" s="48">
        <f t="shared" si="10"/>
        <v>0</v>
      </c>
      <c r="AO54" s="48">
        <f t="shared" si="10"/>
        <v>0</v>
      </c>
      <c r="AP54" s="48">
        <f t="shared" si="10"/>
        <v>0</v>
      </c>
      <c r="AQ54" s="48">
        <f t="shared" si="10"/>
        <v>0</v>
      </c>
      <c r="AR54" s="48">
        <f t="shared" si="10"/>
        <v>0</v>
      </c>
      <c r="AS54" s="48">
        <f t="shared" si="9"/>
        <v>0</v>
      </c>
      <c r="AT54" s="48">
        <f t="shared" si="9"/>
        <v>0</v>
      </c>
      <c r="AU54" s="48">
        <f t="shared" si="9"/>
        <v>0</v>
      </c>
      <c r="AV54" s="48">
        <f t="shared" ref="AV54:BT54" si="12">MAX(AV48:AV52)-MIN(AV48:AV52)</f>
        <v>0</v>
      </c>
      <c r="AW54" s="48">
        <f t="shared" si="12"/>
        <v>0</v>
      </c>
      <c r="AX54" s="48">
        <f t="shared" si="12"/>
        <v>0</v>
      </c>
      <c r="AY54" s="48">
        <f t="shared" si="12"/>
        <v>0</v>
      </c>
      <c r="AZ54" s="48">
        <f t="shared" si="12"/>
        <v>0</v>
      </c>
      <c r="BA54" s="48">
        <f t="shared" si="12"/>
        <v>0</v>
      </c>
      <c r="BB54" s="48">
        <f t="shared" si="12"/>
        <v>0</v>
      </c>
      <c r="BC54" s="48">
        <f t="shared" si="12"/>
        <v>0</v>
      </c>
      <c r="BD54" s="48">
        <f t="shared" si="12"/>
        <v>0</v>
      </c>
      <c r="BE54" s="48">
        <f t="shared" si="12"/>
        <v>0</v>
      </c>
      <c r="BF54" s="48">
        <f t="shared" si="12"/>
        <v>0</v>
      </c>
      <c r="BG54" s="48">
        <f t="shared" si="12"/>
        <v>0</v>
      </c>
      <c r="BH54" s="48">
        <f t="shared" si="12"/>
        <v>0</v>
      </c>
      <c r="BI54" s="48">
        <f t="shared" si="12"/>
        <v>0</v>
      </c>
      <c r="BJ54" s="48">
        <f t="shared" si="12"/>
        <v>0</v>
      </c>
      <c r="BK54" s="48">
        <f t="shared" si="12"/>
        <v>0</v>
      </c>
      <c r="BL54" s="48">
        <f t="shared" si="12"/>
        <v>0</v>
      </c>
      <c r="BM54" s="48">
        <f t="shared" si="12"/>
        <v>0</v>
      </c>
      <c r="BN54" s="48">
        <f t="shared" si="12"/>
        <v>0</v>
      </c>
      <c r="BO54" s="48">
        <f t="shared" si="12"/>
        <v>0</v>
      </c>
      <c r="BP54" s="48">
        <f t="shared" si="12"/>
        <v>0</v>
      </c>
      <c r="BQ54" s="48">
        <f t="shared" si="12"/>
        <v>0</v>
      </c>
      <c r="BR54" s="48">
        <f t="shared" si="12"/>
        <v>0</v>
      </c>
      <c r="BS54" s="48">
        <f t="shared" si="12"/>
        <v>0</v>
      </c>
      <c r="BT54" s="48">
        <f t="shared" si="12"/>
        <v>0</v>
      </c>
      <c r="BU54" s="48">
        <f t="shared" ref="BU54:BW54" si="13">MAX(BU48:BU52)-MIN(BU48:BU52)</f>
        <v>0</v>
      </c>
      <c r="BV54" s="48">
        <f t="shared" si="13"/>
        <v>0</v>
      </c>
      <c r="BW54" s="48">
        <f t="shared" si="13"/>
        <v>0</v>
      </c>
      <c r="BX54" s="48">
        <f t="shared" ref="BX54:CE54" si="14">MAX(BX48:BX52)-MIN(BX48:BX52)</f>
        <v>0</v>
      </c>
      <c r="BY54" s="48">
        <f t="shared" si="14"/>
        <v>0</v>
      </c>
      <c r="BZ54" s="48">
        <f t="shared" si="14"/>
        <v>0</v>
      </c>
      <c r="CA54" s="48">
        <f t="shared" si="14"/>
        <v>0</v>
      </c>
      <c r="CB54" s="48">
        <f t="shared" si="14"/>
        <v>0</v>
      </c>
      <c r="CC54" s="48">
        <f t="shared" si="14"/>
        <v>0</v>
      </c>
      <c r="CD54" s="48">
        <f t="shared" si="14"/>
        <v>0</v>
      </c>
      <c r="CE54" s="49">
        <f t="shared" si="14"/>
        <v>0</v>
      </c>
    </row>
    <row r="55" spans="2:105" s="45" customFormat="1" ht="20.100000000000001" customHeight="1">
      <c r="B55" s="50" t="s">
        <v>15</v>
      </c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>
        <v>0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5"/>
    </row>
    <row r="56" spans="2:105" s="45" customFormat="1" ht="26.25" thickBot="1">
      <c r="B56" s="120" t="s">
        <v>60</v>
      </c>
      <c r="C56" s="66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 t="s">
        <v>59</v>
      </c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8"/>
    </row>
    <row r="57" spans="2:105" s="33" customFormat="1" ht="20.100000000000001" customHeight="1">
      <c r="B57" s="136" t="s">
        <v>16</v>
      </c>
      <c r="C57" s="137"/>
      <c r="D57" s="137"/>
      <c r="E57" s="138"/>
      <c r="F57" s="51" t="s">
        <v>17</v>
      </c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40"/>
    </row>
    <row r="58" spans="2:105" s="33" customFormat="1" ht="20.100000000000001" customHeight="1">
      <c r="B58" s="108"/>
      <c r="C58" s="26" t="s">
        <v>40</v>
      </c>
      <c r="D58" s="26"/>
      <c r="E58" s="37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69"/>
      <c r="CA58" s="69"/>
      <c r="CB58" s="69"/>
      <c r="CC58" s="69"/>
      <c r="CD58" s="69"/>
      <c r="CE58" s="70"/>
    </row>
    <row r="59" spans="2:105" s="33" customFormat="1" ht="20.100000000000001" customHeight="1">
      <c r="B59" s="139" t="s">
        <v>41</v>
      </c>
      <c r="C59" s="140"/>
      <c r="D59" s="140"/>
      <c r="E59" s="37"/>
      <c r="F59" s="69"/>
      <c r="G59" s="69"/>
      <c r="H59" s="69"/>
      <c r="I59" s="69"/>
      <c r="J59" s="69"/>
      <c r="K59" s="69"/>
      <c r="L59" s="69"/>
      <c r="M59" s="69"/>
      <c r="N59" s="69"/>
      <c r="O59" s="10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70"/>
    </row>
    <row r="60" spans="2:105" s="33" customFormat="1" ht="20.100000000000001" customHeight="1" thickBot="1">
      <c r="B60" s="110"/>
      <c r="C60" s="111" t="s">
        <v>14</v>
      </c>
      <c r="D60" s="42"/>
      <c r="E60" s="43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  <c r="BH60" s="71"/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2"/>
    </row>
    <row r="61" spans="2:105" s="33" customFormat="1" ht="7.5" customHeight="1"/>
    <row r="62" spans="2:105" s="33" customFormat="1" ht="15.75">
      <c r="B62" s="141" t="s">
        <v>27</v>
      </c>
      <c r="C62" s="124"/>
      <c r="D62" s="124"/>
      <c r="E62" s="124"/>
      <c r="F62" s="124"/>
      <c r="G62" s="122" t="s">
        <v>18</v>
      </c>
      <c r="H62" s="122"/>
      <c r="I62" s="122"/>
      <c r="J62" s="122"/>
      <c r="K62" s="131"/>
      <c r="L62" s="122" t="s">
        <v>26</v>
      </c>
      <c r="M62" s="122"/>
      <c r="N62" s="122"/>
      <c r="O62" s="122"/>
      <c r="P62" s="122"/>
      <c r="Q62" s="122"/>
      <c r="R62" s="122"/>
      <c r="S62" s="124" t="s">
        <v>28</v>
      </c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6" t="s">
        <v>51</v>
      </c>
      <c r="BV62" s="124"/>
      <c r="BW62" s="124"/>
      <c r="BX62" s="124"/>
      <c r="BY62" s="124"/>
      <c r="BZ62" s="124"/>
      <c r="CA62" s="124" t="s">
        <v>18</v>
      </c>
      <c r="CB62" s="124"/>
      <c r="CC62" s="124"/>
      <c r="CD62" s="124"/>
      <c r="CE62" s="128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/>
      <c r="CZ62" s="52"/>
      <c r="DA62" s="52"/>
    </row>
    <row r="63" spans="2:105" s="33" customFormat="1" ht="15.75">
      <c r="B63" s="142"/>
      <c r="C63" s="125"/>
      <c r="D63" s="125"/>
      <c r="E63" s="125"/>
      <c r="F63" s="125"/>
      <c r="G63" s="123"/>
      <c r="H63" s="123"/>
      <c r="I63" s="123"/>
      <c r="J63" s="123"/>
      <c r="K63" s="132"/>
      <c r="L63" s="123"/>
      <c r="M63" s="123"/>
      <c r="N63" s="123"/>
      <c r="O63" s="123"/>
      <c r="P63" s="123"/>
      <c r="Q63" s="123"/>
      <c r="R63" s="123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7"/>
      <c r="BV63" s="125"/>
      <c r="BW63" s="125"/>
      <c r="BX63" s="125"/>
      <c r="BY63" s="125"/>
      <c r="BZ63" s="125"/>
      <c r="CA63" s="125"/>
      <c r="CB63" s="125"/>
      <c r="CC63" s="125"/>
      <c r="CD63" s="125"/>
      <c r="CE63" s="129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</row>
    <row r="64" spans="2:105" ht="14.25"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3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</row>
    <row r="65" spans="2:5">
      <c r="B65" s="9" t="s">
        <v>21</v>
      </c>
    </row>
    <row r="66" spans="2:5">
      <c r="B66" s="9" t="s">
        <v>19</v>
      </c>
      <c r="C66" s="55" t="e">
        <f>AVERAGE(C53:CE53)+0.577*C69</f>
        <v>#DIV/0!</v>
      </c>
    </row>
    <row r="67" spans="2:5">
      <c r="B67" s="9" t="s">
        <v>5</v>
      </c>
      <c r="C67" s="55" t="e">
        <f>AVERAGE(C53:CE53)</f>
        <v>#DIV/0!</v>
      </c>
      <c r="D67" s="56" t="s">
        <v>22</v>
      </c>
      <c r="E67" s="9" t="e">
        <f>STDEV(C48:CD52)</f>
        <v>#DIV/0!</v>
      </c>
    </row>
    <row r="68" spans="2:5">
      <c r="B68" s="9" t="s">
        <v>20</v>
      </c>
      <c r="C68" s="55" t="e">
        <f>C67-0.577*C69</f>
        <v>#DIV/0!</v>
      </c>
    </row>
    <row r="69" spans="2:5">
      <c r="B69" s="9" t="s">
        <v>10</v>
      </c>
      <c r="C69" s="55" t="e">
        <f>2.115*(SUM(C54:CE54)/COUNTIF(C54:CE54,"&lt;&gt;0"))</f>
        <v>#DIV/0!</v>
      </c>
    </row>
    <row r="71" spans="2:5">
      <c r="B71" s="9" t="s">
        <v>23</v>
      </c>
    </row>
    <row r="73" spans="2:5">
      <c r="B73" s="9" t="s">
        <v>24</v>
      </c>
      <c r="C73" s="55" t="e">
        <f>E7/(6*E67)</f>
        <v>#DIV/0!</v>
      </c>
    </row>
    <row r="74" spans="2:5">
      <c r="B74" s="9" t="s">
        <v>25</v>
      </c>
      <c r="C74" s="55" t="e">
        <f>MIN((E4-C67)/(3*E67),(C67-E6)/(3*E67))</f>
        <v>#DIV/0!</v>
      </c>
    </row>
    <row r="75" spans="2:5">
      <c r="C75" s="9">
        <f>COUNTIF(C10:CE10,"&gt;0")</f>
        <v>0</v>
      </c>
    </row>
  </sheetData>
  <sheetProtection algorithmName="SHA-512" hashValue="No4A7hYbRu8YStim7cnDFjZItoEI/DwVCLsj0cQzsr2qD+1yIyeH00zUsqGQ8xxvVYr/xif0i+t2rY34/npfSw==" saltValue="wRWCwMnok8IKQXiqdQDYKg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CB4:CE5"/>
    <mergeCell ref="B13:B14"/>
    <mergeCell ref="B15:B16"/>
    <mergeCell ref="B17:B18"/>
    <mergeCell ref="B19:B20"/>
    <mergeCell ref="BX4:CA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BT63"/>
    <mergeCell ref="BU62:BZ63"/>
    <mergeCell ref="CA62:CE63"/>
    <mergeCell ref="CQ64:DA64"/>
  </mergeCells>
  <conditionalFormatting sqref="C48:U52 BC48:BS52 BU48:CE52">
    <cfRule type="expression" dxfId="35" priority="15">
      <formula>(C48&gt;$G$4)*(C48&lt;&gt;0)</formula>
    </cfRule>
    <cfRule type="expression" dxfId="34" priority="16">
      <formula>(C48&lt;$G$6)*(C48&lt;&gt;0)</formula>
    </cfRule>
  </conditionalFormatting>
  <conditionalFormatting sqref="V48:BQ52">
    <cfRule type="expression" dxfId="33" priority="13">
      <formula>(V48&gt;$G$4)*(V48&lt;&gt;0)</formula>
    </cfRule>
    <cfRule type="expression" dxfId="32" priority="14">
      <formula>(V48&lt;$G$6)*(V48&lt;&gt;0)</formula>
    </cfRule>
  </conditionalFormatting>
  <conditionalFormatting sqref="BR48:BR52">
    <cfRule type="expression" dxfId="31" priority="11">
      <formula>(BR48&gt;$G$4)*(BR48&lt;&gt;0)</formula>
    </cfRule>
    <cfRule type="expression" dxfId="30" priority="12">
      <formula>(BR48&lt;$G$6)*(BR48&lt;&gt;0)</formula>
    </cfRule>
  </conditionalFormatting>
  <conditionalFormatting sqref="BM48:BM52">
    <cfRule type="expression" dxfId="29" priority="9">
      <formula>(BM48&gt;$G$4)*(BM48&lt;&gt;0)</formula>
    </cfRule>
    <cfRule type="expression" dxfId="28" priority="10">
      <formula>(BM48&lt;$G$6)*(BM48&lt;&gt;0)</formula>
    </cfRule>
  </conditionalFormatting>
  <conditionalFormatting sqref="BG48:BG52">
    <cfRule type="expression" dxfId="27" priority="7">
      <formula>(BG48&gt;$G$4)*(BG48&lt;&gt;0)</formula>
    </cfRule>
    <cfRule type="expression" dxfId="26" priority="8">
      <formula>(BG48&lt;$G$6)*(BG48&lt;&gt;0)</formula>
    </cfRule>
  </conditionalFormatting>
  <conditionalFormatting sqref="BB48:BB52">
    <cfRule type="expression" dxfId="25" priority="5">
      <formula>(BB48&gt;$G$4)*(BB48&lt;&gt;0)</formula>
    </cfRule>
    <cfRule type="expression" dxfId="24" priority="6">
      <formula>(BB48&lt;$G$6)*(BB48&lt;&gt;0)</formula>
    </cfRule>
  </conditionalFormatting>
  <conditionalFormatting sqref="BT48:BT52">
    <cfRule type="expression" dxfId="23" priority="3">
      <formula>(BT48&gt;$G$4)*(BT48&lt;&gt;0)</formula>
    </cfRule>
    <cfRule type="expression" dxfId="22" priority="4">
      <formula>(BT48&lt;$G$6)*(BT48&lt;&gt;0)</formula>
    </cfRule>
  </conditionalFormatting>
  <conditionalFormatting sqref="BT48:BT52">
    <cfRule type="expression" dxfId="21" priority="1">
      <formula>(BT48&gt;$G$4)*(BT48&lt;&gt;0)</formula>
    </cfRule>
    <cfRule type="expression" dxfId="20" priority="2">
      <formula>(BT48&lt;$G$6)*(BT48&lt;&gt;0)</formula>
    </cfRule>
  </conditionalFormatting>
  <dataValidations count="3">
    <dataValidation type="whole" showInputMessage="1" showErrorMessage="1" errorTitle="Data" error="Digite apenas o dia entre 1 e 31" sqref="E10:CE10" xr:uid="{00000000-0002-0000-0100-000000000000}">
      <formula1>1</formula1>
      <formula2>31</formula2>
    </dataValidation>
    <dataValidation type="list" showErrorMessage="1" promptTitle="Turno" prompt="Escolha" sqref="C11:CE11" xr:uid="{00000000-0002-0000-0100-000001000000}">
      <formula1>Turnos</formula1>
    </dataValidation>
    <dataValidation type="whole" showErrorMessage="1" errorTitle="Data" error="Digite apenas o dia entre 1 e 31" sqref="C10:D10" xr:uid="{00000000-0002-0000-01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>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  <pageSetUpPr fitToPage="1"/>
  </sheetPr>
  <dimension ref="B1:DA75"/>
  <sheetViews>
    <sheetView showZeros="0" topLeftCell="A2" zoomScaleNormal="100" workbookViewId="0">
      <selection activeCell="C10" sqref="C10"/>
    </sheetView>
  </sheetViews>
  <sheetFormatPr defaultColWidth="10.28515625" defaultRowHeight="12.75"/>
  <cols>
    <col min="1" max="1" width="1.5703125" style="9" customWidth="1"/>
    <col min="2" max="2" width="16.140625" style="9" customWidth="1"/>
    <col min="3" max="83" width="6.7109375" style="9" customWidth="1"/>
    <col min="84" max="84" width="3.140625" style="9" customWidth="1"/>
    <col min="85" max="105" width="6.7109375" style="9" customWidth="1"/>
    <col min="106" max="16384" width="10.28515625" style="9"/>
  </cols>
  <sheetData>
    <row r="1" spans="2:100" ht="21.75" thickBot="1">
      <c r="B1" s="95" t="s">
        <v>46</v>
      </c>
      <c r="C1" s="96"/>
      <c r="D1" s="96"/>
      <c r="E1" s="96"/>
      <c r="F1" s="97"/>
      <c r="G1" s="97"/>
      <c r="H1" s="93"/>
      <c r="I1" s="98" t="s">
        <v>33</v>
      </c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9"/>
      <c r="CV1" s="10"/>
    </row>
    <row r="2" spans="2:100" s="11" customFormat="1" ht="19.5" customHeight="1">
      <c r="B2" s="99" t="s">
        <v>47</v>
      </c>
      <c r="C2" s="100"/>
      <c r="D2" s="101"/>
      <c r="E2" s="101"/>
      <c r="F2" s="102"/>
      <c r="G2" s="102"/>
      <c r="H2" s="94"/>
      <c r="I2" s="149" t="s">
        <v>0</v>
      </c>
      <c r="J2" s="150"/>
      <c r="K2" s="153" t="s">
        <v>34</v>
      </c>
      <c r="L2" s="154"/>
      <c r="M2" s="157" t="s">
        <v>35</v>
      </c>
      <c r="N2" s="158"/>
      <c r="O2" s="158"/>
      <c r="P2" s="158"/>
      <c r="Q2" s="159"/>
      <c r="R2" s="163" t="s">
        <v>1</v>
      </c>
      <c r="S2" s="164"/>
      <c r="T2" s="165"/>
      <c r="U2" s="12" t="s">
        <v>48</v>
      </c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3"/>
      <c r="BU2" s="13"/>
      <c r="BV2" s="13"/>
      <c r="BW2" s="13"/>
      <c r="BX2" s="14"/>
      <c r="BY2" s="14"/>
      <c r="BZ2" s="14"/>
      <c r="CA2" s="14"/>
      <c r="CB2" s="14"/>
      <c r="CC2" s="15"/>
      <c r="CD2" s="15"/>
      <c r="CE2" s="16"/>
    </row>
    <row r="3" spans="2:100" ht="16.899999999999999" customHeight="1" thickBot="1">
      <c r="B3" s="74"/>
      <c r="I3" s="151"/>
      <c r="J3" s="152"/>
      <c r="K3" s="155"/>
      <c r="L3" s="156"/>
      <c r="M3" s="160"/>
      <c r="N3" s="161"/>
      <c r="O3" s="161"/>
      <c r="P3" s="161"/>
      <c r="Q3" s="162"/>
      <c r="R3" s="166" t="s">
        <v>2</v>
      </c>
      <c r="S3" s="167"/>
      <c r="T3" s="168"/>
      <c r="U3" s="17" t="s">
        <v>49</v>
      </c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8"/>
      <c r="BU3" s="18"/>
      <c r="BV3" s="18"/>
      <c r="BW3" s="18"/>
      <c r="BX3" s="18"/>
      <c r="BY3" s="18"/>
      <c r="BZ3" s="18"/>
      <c r="CA3" s="18"/>
      <c r="CB3" s="18"/>
      <c r="CC3" s="19"/>
      <c r="CD3" s="19"/>
      <c r="CE3" s="20"/>
    </row>
    <row r="4" spans="2:100" s="26" customFormat="1" ht="16.899999999999999" customHeight="1" thickTop="1">
      <c r="B4" s="75" t="s">
        <v>3</v>
      </c>
      <c r="C4" s="21"/>
      <c r="D4" s="22" t="s">
        <v>4</v>
      </c>
      <c r="E4" s="23">
        <v>36</v>
      </c>
      <c r="F4" s="24" t="s">
        <v>29</v>
      </c>
      <c r="G4" s="25">
        <v>35.5</v>
      </c>
      <c r="H4" s="103"/>
      <c r="I4" s="104"/>
      <c r="BX4" s="147" t="str">
        <f ca="1">"MÊS: "&amp;RIGHT(LEFT(CELL("filename"),SEARCH(".xl",CELL("Filename"))-1),2)</f>
        <v>MÊS: 03</v>
      </c>
      <c r="BY4" s="143"/>
      <c r="BZ4" s="143"/>
      <c r="CA4" s="143"/>
      <c r="CB4" s="143" t="str">
        <f ca="1">'SJCPIL-R 16-408-02'!CB4:CE5</f>
        <v>ANO: 2022</v>
      </c>
      <c r="CC4" s="143"/>
      <c r="CD4" s="143"/>
      <c r="CE4" s="144"/>
    </row>
    <row r="5" spans="2:100" s="26" customFormat="1" ht="16.899999999999999" customHeight="1" thickBot="1">
      <c r="B5" s="76" t="s">
        <v>50</v>
      </c>
      <c r="C5" s="90" t="s">
        <v>5</v>
      </c>
      <c r="D5" s="27" t="s">
        <v>31</v>
      </c>
      <c r="E5" s="28">
        <v>35</v>
      </c>
      <c r="F5" s="29" t="s">
        <v>31</v>
      </c>
      <c r="G5" s="30">
        <v>35</v>
      </c>
      <c r="H5" s="103"/>
      <c r="I5" s="26" t="s">
        <v>38</v>
      </c>
      <c r="R5" s="26" t="s">
        <v>6</v>
      </c>
      <c r="BX5" s="148"/>
      <c r="BY5" s="145"/>
      <c r="BZ5" s="145"/>
      <c r="CA5" s="145"/>
      <c r="CB5" s="145"/>
      <c r="CC5" s="145"/>
      <c r="CD5" s="145"/>
      <c r="CE5" s="146"/>
    </row>
    <row r="6" spans="2:100" s="26" customFormat="1" ht="16.899999999999999" customHeight="1">
      <c r="B6" s="77" t="s">
        <v>7</v>
      </c>
      <c r="C6" s="31"/>
      <c r="D6" s="27" t="s">
        <v>8</v>
      </c>
      <c r="E6" s="28">
        <v>34</v>
      </c>
      <c r="F6" s="29" t="s">
        <v>30</v>
      </c>
      <c r="G6" s="30">
        <v>34.5</v>
      </c>
      <c r="H6" s="103"/>
      <c r="I6" s="26" t="s">
        <v>36</v>
      </c>
      <c r="R6" s="26" t="s">
        <v>9</v>
      </c>
      <c r="CA6" s="73"/>
      <c r="CB6" s="73"/>
      <c r="CE6" s="78"/>
    </row>
    <row r="7" spans="2:100" s="26" customFormat="1" ht="16.899999999999999" customHeight="1" thickBot="1">
      <c r="B7" s="79"/>
      <c r="C7" s="80" t="s">
        <v>10</v>
      </c>
      <c r="D7" s="81" t="s">
        <v>4</v>
      </c>
      <c r="E7" s="82">
        <v>2</v>
      </c>
      <c r="F7" s="83" t="s">
        <v>29</v>
      </c>
      <c r="G7" s="84">
        <v>1</v>
      </c>
      <c r="H7" s="105"/>
      <c r="I7" s="85" t="s">
        <v>11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6"/>
      <c r="CB7" s="86"/>
      <c r="CC7" s="85"/>
      <c r="CD7" s="85"/>
      <c r="CE7" s="87"/>
    </row>
    <row r="8" spans="2:100" s="26" customFormat="1" ht="4.5" customHeight="1" thickBot="1"/>
    <row r="9" spans="2:100" s="33" customFormat="1">
      <c r="B9" s="32" t="s">
        <v>12</v>
      </c>
      <c r="C9" s="61">
        <v>1</v>
      </c>
      <c r="D9" s="61">
        <v>2</v>
      </c>
      <c r="E9" s="61">
        <v>3</v>
      </c>
      <c r="F9" s="61">
        <v>4</v>
      </c>
      <c r="G9" s="61">
        <v>5</v>
      </c>
      <c r="H9" s="61">
        <v>6</v>
      </c>
      <c r="I9" s="61">
        <v>7</v>
      </c>
      <c r="J9" s="61">
        <v>8</v>
      </c>
      <c r="K9" s="61">
        <v>9</v>
      </c>
      <c r="L9" s="61">
        <v>10</v>
      </c>
      <c r="M9" s="61">
        <v>11</v>
      </c>
      <c r="N9" s="61">
        <v>12</v>
      </c>
      <c r="O9" s="61">
        <v>13</v>
      </c>
      <c r="P9" s="61">
        <v>14</v>
      </c>
      <c r="Q9" s="61">
        <v>15</v>
      </c>
      <c r="R9" s="61">
        <v>16</v>
      </c>
      <c r="S9" s="61">
        <v>17</v>
      </c>
      <c r="T9" s="61">
        <v>18</v>
      </c>
      <c r="U9" s="61">
        <v>19</v>
      </c>
      <c r="V9" s="61">
        <v>20</v>
      </c>
      <c r="W9" s="61">
        <v>21</v>
      </c>
      <c r="X9" s="61">
        <v>22</v>
      </c>
      <c r="Y9" s="61">
        <v>23</v>
      </c>
      <c r="Z9" s="61">
        <v>24</v>
      </c>
      <c r="AA9" s="61">
        <v>25</v>
      </c>
      <c r="AB9" s="61">
        <v>26</v>
      </c>
      <c r="AC9" s="61">
        <v>27</v>
      </c>
      <c r="AD9" s="61">
        <v>28</v>
      </c>
      <c r="AE9" s="61">
        <v>29</v>
      </c>
      <c r="AF9" s="61">
        <v>30</v>
      </c>
      <c r="AG9" s="61">
        <v>31</v>
      </c>
      <c r="AH9" s="61">
        <v>32</v>
      </c>
      <c r="AI9" s="61">
        <v>33</v>
      </c>
      <c r="AJ9" s="61">
        <v>34</v>
      </c>
      <c r="AK9" s="61">
        <v>35</v>
      </c>
      <c r="AL9" s="61">
        <v>36</v>
      </c>
      <c r="AM9" s="61">
        <v>37</v>
      </c>
      <c r="AN9" s="61">
        <v>38</v>
      </c>
      <c r="AO9" s="61">
        <v>39</v>
      </c>
      <c r="AP9" s="61">
        <v>40</v>
      </c>
      <c r="AQ9" s="61">
        <v>41</v>
      </c>
      <c r="AR9" s="61">
        <v>42</v>
      </c>
      <c r="AS9" s="61">
        <v>43</v>
      </c>
      <c r="AT9" s="61">
        <v>44</v>
      </c>
      <c r="AU9" s="61">
        <v>45</v>
      </c>
      <c r="AV9" s="61">
        <v>46</v>
      </c>
      <c r="AW9" s="61">
        <v>47</v>
      </c>
      <c r="AX9" s="61">
        <v>48</v>
      </c>
      <c r="AY9" s="61">
        <v>49</v>
      </c>
      <c r="AZ9" s="61">
        <v>50</v>
      </c>
      <c r="BA9" s="61">
        <v>51</v>
      </c>
      <c r="BB9" s="61">
        <v>52</v>
      </c>
      <c r="BC9" s="61">
        <v>53</v>
      </c>
      <c r="BD9" s="61">
        <v>54</v>
      </c>
      <c r="BE9" s="61">
        <v>55</v>
      </c>
      <c r="BF9" s="61">
        <v>56</v>
      </c>
      <c r="BG9" s="61">
        <v>57</v>
      </c>
      <c r="BH9" s="61">
        <v>58</v>
      </c>
      <c r="BI9" s="61">
        <v>59</v>
      </c>
      <c r="BJ9" s="61">
        <v>60</v>
      </c>
      <c r="BK9" s="61">
        <v>61</v>
      </c>
      <c r="BL9" s="61">
        <v>62</v>
      </c>
      <c r="BM9" s="61">
        <v>63</v>
      </c>
      <c r="BN9" s="61">
        <v>64</v>
      </c>
      <c r="BO9" s="61">
        <v>65</v>
      </c>
      <c r="BP9" s="61">
        <v>66</v>
      </c>
      <c r="BQ9" s="61">
        <v>67</v>
      </c>
      <c r="BR9" s="61">
        <v>68</v>
      </c>
      <c r="BS9" s="61">
        <v>69</v>
      </c>
      <c r="BT9" s="61">
        <v>70</v>
      </c>
      <c r="BU9" s="61">
        <v>71</v>
      </c>
      <c r="BV9" s="61">
        <v>72</v>
      </c>
      <c r="BW9" s="61">
        <v>73</v>
      </c>
      <c r="BX9" s="61">
        <v>74</v>
      </c>
      <c r="BY9" s="61">
        <v>75</v>
      </c>
      <c r="BZ9" s="61">
        <v>76</v>
      </c>
      <c r="CA9" s="61">
        <v>77</v>
      </c>
      <c r="CB9" s="61">
        <v>78</v>
      </c>
      <c r="CC9" s="61">
        <v>79</v>
      </c>
      <c r="CD9" s="61">
        <v>80</v>
      </c>
      <c r="CE9" s="62">
        <v>81</v>
      </c>
    </row>
    <row r="10" spans="2:100" s="33" customFormat="1" ht="14.1" customHeight="1">
      <c r="B10" s="34" t="s">
        <v>13</v>
      </c>
      <c r="C10" s="10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13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119"/>
      <c r="BZ10" s="119"/>
      <c r="CA10" s="7"/>
      <c r="CB10" s="7"/>
      <c r="CC10" s="7"/>
      <c r="CD10" s="7"/>
      <c r="CE10" s="8"/>
    </row>
    <row r="11" spans="2:100" s="33" customFormat="1" ht="14.1" customHeight="1">
      <c r="B11" s="35" t="s">
        <v>32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8"/>
    </row>
    <row r="12" spans="2:100" s="33" customFormat="1" ht="12" customHeight="1">
      <c r="B12" s="36"/>
      <c r="CE12" s="37"/>
    </row>
    <row r="13" spans="2:100" s="33" customFormat="1" ht="12" customHeight="1">
      <c r="B13" s="133"/>
      <c r="CE13" s="37"/>
    </row>
    <row r="14" spans="2:100" s="33" customFormat="1" ht="12" customHeight="1">
      <c r="B14" s="133"/>
      <c r="CE14" s="37"/>
    </row>
    <row r="15" spans="2:100" s="33" customFormat="1" ht="12" customHeight="1">
      <c r="B15" s="134"/>
      <c r="CE15" s="37"/>
    </row>
    <row r="16" spans="2:100" s="33" customFormat="1" ht="12" customHeight="1">
      <c r="B16" s="134"/>
      <c r="CE16" s="37"/>
    </row>
    <row r="17" spans="2:83" s="33" customFormat="1" ht="12" customHeight="1">
      <c r="B17" s="134"/>
      <c r="CE17" s="37"/>
    </row>
    <row r="18" spans="2:83" s="33" customFormat="1" ht="12" customHeight="1">
      <c r="B18" s="134"/>
      <c r="CE18" s="37"/>
    </row>
    <row r="19" spans="2:83" s="33" customFormat="1" ht="12" customHeight="1">
      <c r="B19" s="134"/>
      <c r="CE19" s="37"/>
    </row>
    <row r="20" spans="2:83" s="33" customFormat="1" ht="12" customHeight="1">
      <c r="B20" s="134"/>
      <c r="CE20" s="37"/>
    </row>
    <row r="21" spans="2:83" s="33" customFormat="1" ht="12" customHeight="1">
      <c r="B21" s="134"/>
      <c r="CE21" s="37"/>
    </row>
    <row r="22" spans="2:83" s="33" customFormat="1" ht="12" customHeight="1">
      <c r="B22" s="134"/>
      <c r="CE22" s="37"/>
    </row>
    <row r="23" spans="2:83" s="33" customFormat="1" ht="12" customHeight="1">
      <c r="B23" s="133"/>
      <c r="CE23" s="37"/>
    </row>
    <row r="24" spans="2:83" s="33" customFormat="1" ht="12" customHeight="1">
      <c r="B24" s="133"/>
      <c r="CE24" s="37"/>
    </row>
    <row r="25" spans="2:83" s="33" customFormat="1" ht="12" customHeight="1">
      <c r="B25" s="134"/>
      <c r="CE25" s="37"/>
    </row>
    <row r="26" spans="2:83" s="33" customFormat="1" ht="12" customHeight="1">
      <c r="B26" s="134"/>
      <c r="CE26" s="37"/>
    </row>
    <row r="27" spans="2:83" s="33" customFormat="1" ht="12" customHeight="1">
      <c r="B27" s="134"/>
      <c r="CE27" s="37"/>
    </row>
    <row r="28" spans="2:83" s="33" customFormat="1" ht="12" customHeight="1">
      <c r="B28" s="134"/>
      <c r="CE28" s="37"/>
    </row>
    <row r="29" spans="2:83" s="33" customFormat="1" ht="12" customHeight="1">
      <c r="B29" s="134"/>
      <c r="CE29" s="37"/>
    </row>
    <row r="30" spans="2:83" s="33" customFormat="1" ht="12" customHeight="1">
      <c r="B30" s="134"/>
      <c r="CE30" s="37"/>
    </row>
    <row r="31" spans="2:83" s="33" customFormat="1" ht="12" customHeight="1">
      <c r="B31" s="134"/>
      <c r="CE31" s="37"/>
    </row>
    <row r="32" spans="2:83" s="33" customFormat="1" ht="12" customHeight="1">
      <c r="B32" s="134"/>
      <c r="CE32" s="37"/>
    </row>
    <row r="33" spans="2:83" s="33" customFormat="1" ht="12" customHeight="1">
      <c r="B33" s="133"/>
      <c r="CE33" s="37"/>
    </row>
    <row r="34" spans="2:83" s="33" customFormat="1" ht="12" customHeight="1">
      <c r="B34" s="133"/>
      <c r="CE34" s="37"/>
    </row>
    <row r="35" spans="2:83" s="33" customFormat="1" ht="12" customHeight="1" thickBot="1">
      <c r="B35" s="38"/>
      <c r="CE35" s="37"/>
    </row>
    <row r="36" spans="2:83" s="33" customFormat="1" ht="12" customHeight="1">
      <c r="B36" s="135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40"/>
    </row>
    <row r="37" spans="2:83" s="33" customFormat="1" ht="12" customHeight="1">
      <c r="B37" s="133"/>
      <c r="CE37" s="37"/>
    </row>
    <row r="38" spans="2:83" s="33" customFormat="1" ht="12" customHeight="1">
      <c r="B38" s="91"/>
      <c r="CE38" s="37"/>
    </row>
    <row r="39" spans="2:83" s="33" customFormat="1" ht="12" customHeight="1">
      <c r="B39" s="91"/>
      <c r="CE39" s="37"/>
    </row>
    <row r="40" spans="2:83" s="33" customFormat="1" ht="12" customHeight="1">
      <c r="B40" s="91"/>
      <c r="CE40" s="37"/>
    </row>
    <row r="41" spans="2:83" s="33" customFormat="1" ht="12" customHeight="1">
      <c r="B41" s="133"/>
      <c r="CE41" s="37"/>
    </row>
    <row r="42" spans="2:83" s="33" customFormat="1" ht="12" customHeight="1">
      <c r="B42" s="133"/>
      <c r="CE42" s="37"/>
    </row>
    <row r="43" spans="2:83" s="33" customFormat="1" ht="12" customHeight="1">
      <c r="B43" s="91"/>
      <c r="CE43" s="37"/>
    </row>
    <row r="44" spans="2:83" s="33" customFormat="1" ht="12" customHeight="1">
      <c r="B44" s="91"/>
      <c r="CE44" s="37"/>
    </row>
    <row r="45" spans="2:83" s="33" customFormat="1" ht="12" customHeight="1">
      <c r="B45" s="91"/>
      <c r="CE45" s="37"/>
    </row>
    <row r="46" spans="2:83" s="33" customFormat="1" ht="12" customHeight="1" thickBot="1">
      <c r="B46" s="41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3"/>
    </row>
    <row r="47" spans="2:83" s="33" customFormat="1" ht="6" customHeight="1">
      <c r="B47" s="44"/>
      <c r="CE47" s="37"/>
    </row>
    <row r="48" spans="2:83" s="45" customFormat="1" ht="15" customHeight="1">
      <c r="B48" s="57">
        <v>1</v>
      </c>
      <c r="C48" s="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3"/>
    </row>
    <row r="49" spans="2:105" s="45" customFormat="1" ht="15" customHeight="1">
      <c r="B49" s="58">
        <v>2</v>
      </c>
      <c r="C49" s="4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6"/>
    </row>
    <row r="50" spans="2:105" s="45" customFormat="1" ht="15" customHeight="1">
      <c r="B50" s="58">
        <v>3</v>
      </c>
      <c r="C50" s="4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6"/>
    </row>
    <row r="51" spans="2:105" s="45" customFormat="1" ht="15" customHeight="1">
      <c r="B51" s="58">
        <v>4</v>
      </c>
      <c r="C51" s="4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6"/>
    </row>
    <row r="52" spans="2:105" s="45" customFormat="1" ht="15" customHeight="1">
      <c r="B52" s="59">
        <v>5</v>
      </c>
      <c r="C52" s="4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6"/>
    </row>
    <row r="53" spans="2:105" s="45" customFormat="1" ht="15" customHeight="1">
      <c r="B53" s="59" t="s">
        <v>14</v>
      </c>
      <c r="C53" s="92" t="str">
        <f t="shared" ref="C53:U53" si="0">IF(ISERR(AVERAGE(C48:C52))," ",AVERAGE(C48:C52))</f>
        <v xml:space="preserve"> </v>
      </c>
      <c r="D53" s="46" t="str">
        <f t="shared" si="0"/>
        <v xml:space="preserve"> </v>
      </c>
      <c r="E53" s="46" t="str">
        <f t="shared" si="0"/>
        <v xml:space="preserve"> </v>
      </c>
      <c r="F53" s="46" t="str">
        <f t="shared" si="0"/>
        <v xml:space="preserve"> </v>
      </c>
      <c r="G53" s="46" t="str">
        <f t="shared" si="0"/>
        <v xml:space="preserve"> </v>
      </c>
      <c r="H53" s="46" t="str">
        <f t="shared" si="0"/>
        <v xml:space="preserve"> </v>
      </c>
      <c r="I53" s="46" t="str">
        <f t="shared" si="0"/>
        <v xml:space="preserve"> </v>
      </c>
      <c r="J53" s="46" t="str">
        <f t="shared" si="0"/>
        <v xml:space="preserve"> </v>
      </c>
      <c r="K53" s="46" t="str">
        <f t="shared" si="0"/>
        <v xml:space="preserve"> </v>
      </c>
      <c r="L53" s="46" t="str">
        <f t="shared" si="0"/>
        <v xml:space="preserve"> </v>
      </c>
      <c r="M53" s="46" t="str">
        <f t="shared" si="0"/>
        <v xml:space="preserve"> </v>
      </c>
      <c r="N53" s="46" t="str">
        <f t="shared" si="0"/>
        <v xml:space="preserve"> </v>
      </c>
      <c r="O53" s="46" t="str">
        <f t="shared" si="0"/>
        <v xml:space="preserve"> </v>
      </c>
      <c r="P53" s="46" t="str">
        <f t="shared" si="0"/>
        <v xml:space="preserve"> </v>
      </c>
      <c r="Q53" s="46" t="str">
        <f t="shared" si="0"/>
        <v xml:space="preserve"> </v>
      </c>
      <c r="R53" s="46" t="str">
        <f t="shared" si="0"/>
        <v xml:space="preserve"> </v>
      </c>
      <c r="S53" s="46" t="str">
        <f t="shared" si="0"/>
        <v xml:space="preserve"> </v>
      </c>
      <c r="T53" s="46" t="str">
        <f t="shared" si="0"/>
        <v xml:space="preserve"> </v>
      </c>
      <c r="U53" s="46" t="str">
        <f t="shared" si="0"/>
        <v xml:space="preserve"> </v>
      </c>
      <c r="V53" s="46" t="str">
        <f t="shared" ref="V53:AV53" si="1">IF(ISERR(AVERAGE(V48:V52))," ",AVERAGE(V48:V52))</f>
        <v xml:space="preserve"> </v>
      </c>
      <c r="W53" s="46" t="str">
        <f t="shared" si="1"/>
        <v xml:space="preserve"> </v>
      </c>
      <c r="X53" s="46" t="str">
        <f t="shared" si="1"/>
        <v xml:space="preserve"> </v>
      </c>
      <c r="Y53" s="46" t="str">
        <f t="shared" si="1"/>
        <v xml:space="preserve"> </v>
      </c>
      <c r="Z53" s="46" t="str">
        <f t="shared" si="1"/>
        <v xml:space="preserve"> </v>
      </c>
      <c r="AA53" s="46" t="str">
        <f t="shared" ref="AA53:AR53" si="2">IF(ISERR(AVERAGE(AA48:AA52))," ",AVERAGE(AA48:AA52))</f>
        <v xml:space="preserve"> </v>
      </c>
      <c r="AB53" s="46" t="str">
        <f t="shared" si="2"/>
        <v xml:space="preserve"> </v>
      </c>
      <c r="AC53" s="46" t="str">
        <f t="shared" si="2"/>
        <v xml:space="preserve"> </v>
      </c>
      <c r="AD53" s="46" t="str">
        <f t="shared" si="2"/>
        <v xml:space="preserve"> </v>
      </c>
      <c r="AE53" s="46" t="str">
        <f t="shared" si="2"/>
        <v xml:space="preserve"> </v>
      </c>
      <c r="AF53" s="46" t="str">
        <f t="shared" si="2"/>
        <v xml:space="preserve"> </v>
      </c>
      <c r="AG53" s="46" t="str">
        <f t="shared" si="2"/>
        <v xml:space="preserve"> </v>
      </c>
      <c r="AH53" s="46" t="str">
        <f t="shared" si="2"/>
        <v xml:space="preserve"> </v>
      </c>
      <c r="AI53" s="46" t="str">
        <f t="shared" si="2"/>
        <v xml:space="preserve"> </v>
      </c>
      <c r="AJ53" s="46" t="str">
        <f t="shared" si="2"/>
        <v xml:space="preserve"> </v>
      </c>
      <c r="AK53" s="46" t="str">
        <f t="shared" si="2"/>
        <v xml:space="preserve"> </v>
      </c>
      <c r="AL53" s="46" t="str">
        <f t="shared" si="2"/>
        <v xml:space="preserve"> </v>
      </c>
      <c r="AM53" s="46" t="str">
        <f t="shared" si="2"/>
        <v xml:space="preserve"> </v>
      </c>
      <c r="AN53" s="46" t="str">
        <f t="shared" si="2"/>
        <v xml:space="preserve"> </v>
      </c>
      <c r="AO53" s="46" t="str">
        <f t="shared" si="2"/>
        <v xml:space="preserve"> </v>
      </c>
      <c r="AP53" s="46" t="str">
        <f t="shared" si="2"/>
        <v xml:space="preserve"> </v>
      </c>
      <c r="AQ53" s="46" t="str">
        <f t="shared" si="2"/>
        <v xml:space="preserve"> </v>
      </c>
      <c r="AR53" s="46" t="str">
        <f t="shared" si="2"/>
        <v xml:space="preserve"> </v>
      </c>
      <c r="AS53" s="46" t="str">
        <f t="shared" si="1"/>
        <v xml:space="preserve"> </v>
      </c>
      <c r="AT53" s="46" t="str">
        <f t="shared" si="1"/>
        <v xml:space="preserve"> </v>
      </c>
      <c r="AU53" s="46" t="str">
        <f t="shared" si="1"/>
        <v xml:space="preserve"> </v>
      </c>
      <c r="AV53" s="46" t="str">
        <f t="shared" si="1"/>
        <v xml:space="preserve"> </v>
      </c>
      <c r="AW53" s="46" t="str">
        <f t="shared" ref="AW53:BT53" si="3">IF(ISERR(AVERAGE(AW48:AW52))," ",AVERAGE(AW48:AW52))</f>
        <v xml:space="preserve"> </v>
      </c>
      <c r="AX53" s="46" t="str">
        <f t="shared" si="3"/>
        <v xml:space="preserve"> </v>
      </c>
      <c r="AY53" s="46" t="str">
        <f t="shared" si="3"/>
        <v xml:space="preserve"> </v>
      </c>
      <c r="AZ53" s="46" t="str">
        <f t="shared" si="3"/>
        <v xml:space="preserve"> </v>
      </c>
      <c r="BA53" s="46" t="str">
        <f t="shared" si="3"/>
        <v xml:space="preserve"> </v>
      </c>
      <c r="BB53" s="46" t="str">
        <f t="shared" si="3"/>
        <v xml:space="preserve"> </v>
      </c>
      <c r="BC53" s="46" t="str">
        <f t="shared" si="3"/>
        <v xml:space="preserve"> </v>
      </c>
      <c r="BD53" s="46" t="str">
        <f t="shared" si="3"/>
        <v xml:space="preserve"> </v>
      </c>
      <c r="BE53" s="46" t="str">
        <f t="shared" si="3"/>
        <v xml:space="preserve"> </v>
      </c>
      <c r="BF53" s="46" t="str">
        <f t="shared" si="3"/>
        <v xml:space="preserve"> </v>
      </c>
      <c r="BG53" s="46" t="str">
        <f t="shared" si="3"/>
        <v xml:space="preserve"> </v>
      </c>
      <c r="BH53" s="46" t="str">
        <f t="shared" si="3"/>
        <v xml:space="preserve"> </v>
      </c>
      <c r="BI53" s="46" t="str">
        <f t="shared" si="3"/>
        <v xml:space="preserve"> </v>
      </c>
      <c r="BJ53" s="46" t="str">
        <f t="shared" si="3"/>
        <v xml:space="preserve"> </v>
      </c>
      <c r="BK53" s="46" t="str">
        <f t="shared" si="3"/>
        <v xml:space="preserve"> </v>
      </c>
      <c r="BL53" s="46" t="str">
        <f t="shared" si="3"/>
        <v xml:space="preserve"> </v>
      </c>
      <c r="BM53" s="46" t="str">
        <f t="shared" si="3"/>
        <v xml:space="preserve"> </v>
      </c>
      <c r="BN53" s="46" t="str">
        <f t="shared" si="3"/>
        <v xml:space="preserve"> </v>
      </c>
      <c r="BO53" s="46" t="str">
        <f t="shared" si="3"/>
        <v xml:space="preserve"> </v>
      </c>
      <c r="BP53" s="46" t="str">
        <f t="shared" si="3"/>
        <v xml:space="preserve"> </v>
      </c>
      <c r="BQ53" s="46" t="str">
        <f t="shared" si="3"/>
        <v xml:space="preserve"> </v>
      </c>
      <c r="BR53" s="46" t="str">
        <f t="shared" si="3"/>
        <v xml:space="preserve"> </v>
      </c>
      <c r="BS53" s="46" t="str">
        <f t="shared" si="3"/>
        <v xml:space="preserve"> </v>
      </c>
      <c r="BT53" s="46" t="str">
        <f t="shared" si="3"/>
        <v xml:space="preserve"> </v>
      </c>
      <c r="BU53" s="46" t="str">
        <f t="shared" ref="BU53:BW53" si="4">IF(ISERR(AVERAGE(BU48:BU52))," ",AVERAGE(BU48:BU52))</f>
        <v xml:space="preserve"> </v>
      </c>
      <c r="BV53" s="46" t="str">
        <f t="shared" si="4"/>
        <v xml:space="preserve"> </v>
      </c>
      <c r="BW53" s="46" t="str">
        <f t="shared" si="4"/>
        <v xml:space="preserve"> </v>
      </c>
      <c r="BX53" s="46" t="str">
        <f t="shared" ref="BX53:CE53" si="5">IF(ISERR(AVERAGE(BX48:BX52))," ",AVERAGE(BX48:BX52))</f>
        <v xml:space="preserve"> </v>
      </c>
      <c r="BY53" s="46" t="str">
        <f t="shared" si="5"/>
        <v xml:space="preserve"> </v>
      </c>
      <c r="BZ53" s="46" t="str">
        <f t="shared" si="5"/>
        <v xml:space="preserve"> </v>
      </c>
      <c r="CA53" s="46" t="str">
        <f t="shared" si="5"/>
        <v xml:space="preserve"> </v>
      </c>
      <c r="CB53" s="46" t="str">
        <f t="shared" si="5"/>
        <v xml:space="preserve"> </v>
      </c>
      <c r="CC53" s="46" t="str">
        <f t="shared" si="5"/>
        <v xml:space="preserve"> </v>
      </c>
      <c r="CD53" s="46" t="str">
        <f t="shared" si="5"/>
        <v xml:space="preserve"> </v>
      </c>
      <c r="CE53" s="47" t="str">
        <f t="shared" si="5"/>
        <v xml:space="preserve"> </v>
      </c>
    </row>
    <row r="54" spans="2:105" s="45" customFormat="1" ht="15" customHeight="1">
      <c r="B54" s="59" t="s">
        <v>10</v>
      </c>
      <c r="C54" s="107">
        <f t="shared" ref="C54:U54" si="6">MAX(C48:C52)-MIN(C48:C52)</f>
        <v>0</v>
      </c>
      <c r="D54" s="60">
        <f t="shared" si="6"/>
        <v>0</v>
      </c>
      <c r="E54" s="60">
        <f t="shared" si="6"/>
        <v>0</v>
      </c>
      <c r="F54" s="60">
        <f t="shared" si="6"/>
        <v>0</v>
      </c>
      <c r="G54" s="60">
        <f t="shared" si="6"/>
        <v>0</v>
      </c>
      <c r="H54" s="60">
        <f t="shared" si="6"/>
        <v>0</v>
      </c>
      <c r="I54" s="60">
        <f t="shared" si="6"/>
        <v>0</v>
      </c>
      <c r="J54" s="60">
        <f t="shared" si="6"/>
        <v>0</v>
      </c>
      <c r="K54" s="60">
        <f t="shared" si="6"/>
        <v>0</v>
      </c>
      <c r="L54" s="60">
        <f t="shared" si="6"/>
        <v>0</v>
      </c>
      <c r="M54" s="60">
        <f t="shared" si="6"/>
        <v>0</v>
      </c>
      <c r="N54" s="60">
        <f t="shared" si="6"/>
        <v>0</v>
      </c>
      <c r="O54" s="60">
        <f t="shared" si="6"/>
        <v>0</v>
      </c>
      <c r="P54" s="60">
        <f t="shared" si="6"/>
        <v>0</v>
      </c>
      <c r="Q54" s="60">
        <f t="shared" si="6"/>
        <v>0</v>
      </c>
      <c r="R54" s="48">
        <f t="shared" si="6"/>
        <v>0</v>
      </c>
      <c r="S54" s="48">
        <f t="shared" si="6"/>
        <v>0</v>
      </c>
      <c r="T54" s="48">
        <f t="shared" si="6"/>
        <v>0</v>
      </c>
      <c r="U54" s="48">
        <f t="shared" si="6"/>
        <v>0</v>
      </c>
      <c r="V54" s="48">
        <f t="shared" ref="V54:AV54" si="7">MAX(V48:V52)-MIN(V48:V52)</f>
        <v>0</v>
      </c>
      <c r="W54" s="48">
        <f t="shared" si="7"/>
        <v>0</v>
      </c>
      <c r="X54" s="48">
        <f t="shared" si="7"/>
        <v>0</v>
      </c>
      <c r="Y54" s="48">
        <f t="shared" si="7"/>
        <v>0</v>
      </c>
      <c r="Z54" s="48">
        <f t="shared" si="7"/>
        <v>0</v>
      </c>
      <c r="AA54" s="48">
        <f t="shared" ref="AA54:AR54" si="8">MAX(AA48:AA52)-MIN(AA48:AA52)</f>
        <v>0</v>
      </c>
      <c r="AB54" s="48">
        <f t="shared" si="8"/>
        <v>0</v>
      </c>
      <c r="AC54" s="48">
        <f t="shared" si="8"/>
        <v>0</v>
      </c>
      <c r="AD54" s="48">
        <f t="shared" si="8"/>
        <v>0</v>
      </c>
      <c r="AE54" s="48">
        <f t="shared" si="8"/>
        <v>0</v>
      </c>
      <c r="AF54" s="48">
        <f t="shared" si="8"/>
        <v>0</v>
      </c>
      <c r="AG54" s="48">
        <f t="shared" si="8"/>
        <v>0</v>
      </c>
      <c r="AH54" s="48">
        <f t="shared" si="8"/>
        <v>0</v>
      </c>
      <c r="AI54" s="48">
        <f t="shared" si="8"/>
        <v>0</v>
      </c>
      <c r="AJ54" s="48">
        <f t="shared" si="8"/>
        <v>0</v>
      </c>
      <c r="AK54" s="48">
        <f t="shared" si="8"/>
        <v>0</v>
      </c>
      <c r="AL54" s="48">
        <f t="shared" si="8"/>
        <v>0</v>
      </c>
      <c r="AM54" s="48">
        <f t="shared" si="8"/>
        <v>0</v>
      </c>
      <c r="AN54" s="48">
        <f t="shared" si="8"/>
        <v>0</v>
      </c>
      <c r="AO54" s="48">
        <f t="shared" si="8"/>
        <v>0</v>
      </c>
      <c r="AP54" s="48">
        <f t="shared" si="8"/>
        <v>0</v>
      </c>
      <c r="AQ54" s="48">
        <f t="shared" si="8"/>
        <v>0</v>
      </c>
      <c r="AR54" s="48">
        <f t="shared" si="8"/>
        <v>0</v>
      </c>
      <c r="AS54" s="48">
        <f t="shared" si="7"/>
        <v>0</v>
      </c>
      <c r="AT54" s="48">
        <f t="shared" si="7"/>
        <v>0</v>
      </c>
      <c r="AU54" s="48">
        <f t="shared" si="7"/>
        <v>0</v>
      </c>
      <c r="AV54" s="48">
        <f t="shared" si="7"/>
        <v>0</v>
      </c>
      <c r="AW54" s="48">
        <f t="shared" ref="AW54:BT54" si="9">MAX(AW48:AW52)-MIN(AW48:AW52)</f>
        <v>0</v>
      </c>
      <c r="AX54" s="48">
        <f t="shared" si="9"/>
        <v>0</v>
      </c>
      <c r="AY54" s="48">
        <f t="shared" si="9"/>
        <v>0</v>
      </c>
      <c r="AZ54" s="48">
        <f t="shared" si="9"/>
        <v>0</v>
      </c>
      <c r="BA54" s="48">
        <f t="shared" si="9"/>
        <v>0</v>
      </c>
      <c r="BB54" s="48">
        <f t="shared" si="9"/>
        <v>0</v>
      </c>
      <c r="BC54" s="48">
        <f t="shared" si="9"/>
        <v>0</v>
      </c>
      <c r="BD54" s="48">
        <f t="shared" si="9"/>
        <v>0</v>
      </c>
      <c r="BE54" s="48">
        <f t="shared" si="9"/>
        <v>0</v>
      </c>
      <c r="BF54" s="48">
        <f t="shared" si="9"/>
        <v>0</v>
      </c>
      <c r="BG54" s="48">
        <f t="shared" si="9"/>
        <v>0</v>
      </c>
      <c r="BH54" s="48">
        <f t="shared" si="9"/>
        <v>0</v>
      </c>
      <c r="BI54" s="48">
        <f t="shared" si="9"/>
        <v>0</v>
      </c>
      <c r="BJ54" s="48">
        <f t="shared" si="9"/>
        <v>0</v>
      </c>
      <c r="BK54" s="48">
        <f t="shared" si="9"/>
        <v>0</v>
      </c>
      <c r="BL54" s="48">
        <f t="shared" si="9"/>
        <v>0</v>
      </c>
      <c r="BM54" s="48">
        <f t="shared" si="9"/>
        <v>0</v>
      </c>
      <c r="BN54" s="48">
        <f t="shared" si="9"/>
        <v>0</v>
      </c>
      <c r="BO54" s="48">
        <f t="shared" si="9"/>
        <v>0</v>
      </c>
      <c r="BP54" s="48">
        <f t="shared" si="9"/>
        <v>0</v>
      </c>
      <c r="BQ54" s="48">
        <f t="shared" si="9"/>
        <v>0</v>
      </c>
      <c r="BR54" s="48">
        <f t="shared" si="9"/>
        <v>0</v>
      </c>
      <c r="BS54" s="48">
        <f t="shared" si="9"/>
        <v>0</v>
      </c>
      <c r="BT54" s="48">
        <f t="shared" si="9"/>
        <v>0</v>
      </c>
      <c r="BU54" s="48">
        <f t="shared" ref="BU54:BW54" si="10">MAX(BU48:BU52)-MIN(BU48:BU52)</f>
        <v>0</v>
      </c>
      <c r="BV54" s="48">
        <f t="shared" si="10"/>
        <v>0</v>
      </c>
      <c r="BW54" s="48">
        <f t="shared" si="10"/>
        <v>0</v>
      </c>
      <c r="BX54" s="48">
        <f t="shared" ref="BX54:CE54" si="11">MAX(BX48:BX52)-MIN(BX48:BX52)</f>
        <v>0</v>
      </c>
      <c r="BY54" s="48">
        <f t="shared" si="11"/>
        <v>0</v>
      </c>
      <c r="BZ54" s="48">
        <f t="shared" si="11"/>
        <v>0</v>
      </c>
      <c r="CA54" s="48">
        <f t="shared" si="11"/>
        <v>0</v>
      </c>
      <c r="CB54" s="48">
        <f t="shared" si="11"/>
        <v>0</v>
      </c>
      <c r="CC54" s="48">
        <f t="shared" si="11"/>
        <v>0</v>
      </c>
      <c r="CD54" s="48">
        <f t="shared" si="11"/>
        <v>0</v>
      </c>
      <c r="CE54" s="49">
        <f t="shared" si="11"/>
        <v>0</v>
      </c>
    </row>
    <row r="55" spans="2:105" s="45" customFormat="1" ht="20.100000000000001" customHeight="1">
      <c r="B55" s="50" t="s">
        <v>15</v>
      </c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5"/>
    </row>
    <row r="56" spans="2:105" s="45" customFormat="1" ht="26.25" thickBot="1">
      <c r="B56" s="120" t="str">
        <f>'SJCPIL-R 16-408-02'!B56</f>
        <v>Visto do Lider / Sublíder</v>
      </c>
      <c r="C56" s="66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8"/>
    </row>
    <row r="57" spans="2:105" s="33" customFormat="1" ht="20.100000000000001" customHeight="1">
      <c r="B57" s="136" t="s">
        <v>16</v>
      </c>
      <c r="C57" s="137"/>
      <c r="D57" s="137"/>
      <c r="E57" s="138"/>
      <c r="F57" s="51" t="s">
        <v>17</v>
      </c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40"/>
    </row>
    <row r="58" spans="2:105" s="33" customFormat="1" ht="20.100000000000001" customHeight="1">
      <c r="B58" s="108"/>
      <c r="C58" s="26" t="s">
        <v>40</v>
      </c>
      <c r="D58" s="26"/>
      <c r="E58" s="37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69"/>
      <c r="CA58" s="69"/>
      <c r="CB58" s="69"/>
      <c r="CC58" s="69"/>
      <c r="CD58" s="69"/>
      <c r="CE58" s="70"/>
    </row>
    <row r="59" spans="2:105" s="33" customFormat="1" ht="20.100000000000001" customHeight="1">
      <c r="B59" s="139" t="s">
        <v>41</v>
      </c>
      <c r="C59" s="140"/>
      <c r="D59" s="140"/>
      <c r="E59" s="37"/>
      <c r="F59" s="69"/>
      <c r="G59" s="69"/>
      <c r="H59" s="69"/>
      <c r="I59" s="69"/>
      <c r="J59" s="69"/>
      <c r="K59" s="69"/>
      <c r="L59" s="69"/>
      <c r="M59" s="69"/>
      <c r="N59" s="69"/>
      <c r="O59" s="10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70"/>
    </row>
    <row r="60" spans="2:105" s="33" customFormat="1" ht="20.100000000000001" customHeight="1" thickBot="1">
      <c r="B60" s="110"/>
      <c r="C60" s="111" t="s">
        <v>14</v>
      </c>
      <c r="D60" s="42"/>
      <c r="E60" s="43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  <c r="BH60" s="71"/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2"/>
    </row>
    <row r="61" spans="2:105" s="33" customFormat="1" ht="7.5" customHeight="1"/>
    <row r="62" spans="2:105" s="33" customFormat="1" ht="15.75">
      <c r="B62" s="141" t="s">
        <v>27</v>
      </c>
      <c r="C62" s="124"/>
      <c r="D62" s="124"/>
      <c r="E62" s="124"/>
      <c r="F62" s="124"/>
      <c r="G62" s="122" t="s">
        <v>18</v>
      </c>
      <c r="H62" s="122"/>
      <c r="I62" s="122"/>
      <c r="J62" s="122"/>
      <c r="K62" s="131"/>
      <c r="L62" s="122" t="s">
        <v>26</v>
      </c>
      <c r="M62" s="122"/>
      <c r="N62" s="122"/>
      <c r="O62" s="122"/>
      <c r="P62" s="122"/>
      <c r="Q62" s="122"/>
      <c r="R62" s="122"/>
      <c r="S62" s="124" t="s">
        <v>28</v>
      </c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6" t="s">
        <v>51</v>
      </c>
      <c r="BV62" s="124"/>
      <c r="BW62" s="124"/>
      <c r="BX62" s="124"/>
      <c r="BY62" s="124"/>
      <c r="BZ62" s="124"/>
      <c r="CA62" s="124" t="s">
        <v>18</v>
      </c>
      <c r="CB62" s="124"/>
      <c r="CC62" s="124"/>
      <c r="CD62" s="124"/>
      <c r="CE62" s="128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/>
      <c r="CZ62" s="52"/>
      <c r="DA62" s="52"/>
    </row>
    <row r="63" spans="2:105" s="33" customFormat="1" ht="15.75">
      <c r="B63" s="142"/>
      <c r="C63" s="125"/>
      <c r="D63" s="125"/>
      <c r="E63" s="125"/>
      <c r="F63" s="125"/>
      <c r="G63" s="123"/>
      <c r="H63" s="123"/>
      <c r="I63" s="123"/>
      <c r="J63" s="123"/>
      <c r="K63" s="132"/>
      <c r="L63" s="123"/>
      <c r="M63" s="123"/>
      <c r="N63" s="123"/>
      <c r="O63" s="123"/>
      <c r="P63" s="123"/>
      <c r="Q63" s="123"/>
      <c r="R63" s="123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7"/>
      <c r="BV63" s="125"/>
      <c r="BW63" s="125"/>
      <c r="BX63" s="125"/>
      <c r="BY63" s="125"/>
      <c r="BZ63" s="125"/>
      <c r="CA63" s="125"/>
      <c r="CB63" s="125"/>
      <c r="CC63" s="125"/>
      <c r="CD63" s="125"/>
      <c r="CE63" s="129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</row>
    <row r="64" spans="2:105" ht="14.25"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3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</row>
    <row r="65" spans="2:5">
      <c r="B65" s="9" t="s">
        <v>21</v>
      </c>
    </row>
    <row r="66" spans="2:5">
      <c r="B66" s="9" t="s">
        <v>19</v>
      </c>
      <c r="C66" s="55" t="e">
        <f>AVERAGE(C53:CE53)+0.577*C69</f>
        <v>#DIV/0!</v>
      </c>
    </row>
    <row r="67" spans="2:5">
      <c r="B67" s="9" t="s">
        <v>5</v>
      </c>
      <c r="C67" s="55" t="e">
        <f>AVERAGE(C53:CE53)</f>
        <v>#DIV/0!</v>
      </c>
      <c r="D67" s="56" t="s">
        <v>22</v>
      </c>
      <c r="E67" s="9" t="e">
        <f>STDEV(C48:CD52)</f>
        <v>#DIV/0!</v>
      </c>
    </row>
    <row r="68" spans="2:5">
      <c r="B68" s="9" t="s">
        <v>20</v>
      </c>
      <c r="C68" s="55" t="e">
        <f>C67-0.577*C69</f>
        <v>#DIV/0!</v>
      </c>
    </row>
    <row r="69" spans="2:5">
      <c r="B69" s="9" t="s">
        <v>10</v>
      </c>
      <c r="C69" s="55" t="e">
        <f>2.115*(SUM(C54:CE54)/COUNTIF(C54:CE54,"&lt;&gt;0"))</f>
        <v>#DIV/0!</v>
      </c>
    </row>
    <row r="71" spans="2:5">
      <c r="B71" s="9" t="s">
        <v>23</v>
      </c>
    </row>
    <row r="73" spans="2:5">
      <c r="B73" s="9" t="s">
        <v>24</v>
      </c>
      <c r="C73" s="55" t="e">
        <f>E7/(6*E67)</f>
        <v>#DIV/0!</v>
      </c>
    </row>
    <row r="74" spans="2:5">
      <c r="B74" s="9" t="s">
        <v>25</v>
      </c>
      <c r="C74" s="55" t="e">
        <f>MIN((E4-C67)/(3*E67),(C67-E6)/(3*E67))</f>
        <v>#DIV/0!</v>
      </c>
    </row>
    <row r="75" spans="2:5">
      <c r="C75" s="9">
        <f>COUNTIF(C10:CE10,"&gt;0")</f>
        <v>0</v>
      </c>
    </row>
  </sheetData>
  <sheetProtection algorithmName="SHA-512" hashValue="0mulWyHCONxGvMUtQWIKkNVi/xwaFVB12kqGfX0U4M7k78rA6TXZY+NEWSH/uGl1UvXprbi94iDeqxdR8S9WAg==" saltValue="gGamTG1rAhGDLp7AqO74QA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CB4:CE5"/>
    <mergeCell ref="B13:B14"/>
    <mergeCell ref="B15:B16"/>
    <mergeCell ref="B17:B18"/>
    <mergeCell ref="B19:B20"/>
    <mergeCell ref="BX4:CA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BT63"/>
    <mergeCell ref="BU62:BZ63"/>
    <mergeCell ref="CA62:CE63"/>
    <mergeCell ref="CQ64:DA64"/>
  </mergeCells>
  <conditionalFormatting sqref="C48:U52 BB48:BS52 BU48:CE52">
    <cfRule type="expression" dxfId="19" priority="5">
      <formula>(C48&gt;$G$4)*(C48&lt;&gt;0)</formula>
    </cfRule>
    <cfRule type="expression" dxfId="18" priority="6">
      <formula>(C48&lt;$G$6)*(C48&lt;&gt;0)</formula>
    </cfRule>
  </conditionalFormatting>
  <conditionalFormatting sqref="V48:BQ52">
    <cfRule type="expression" dxfId="17" priority="3">
      <formula>(V48&gt;$G$4)*(V48&lt;&gt;0)</formula>
    </cfRule>
    <cfRule type="expression" dxfId="16" priority="4">
      <formula>(V48&lt;$G$6)*(V48&lt;&gt;0)</formula>
    </cfRule>
  </conditionalFormatting>
  <conditionalFormatting sqref="BT48:BT52">
    <cfRule type="expression" dxfId="15" priority="1">
      <formula>(BT48&gt;$G$4)*(BT48&lt;&gt;0)</formula>
    </cfRule>
    <cfRule type="expression" dxfId="14" priority="2">
      <formula>(BT48&lt;$G$6)*(BT48&lt;&gt;0)</formula>
    </cfRule>
  </conditionalFormatting>
  <dataValidations count="3">
    <dataValidation type="whole" showInputMessage="1" showErrorMessage="1" errorTitle="Data" error="Digite apenas o dia entre 1 e 31" sqref="E10:CE10" xr:uid="{00000000-0002-0000-0200-000000000000}">
      <formula1>1</formula1>
      <formula2>31</formula2>
    </dataValidation>
    <dataValidation type="list" showErrorMessage="1" promptTitle="Turno" prompt="Escolha" sqref="C11:CE11" xr:uid="{00000000-0002-0000-0200-000001000000}">
      <formula1>Turnos</formula1>
    </dataValidation>
    <dataValidation type="whole" showErrorMessage="1" errorTitle="Data" error="Digite apenas o dia entre 1 e 31" sqref="C10:D10" xr:uid="{00000000-0002-0000-02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orientation="landscape" r:id="rId1"/>
  <headerFooter alignWithMargins="0">
    <oddFooter>&amp;R&amp;A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indexed="47"/>
    <pageSetUpPr fitToPage="1"/>
  </sheetPr>
  <dimension ref="B1:DA75"/>
  <sheetViews>
    <sheetView showZeros="0" tabSelected="1" topLeftCell="A8" zoomScaleNormal="100" workbookViewId="0">
      <selection activeCell="C10" sqref="C10"/>
    </sheetView>
  </sheetViews>
  <sheetFormatPr defaultColWidth="10.28515625" defaultRowHeight="12.75"/>
  <cols>
    <col min="1" max="1" width="1.5703125" style="9" customWidth="1"/>
    <col min="2" max="2" width="16.140625" style="9" customWidth="1"/>
    <col min="3" max="83" width="6.7109375" style="9" customWidth="1"/>
    <col min="84" max="84" width="3.140625" style="9" customWidth="1"/>
    <col min="85" max="105" width="6.7109375" style="9" customWidth="1"/>
    <col min="106" max="16384" width="10.28515625" style="9"/>
  </cols>
  <sheetData>
    <row r="1" spans="2:100" ht="21.75" thickBot="1">
      <c r="B1" s="95" t="s">
        <v>46</v>
      </c>
      <c r="C1" s="96"/>
      <c r="D1" s="96"/>
      <c r="E1" s="96"/>
      <c r="F1" s="97"/>
      <c r="G1" s="97"/>
      <c r="H1" s="93"/>
      <c r="I1" s="98" t="s">
        <v>33</v>
      </c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9"/>
      <c r="CV1" s="10"/>
    </row>
    <row r="2" spans="2:100" s="11" customFormat="1" ht="19.5" customHeight="1">
      <c r="B2" s="99" t="s">
        <v>47</v>
      </c>
      <c r="C2" s="100"/>
      <c r="D2" s="101"/>
      <c r="E2" s="101"/>
      <c r="F2" s="102"/>
      <c r="G2" s="102"/>
      <c r="H2" s="94"/>
      <c r="I2" s="149" t="s">
        <v>0</v>
      </c>
      <c r="J2" s="150"/>
      <c r="K2" s="153" t="s">
        <v>34</v>
      </c>
      <c r="L2" s="154"/>
      <c r="M2" s="157" t="s">
        <v>35</v>
      </c>
      <c r="N2" s="158"/>
      <c r="O2" s="158"/>
      <c r="P2" s="158"/>
      <c r="Q2" s="159"/>
      <c r="R2" s="163" t="s">
        <v>1</v>
      </c>
      <c r="S2" s="164"/>
      <c r="T2" s="165"/>
      <c r="U2" s="12" t="s">
        <v>37</v>
      </c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3"/>
      <c r="BU2" s="13"/>
      <c r="BV2" s="13"/>
      <c r="BW2" s="13"/>
      <c r="BX2" s="14"/>
      <c r="BY2" s="14"/>
      <c r="BZ2" s="14"/>
      <c r="CA2" s="14"/>
      <c r="CB2" s="14"/>
      <c r="CC2" s="15"/>
      <c r="CD2" s="15"/>
      <c r="CE2" s="16"/>
    </row>
    <row r="3" spans="2:100" ht="16.899999999999999" customHeight="1" thickBot="1">
      <c r="B3" s="74"/>
      <c r="I3" s="151"/>
      <c r="J3" s="152"/>
      <c r="K3" s="155"/>
      <c r="L3" s="156"/>
      <c r="M3" s="160"/>
      <c r="N3" s="161"/>
      <c r="O3" s="161"/>
      <c r="P3" s="161"/>
      <c r="Q3" s="162"/>
      <c r="R3" s="166" t="s">
        <v>2</v>
      </c>
      <c r="S3" s="167"/>
      <c r="T3" s="168"/>
      <c r="U3" s="17" t="s">
        <v>39</v>
      </c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8"/>
      <c r="BU3" s="18"/>
      <c r="BV3" s="18"/>
      <c r="BW3" s="18"/>
      <c r="BX3" s="18"/>
      <c r="BY3" s="18"/>
      <c r="BZ3" s="18"/>
      <c r="CA3" s="18"/>
      <c r="CB3" s="18"/>
      <c r="CC3" s="19"/>
      <c r="CD3" s="19"/>
      <c r="CE3" s="20"/>
    </row>
    <row r="4" spans="2:100" s="26" customFormat="1" ht="16.899999999999999" customHeight="1" thickTop="1">
      <c r="B4" s="75" t="s">
        <v>3</v>
      </c>
      <c r="C4" s="21"/>
      <c r="D4" s="22" t="s">
        <v>4</v>
      </c>
      <c r="E4" s="23">
        <v>42.2</v>
      </c>
      <c r="F4" s="24" t="s">
        <v>29</v>
      </c>
      <c r="G4" s="25">
        <v>42.15</v>
      </c>
      <c r="H4" s="103"/>
      <c r="I4" s="104"/>
      <c r="BX4" s="147" t="str">
        <f ca="1">"MÊS: "&amp;RIGHT(LEFT(CELL("filename"),SEARCH(".xl",CELL("Filename"))-1),2)</f>
        <v>MÊS: 03</v>
      </c>
      <c r="BY4" s="143"/>
      <c r="BZ4" s="143"/>
      <c r="CA4" s="143"/>
      <c r="CB4" s="143" t="str">
        <f ca="1">'SJCPIL-R 16-408-02'!CB4:CE5</f>
        <v>ANO: 2022</v>
      </c>
      <c r="CC4" s="143"/>
      <c r="CD4" s="143"/>
      <c r="CE4" s="144"/>
    </row>
    <row r="5" spans="2:100" s="26" customFormat="1" ht="16.899999999999999" customHeight="1" thickBot="1">
      <c r="B5" s="76" t="s">
        <v>42</v>
      </c>
      <c r="C5" s="90" t="s">
        <v>5</v>
      </c>
      <c r="D5" s="27" t="s">
        <v>31</v>
      </c>
      <c r="E5" s="28">
        <v>42.05</v>
      </c>
      <c r="F5" s="29" t="s">
        <v>31</v>
      </c>
      <c r="G5" s="30">
        <v>42.05</v>
      </c>
      <c r="H5" s="103"/>
      <c r="I5" s="26" t="s">
        <v>38</v>
      </c>
      <c r="R5" s="26" t="s">
        <v>6</v>
      </c>
      <c r="BX5" s="148"/>
      <c r="BY5" s="145"/>
      <c r="BZ5" s="145"/>
      <c r="CA5" s="145"/>
      <c r="CB5" s="145"/>
      <c r="CC5" s="145"/>
      <c r="CD5" s="145"/>
      <c r="CE5" s="146"/>
    </row>
    <row r="6" spans="2:100" s="26" customFormat="1" ht="16.899999999999999" customHeight="1">
      <c r="B6" s="77" t="s">
        <v>7</v>
      </c>
      <c r="C6" s="31"/>
      <c r="D6" s="27" t="s">
        <v>8</v>
      </c>
      <c r="E6" s="28">
        <v>41.9</v>
      </c>
      <c r="F6" s="29" t="s">
        <v>30</v>
      </c>
      <c r="G6" s="30">
        <v>41.95</v>
      </c>
      <c r="H6" s="103"/>
      <c r="I6" s="26" t="s">
        <v>36</v>
      </c>
      <c r="R6" s="26" t="s">
        <v>9</v>
      </c>
      <c r="CA6" s="73"/>
      <c r="CB6" s="73"/>
      <c r="CE6" s="78"/>
    </row>
    <row r="7" spans="2:100" s="26" customFormat="1" ht="16.899999999999999" customHeight="1" thickBot="1">
      <c r="B7" s="79"/>
      <c r="C7" s="80" t="s">
        <v>10</v>
      </c>
      <c r="D7" s="81" t="s">
        <v>4</v>
      </c>
      <c r="E7" s="82">
        <v>0.3</v>
      </c>
      <c r="F7" s="83" t="s">
        <v>29</v>
      </c>
      <c r="G7" s="84">
        <v>0.2</v>
      </c>
      <c r="H7" s="105"/>
      <c r="I7" s="85" t="s">
        <v>11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6"/>
      <c r="CB7" s="86"/>
      <c r="CC7" s="85"/>
      <c r="CD7" s="85"/>
      <c r="CE7" s="87"/>
    </row>
    <row r="8" spans="2:100" s="26" customFormat="1" ht="4.5" customHeight="1" thickBot="1"/>
    <row r="9" spans="2:100" s="33" customFormat="1">
      <c r="B9" s="32" t="s">
        <v>12</v>
      </c>
      <c r="C9" s="61">
        <v>1</v>
      </c>
      <c r="D9" s="61">
        <v>2</v>
      </c>
      <c r="E9" s="61">
        <v>3</v>
      </c>
      <c r="F9" s="61">
        <v>4</v>
      </c>
      <c r="G9" s="61">
        <v>5</v>
      </c>
      <c r="H9" s="61">
        <v>6</v>
      </c>
      <c r="I9" s="61">
        <v>7</v>
      </c>
      <c r="J9" s="61">
        <v>8</v>
      </c>
      <c r="K9" s="61">
        <v>9</v>
      </c>
      <c r="L9" s="61">
        <v>10</v>
      </c>
      <c r="M9" s="61">
        <v>11</v>
      </c>
      <c r="N9" s="61">
        <v>12</v>
      </c>
      <c r="O9" s="61">
        <v>13</v>
      </c>
      <c r="P9" s="61">
        <v>14</v>
      </c>
      <c r="Q9" s="61">
        <v>15</v>
      </c>
      <c r="R9" s="61">
        <v>16</v>
      </c>
      <c r="S9" s="61">
        <v>17</v>
      </c>
      <c r="T9" s="61">
        <v>18</v>
      </c>
      <c r="U9" s="61">
        <v>19</v>
      </c>
      <c r="V9" s="61">
        <v>20</v>
      </c>
      <c r="W9" s="61">
        <v>21</v>
      </c>
      <c r="X9" s="61">
        <v>22</v>
      </c>
      <c r="Y9" s="61">
        <v>23</v>
      </c>
      <c r="Z9" s="61">
        <v>24</v>
      </c>
      <c r="AA9" s="61">
        <v>25</v>
      </c>
      <c r="AB9" s="61">
        <v>26</v>
      </c>
      <c r="AC9" s="61">
        <v>27</v>
      </c>
      <c r="AD9" s="61">
        <v>28</v>
      </c>
      <c r="AE9" s="61">
        <v>29</v>
      </c>
      <c r="AF9" s="61">
        <v>30</v>
      </c>
      <c r="AG9" s="61">
        <v>31</v>
      </c>
      <c r="AH9" s="61">
        <v>32</v>
      </c>
      <c r="AI9" s="61">
        <v>33</v>
      </c>
      <c r="AJ9" s="61">
        <v>34</v>
      </c>
      <c r="AK9" s="61">
        <v>35</v>
      </c>
      <c r="AL9" s="61">
        <v>36</v>
      </c>
      <c r="AM9" s="61">
        <v>37</v>
      </c>
      <c r="AN9" s="61">
        <v>38</v>
      </c>
      <c r="AO9" s="61">
        <v>39</v>
      </c>
      <c r="AP9" s="61">
        <v>40</v>
      </c>
      <c r="AQ9" s="61">
        <v>41</v>
      </c>
      <c r="AR9" s="61">
        <v>42</v>
      </c>
      <c r="AS9" s="61">
        <v>43</v>
      </c>
      <c r="AT9" s="61">
        <v>44</v>
      </c>
      <c r="AU9" s="61">
        <v>45</v>
      </c>
      <c r="AV9" s="61">
        <v>46</v>
      </c>
      <c r="AW9" s="61">
        <v>47</v>
      </c>
      <c r="AX9" s="61">
        <v>48</v>
      </c>
      <c r="AY9" s="61">
        <v>49</v>
      </c>
      <c r="AZ9" s="61">
        <v>50</v>
      </c>
      <c r="BA9" s="61">
        <v>51</v>
      </c>
      <c r="BB9" s="61">
        <v>52</v>
      </c>
      <c r="BC9" s="61">
        <v>53</v>
      </c>
      <c r="BD9" s="61">
        <v>54</v>
      </c>
      <c r="BE9" s="61">
        <v>55</v>
      </c>
      <c r="BF9" s="61">
        <v>56</v>
      </c>
      <c r="BG9" s="61">
        <v>57</v>
      </c>
      <c r="BH9" s="61">
        <v>58</v>
      </c>
      <c r="BI9" s="61">
        <v>59</v>
      </c>
      <c r="BJ9" s="61">
        <v>60</v>
      </c>
      <c r="BK9" s="61">
        <v>61</v>
      </c>
      <c r="BL9" s="61">
        <v>62</v>
      </c>
      <c r="BM9" s="61">
        <v>63</v>
      </c>
      <c r="BN9" s="61">
        <v>64</v>
      </c>
      <c r="BO9" s="61">
        <v>65</v>
      </c>
      <c r="BP9" s="61">
        <v>66</v>
      </c>
      <c r="BQ9" s="61">
        <v>67</v>
      </c>
      <c r="BR9" s="61">
        <v>68</v>
      </c>
      <c r="BS9" s="61">
        <v>69</v>
      </c>
      <c r="BT9" s="61">
        <v>70</v>
      </c>
      <c r="BU9" s="61">
        <v>71</v>
      </c>
      <c r="BV9" s="61">
        <v>72</v>
      </c>
      <c r="BW9" s="61">
        <v>73</v>
      </c>
      <c r="BX9" s="61">
        <v>74</v>
      </c>
      <c r="BY9" s="61">
        <v>75</v>
      </c>
      <c r="BZ9" s="61">
        <v>76</v>
      </c>
      <c r="CA9" s="61">
        <v>77</v>
      </c>
      <c r="CB9" s="61">
        <v>78</v>
      </c>
      <c r="CC9" s="61">
        <v>79</v>
      </c>
      <c r="CD9" s="61">
        <v>80</v>
      </c>
      <c r="CE9" s="61">
        <v>81</v>
      </c>
    </row>
    <row r="10" spans="2:100" s="33" customFormat="1" ht="14.1" customHeight="1">
      <c r="B10" s="34" t="s">
        <v>13</v>
      </c>
      <c r="C10" s="10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113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119"/>
      <c r="BZ10" s="119"/>
      <c r="CA10" s="7"/>
      <c r="CB10" s="7"/>
      <c r="CC10" s="7"/>
      <c r="CD10" s="7"/>
      <c r="CE10" s="8"/>
    </row>
    <row r="11" spans="2:100" s="33" customFormat="1" ht="14.1" customHeight="1">
      <c r="B11" s="35" t="s">
        <v>32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8"/>
    </row>
    <row r="12" spans="2:100" s="33" customFormat="1" ht="12" customHeight="1">
      <c r="B12" s="36"/>
      <c r="CE12" s="37"/>
    </row>
    <row r="13" spans="2:100" s="33" customFormat="1" ht="12" customHeight="1">
      <c r="B13" s="133"/>
      <c r="CE13" s="37"/>
    </row>
    <row r="14" spans="2:100" s="33" customFormat="1" ht="12" customHeight="1">
      <c r="B14" s="133"/>
      <c r="CE14" s="37"/>
    </row>
    <row r="15" spans="2:100" s="33" customFormat="1" ht="12" customHeight="1">
      <c r="B15" s="134"/>
      <c r="CE15" s="37"/>
    </row>
    <row r="16" spans="2:100" s="33" customFormat="1" ht="12" customHeight="1">
      <c r="B16" s="134"/>
      <c r="CE16" s="37"/>
    </row>
    <row r="17" spans="2:83" s="33" customFormat="1" ht="12" customHeight="1">
      <c r="B17" s="134"/>
      <c r="CE17" s="37"/>
    </row>
    <row r="18" spans="2:83" s="33" customFormat="1" ht="12" customHeight="1">
      <c r="B18" s="134"/>
      <c r="CE18" s="37"/>
    </row>
    <row r="19" spans="2:83" s="33" customFormat="1" ht="12" customHeight="1">
      <c r="B19" s="134"/>
      <c r="CE19" s="37"/>
    </row>
    <row r="20" spans="2:83" s="33" customFormat="1" ht="12" customHeight="1">
      <c r="B20" s="134"/>
      <c r="CE20" s="37"/>
    </row>
    <row r="21" spans="2:83" s="33" customFormat="1" ht="12" customHeight="1">
      <c r="B21" s="134"/>
      <c r="CE21" s="37"/>
    </row>
    <row r="22" spans="2:83" s="33" customFormat="1" ht="12" customHeight="1">
      <c r="B22" s="134"/>
      <c r="CE22" s="37"/>
    </row>
    <row r="23" spans="2:83" s="33" customFormat="1" ht="12" customHeight="1">
      <c r="B23" s="133"/>
      <c r="CE23" s="37"/>
    </row>
    <row r="24" spans="2:83" s="33" customFormat="1" ht="12" customHeight="1">
      <c r="B24" s="133"/>
      <c r="CE24" s="37"/>
    </row>
    <row r="25" spans="2:83" s="33" customFormat="1" ht="12" customHeight="1">
      <c r="B25" s="134"/>
      <c r="CE25" s="37"/>
    </row>
    <row r="26" spans="2:83" s="33" customFormat="1" ht="12" customHeight="1">
      <c r="B26" s="134"/>
      <c r="CE26" s="37"/>
    </row>
    <row r="27" spans="2:83" s="33" customFormat="1" ht="12" customHeight="1">
      <c r="B27" s="134"/>
      <c r="CE27" s="37"/>
    </row>
    <row r="28" spans="2:83" s="33" customFormat="1" ht="12" customHeight="1">
      <c r="B28" s="134"/>
      <c r="CE28" s="37"/>
    </row>
    <row r="29" spans="2:83" s="33" customFormat="1" ht="12" customHeight="1">
      <c r="B29" s="134"/>
      <c r="CE29" s="37"/>
    </row>
    <row r="30" spans="2:83" s="33" customFormat="1" ht="12" customHeight="1">
      <c r="B30" s="134"/>
      <c r="CE30" s="37"/>
    </row>
    <row r="31" spans="2:83" s="33" customFormat="1" ht="12" customHeight="1">
      <c r="B31" s="134"/>
      <c r="CE31" s="37"/>
    </row>
    <row r="32" spans="2:83" s="33" customFormat="1" ht="12" customHeight="1">
      <c r="B32" s="134"/>
      <c r="CE32" s="37"/>
    </row>
    <row r="33" spans="2:83" s="33" customFormat="1" ht="12" customHeight="1">
      <c r="B33" s="133"/>
      <c r="CE33" s="37"/>
    </row>
    <row r="34" spans="2:83" s="33" customFormat="1" ht="12" customHeight="1">
      <c r="B34" s="133"/>
      <c r="CE34" s="37"/>
    </row>
    <row r="35" spans="2:83" s="33" customFormat="1" ht="12" customHeight="1" thickBot="1">
      <c r="B35" s="38"/>
      <c r="CE35" s="37"/>
    </row>
    <row r="36" spans="2:83" s="33" customFormat="1" ht="12" customHeight="1">
      <c r="B36" s="135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40"/>
    </row>
    <row r="37" spans="2:83" s="33" customFormat="1" ht="12" customHeight="1">
      <c r="B37" s="133"/>
      <c r="CE37" s="37"/>
    </row>
    <row r="38" spans="2:83" s="33" customFormat="1" ht="12" customHeight="1">
      <c r="B38" s="91"/>
      <c r="CE38" s="37"/>
    </row>
    <row r="39" spans="2:83" s="33" customFormat="1" ht="12" customHeight="1">
      <c r="B39" s="91"/>
      <c r="CE39" s="37"/>
    </row>
    <row r="40" spans="2:83" s="33" customFormat="1" ht="12" customHeight="1">
      <c r="B40" s="91"/>
      <c r="CE40" s="37"/>
    </row>
    <row r="41" spans="2:83" s="33" customFormat="1" ht="12" customHeight="1">
      <c r="B41" s="133"/>
      <c r="CE41" s="37"/>
    </row>
    <row r="42" spans="2:83" s="33" customFormat="1" ht="12" customHeight="1">
      <c r="B42" s="133"/>
      <c r="CE42" s="37"/>
    </row>
    <row r="43" spans="2:83" s="33" customFormat="1" ht="12" customHeight="1">
      <c r="B43" s="91"/>
      <c r="CE43" s="37"/>
    </row>
    <row r="44" spans="2:83" s="33" customFormat="1" ht="12" customHeight="1">
      <c r="B44" s="91"/>
      <c r="CE44" s="37"/>
    </row>
    <row r="45" spans="2:83" s="33" customFormat="1" ht="12" customHeight="1">
      <c r="B45" s="91"/>
      <c r="CE45" s="37"/>
    </row>
    <row r="46" spans="2:83" s="33" customFormat="1" ht="12" customHeight="1" thickBot="1">
      <c r="B46" s="41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3"/>
    </row>
    <row r="47" spans="2:83" s="33" customFormat="1" ht="6" customHeight="1">
      <c r="B47" s="44"/>
      <c r="CE47" s="37"/>
    </row>
    <row r="48" spans="2:83" s="45" customFormat="1" ht="15" customHeight="1">
      <c r="B48" s="57">
        <v>1</v>
      </c>
      <c r="C48" s="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3"/>
    </row>
    <row r="49" spans="2:105" s="45" customFormat="1" ht="15" customHeight="1">
      <c r="B49" s="58">
        <v>2</v>
      </c>
      <c r="C49" s="4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6"/>
    </row>
    <row r="50" spans="2:105" s="45" customFormat="1" ht="15" customHeight="1">
      <c r="B50" s="58">
        <v>3</v>
      </c>
      <c r="C50" s="4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6"/>
    </row>
    <row r="51" spans="2:105" s="45" customFormat="1" ht="15" customHeight="1">
      <c r="B51" s="58">
        <v>4</v>
      </c>
      <c r="C51" s="4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6"/>
    </row>
    <row r="52" spans="2:105" s="45" customFormat="1" ht="15" customHeight="1">
      <c r="B52" s="59">
        <v>5</v>
      </c>
      <c r="C52" s="4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6"/>
    </row>
    <row r="53" spans="2:105" s="45" customFormat="1" ht="15" customHeight="1">
      <c r="B53" s="59" t="s">
        <v>14</v>
      </c>
      <c r="C53" s="92" t="str">
        <f t="shared" ref="C53:CE53" si="0">IF(ISERR(AVERAGE(C48:C52))," ",AVERAGE(C48:C52))</f>
        <v xml:space="preserve"> </v>
      </c>
      <c r="D53" s="46" t="str">
        <f t="shared" si="0"/>
        <v xml:space="preserve"> </v>
      </c>
      <c r="E53" s="46" t="str">
        <f t="shared" si="0"/>
        <v xml:space="preserve"> </v>
      </c>
      <c r="F53" s="46" t="str">
        <f t="shared" si="0"/>
        <v xml:space="preserve"> </v>
      </c>
      <c r="G53" s="46" t="str">
        <f t="shared" si="0"/>
        <v xml:space="preserve"> </v>
      </c>
      <c r="H53" s="46" t="str">
        <f t="shared" si="0"/>
        <v xml:space="preserve"> </v>
      </c>
      <c r="I53" s="46" t="str">
        <f t="shared" si="0"/>
        <v xml:space="preserve"> </v>
      </c>
      <c r="J53" s="46" t="str">
        <f t="shared" si="0"/>
        <v xml:space="preserve"> </v>
      </c>
      <c r="K53" s="46" t="str">
        <f t="shared" si="0"/>
        <v xml:space="preserve"> </v>
      </c>
      <c r="L53" s="46" t="str">
        <f t="shared" si="0"/>
        <v xml:space="preserve"> </v>
      </c>
      <c r="M53" s="46" t="str">
        <f t="shared" si="0"/>
        <v xml:space="preserve"> </v>
      </c>
      <c r="N53" s="46" t="str">
        <f t="shared" ref="N53" si="1">IF(ISERR(AVERAGE(N48:N52))," ",AVERAGE(N48:N52))</f>
        <v xml:space="preserve"> </v>
      </c>
      <c r="O53" s="46" t="str">
        <f t="shared" si="0"/>
        <v xml:space="preserve"> </v>
      </c>
      <c r="P53" s="46" t="str">
        <f t="shared" si="0"/>
        <v xml:space="preserve"> </v>
      </c>
      <c r="Q53" s="46" t="str">
        <f t="shared" ref="Q53:AC53" si="2">IF(ISERR(AVERAGE(Q48:Q52))," ",AVERAGE(Q48:Q52))</f>
        <v xml:space="preserve"> </v>
      </c>
      <c r="R53" s="46" t="str">
        <f t="shared" si="2"/>
        <v xml:space="preserve"> </v>
      </c>
      <c r="S53" s="46" t="str">
        <f t="shared" si="2"/>
        <v xml:space="preserve"> </v>
      </c>
      <c r="T53" s="46" t="str">
        <f t="shared" si="2"/>
        <v xml:space="preserve"> </v>
      </c>
      <c r="U53" s="46" t="str">
        <f t="shared" si="2"/>
        <v xml:space="preserve"> </v>
      </c>
      <c r="V53" s="46" t="str">
        <f t="shared" si="2"/>
        <v xml:space="preserve"> </v>
      </c>
      <c r="W53" s="46" t="str">
        <f t="shared" si="2"/>
        <v xml:space="preserve"> </v>
      </c>
      <c r="X53" s="46" t="str">
        <f t="shared" si="2"/>
        <v xml:space="preserve"> </v>
      </c>
      <c r="Y53" s="46" t="str">
        <f t="shared" si="2"/>
        <v xml:space="preserve"> </v>
      </c>
      <c r="Z53" s="46" t="str">
        <f t="shared" si="2"/>
        <v xml:space="preserve"> </v>
      </c>
      <c r="AA53" s="46" t="str">
        <f t="shared" si="2"/>
        <v xml:space="preserve"> </v>
      </c>
      <c r="AB53" s="46" t="str">
        <f t="shared" si="2"/>
        <v xml:space="preserve"> </v>
      </c>
      <c r="AC53" s="46" t="str">
        <f t="shared" si="2"/>
        <v xml:space="preserve"> </v>
      </c>
      <c r="AD53" s="46" t="str">
        <f t="shared" ref="AD53:AT53" si="3">IF(ISERR(AVERAGE(AD48:AD52))," ",AVERAGE(AD48:AD52))</f>
        <v xml:space="preserve"> </v>
      </c>
      <c r="AE53" s="46" t="str">
        <f t="shared" si="3"/>
        <v xml:space="preserve"> </v>
      </c>
      <c r="AF53" s="46" t="str">
        <f t="shared" si="3"/>
        <v xml:space="preserve"> </v>
      </c>
      <c r="AG53" s="46" t="str">
        <f t="shared" si="3"/>
        <v xml:space="preserve"> </v>
      </c>
      <c r="AH53" s="46" t="str">
        <f t="shared" si="3"/>
        <v xml:space="preserve"> </v>
      </c>
      <c r="AI53" s="46" t="str">
        <f t="shared" si="3"/>
        <v xml:space="preserve"> </v>
      </c>
      <c r="AJ53" s="46" t="str">
        <f t="shared" si="3"/>
        <v xml:space="preserve"> </v>
      </c>
      <c r="AK53" s="46" t="str">
        <f t="shared" si="3"/>
        <v xml:space="preserve"> </v>
      </c>
      <c r="AL53" s="46" t="str">
        <f t="shared" si="3"/>
        <v xml:space="preserve"> </v>
      </c>
      <c r="AM53" s="46" t="str">
        <f t="shared" si="3"/>
        <v xml:space="preserve"> </v>
      </c>
      <c r="AN53" s="46" t="str">
        <f t="shared" si="3"/>
        <v xml:space="preserve"> </v>
      </c>
      <c r="AO53" s="46" t="str">
        <f t="shared" si="3"/>
        <v xml:space="preserve"> </v>
      </c>
      <c r="AP53" s="46" t="str">
        <f t="shared" si="3"/>
        <v xml:space="preserve"> </v>
      </c>
      <c r="AQ53" s="46" t="str">
        <f t="shared" si="3"/>
        <v xml:space="preserve"> </v>
      </c>
      <c r="AR53" s="46" t="str">
        <f t="shared" si="3"/>
        <v xml:space="preserve"> </v>
      </c>
      <c r="AS53" s="46" t="str">
        <f t="shared" si="3"/>
        <v xml:space="preserve"> </v>
      </c>
      <c r="AT53" s="46" t="str">
        <f t="shared" si="3"/>
        <v xml:space="preserve"> </v>
      </c>
      <c r="AU53" s="46" t="str">
        <f t="shared" ref="AU53" si="4">IF(ISERR(AVERAGE(AU48:AU52))," ",AVERAGE(AU48:AU52))</f>
        <v xml:space="preserve"> </v>
      </c>
      <c r="AV53" s="46" t="str">
        <f t="shared" ref="AV53:BX53" si="5">IF(ISERR(AVERAGE(AV48:AV52))," ",AVERAGE(AV48:AV52))</f>
        <v xml:space="preserve"> </v>
      </c>
      <c r="AW53" s="46" t="str">
        <f t="shared" si="5"/>
        <v xml:space="preserve"> </v>
      </c>
      <c r="AX53" s="46" t="str">
        <f t="shared" si="5"/>
        <v xml:space="preserve"> </v>
      </c>
      <c r="AY53" s="46" t="str">
        <f t="shared" si="5"/>
        <v xml:space="preserve"> </v>
      </c>
      <c r="AZ53" s="46" t="str">
        <f t="shared" si="5"/>
        <v xml:space="preserve"> </v>
      </c>
      <c r="BA53" s="46" t="str">
        <f t="shared" si="5"/>
        <v xml:space="preserve"> </v>
      </c>
      <c r="BB53" s="46" t="str">
        <f t="shared" si="5"/>
        <v xml:space="preserve"> </v>
      </c>
      <c r="BC53" s="46" t="str">
        <f t="shared" si="5"/>
        <v xml:space="preserve"> </v>
      </c>
      <c r="BD53" s="46" t="str">
        <f t="shared" si="5"/>
        <v xml:space="preserve"> </v>
      </c>
      <c r="BE53" s="46" t="str">
        <f t="shared" si="5"/>
        <v xml:space="preserve"> </v>
      </c>
      <c r="BF53" s="46" t="str">
        <f t="shared" si="5"/>
        <v xml:space="preserve"> </v>
      </c>
      <c r="BG53" s="46" t="str">
        <f t="shared" si="5"/>
        <v xml:space="preserve"> </v>
      </c>
      <c r="BH53" s="46" t="str">
        <f t="shared" si="5"/>
        <v xml:space="preserve"> </v>
      </c>
      <c r="BI53" s="46" t="str">
        <f t="shared" si="5"/>
        <v xml:space="preserve"> </v>
      </c>
      <c r="BJ53" s="46" t="str">
        <f t="shared" si="5"/>
        <v xml:space="preserve"> </v>
      </c>
      <c r="BK53" s="46" t="str">
        <f t="shared" si="5"/>
        <v xml:space="preserve"> </v>
      </c>
      <c r="BL53" s="46" t="str">
        <f t="shared" si="5"/>
        <v xml:space="preserve"> </v>
      </c>
      <c r="BM53" s="46" t="str">
        <f t="shared" ref="BM53:BT53" si="6">IF(ISERR(AVERAGE(BM48:BM52))," ",AVERAGE(BM48:BM52))</f>
        <v xml:space="preserve"> </v>
      </c>
      <c r="BN53" s="46" t="str">
        <f t="shared" si="6"/>
        <v xml:space="preserve"> </v>
      </c>
      <c r="BO53" s="46" t="str">
        <f t="shared" si="6"/>
        <v xml:space="preserve"> </v>
      </c>
      <c r="BP53" s="46" t="str">
        <f t="shared" si="6"/>
        <v xml:space="preserve"> </v>
      </c>
      <c r="BQ53" s="46" t="str">
        <f t="shared" si="6"/>
        <v xml:space="preserve"> </v>
      </c>
      <c r="BR53" s="46" t="str">
        <f t="shared" si="6"/>
        <v xml:space="preserve"> </v>
      </c>
      <c r="BS53" s="46" t="str">
        <f t="shared" si="6"/>
        <v xml:space="preserve"> </v>
      </c>
      <c r="BT53" s="46" t="str">
        <f t="shared" si="6"/>
        <v xml:space="preserve"> </v>
      </c>
      <c r="BU53" s="46" t="str">
        <f t="shared" ref="BU53:BW53" si="7">IF(ISERR(AVERAGE(BU48:BU52))," ",AVERAGE(BU48:BU52))</f>
        <v xml:space="preserve"> </v>
      </c>
      <c r="BV53" s="46" t="str">
        <f t="shared" si="7"/>
        <v xml:space="preserve"> </v>
      </c>
      <c r="BW53" s="46" t="str">
        <f t="shared" si="7"/>
        <v xml:space="preserve"> </v>
      </c>
      <c r="BX53" s="46" t="str">
        <f t="shared" si="5"/>
        <v xml:space="preserve"> </v>
      </c>
      <c r="BY53" s="46" t="str">
        <f t="shared" si="0"/>
        <v xml:space="preserve"> </v>
      </c>
      <c r="BZ53" s="46" t="str">
        <f t="shared" si="0"/>
        <v xml:space="preserve"> </v>
      </c>
      <c r="CA53" s="46" t="str">
        <f t="shared" si="0"/>
        <v xml:space="preserve"> </v>
      </c>
      <c r="CB53" s="46" t="str">
        <f t="shared" si="0"/>
        <v xml:space="preserve"> </v>
      </c>
      <c r="CC53" s="46" t="str">
        <f t="shared" si="0"/>
        <v xml:space="preserve"> </v>
      </c>
      <c r="CD53" s="46" t="str">
        <f t="shared" si="0"/>
        <v xml:space="preserve"> </v>
      </c>
      <c r="CE53" s="47" t="str">
        <f t="shared" si="0"/>
        <v xml:space="preserve"> </v>
      </c>
    </row>
    <row r="54" spans="2:105" s="45" customFormat="1" ht="15" customHeight="1">
      <c r="B54" s="59" t="s">
        <v>10</v>
      </c>
      <c r="C54" s="107">
        <f t="shared" ref="C54:CE54" si="8">MAX(C48:C52)-MIN(C48:C52)</f>
        <v>0</v>
      </c>
      <c r="D54" s="60">
        <f t="shared" si="8"/>
        <v>0</v>
      </c>
      <c r="E54" s="60">
        <f t="shared" si="8"/>
        <v>0</v>
      </c>
      <c r="F54" s="60">
        <f t="shared" si="8"/>
        <v>0</v>
      </c>
      <c r="G54" s="60">
        <f t="shared" si="8"/>
        <v>0</v>
      </c>
      <c r="H54" s="60">
        <f t="shared" si="8"/>
        <v>0</v>
      </c>
      <c r="I54" s="60">
        <f t="shared" si="8"/>
        <v>0</v>
      </c>
      <c r="J54" s="60">
        <f t="shared" si="8"/>
        <v>0</v>
      </c>
      <c r="K54" s="60">
        <f t="shared" si="8"/>
        <v>0</v>
      </c>
      <c r="L54" s="60">
        <f t="shared" si="8"/>
        <v>0</v>
      </c>
      <c r="M54" s="60">
        <f t="shared" si="8"/>
        <v>0</v>
      </c>
      <c r="N54" s="60">
        <f t="shared" ref="N54" si="9">MAX(N48:N52)-MIN(N48:N52)</f>
        <v>0</v>
      </c>
      <c r="O54" s="60">
        <f t="shared" si="8"/>
        <v>0</v>
      </c>
      <c r="P54" s="60">
        <f t="shared" si="8"/>
        <v>0</v>
      </c>
      <c r="Q54" s="60">
        <f t="shared" ref="Q54:AC54" si="10">MAX(Q48:Q52)-MIN(Q48:Q52)</f>
        <v>0</v>
      </c>
      <c r="R54" s="60">
        <f t="shared" si="10"/>
        <v>0</v>
      </c>
      <c r="S54" s="60">
        <f t="shared" si="10"/>
        <v>0</v>
      </c>
      <c r="T54" s="60">
        <f t="shared" si="10"/>
        <v>0</v>
      </c>
      <c r="U54" s="60">
        <f t="shared" si="10"/>
        <v>0</v>
      </c>
      <c r="V54" s="60">
        <f t="shared" si="10"/>
        <v>0</v>
      </c>
      <c r="W54" s="60">
        <f t="shared" si="10"/>
        <v>0</v>
      </c>
      <c r="X54" s="60">
        <f t="shared" si="10"/>
        <v>0</v>
      </c>
      <c r="Y54" s="60">
        <f t="shared" si="10"/>
        <v>0</v>
      </c>
      <c r="Z54" s="60">
        <f t="shared" si="10"/>
        <v>0</v>
      </c>
      <c r="AA54" s="60">
        <f t="shared" si="10"/>
        <v>0</v>
      </c>
      <c r="AB54" s="60">
        <f t="shared" si="10"/>
        <v>0</v>
      </c>
      <c r="AC54" s="60">
        <f t="shared" si="10"/>
        <v>0</v>
      </c>
      <c r="AD54" s="48">
        <f t="shared" ref="AD54:AT54" si="11">MAX(AD48:AD52)-MIN(AD48:AD52)</f>
        <v>0</v>
      </c>
      <c r="AE54" s="48">
        <f t="shared" si="11"/>
        <v>0</v>
      </c>
      <c r="AF54" s="48">
        <f t="shared" si="11"/>
        <v>0</v>
      </c>
      <c r="AG54" s="48">
        <f t="shared" si="11"/>
        <v>0</v>
      </c>
      <c r="AH54" s="48">
        <f t="shared" si="11"/>
        <v>0</v>
      </c>
      <c r="AI54" s="48">
        <f t="shared" si="11"/>
        <v>0</v>
      </c>
      <c r="AJ54" s="48">
        <f t="shared" si="11"/>
        <v>0</v>
      </c>
      <c r="AK54" s="48">
        <f t="shared" si="11"/>
        <v>0</v>
      </c>
      <c r="AL54" s="48">
        <f t="shared" si="11"/>
        <v>0</v>
      </c>
      <c r="AM54" s="48">
        <f t="shared" si="11"/>
        <v>0</v>
      </c>
      <c r="AN54" s="48">
        <f t="shared" si="11"/>
        <v>0</v>
      </c>
      <c r="AO54" s="48">
        <f t="shared" si="11"/>
        <v>0</v>
      </c>
      <c r="AP54" s="48">
        <f t="shared" si="11"/>
        <v>0</v>
      </c>
      <c r="AQ54" s="48">
        <f t="shared" si="11"/>
        <v>0</v>
      </c>
      <c r="AR54" s="48">
        <f t="shared" si="11"/>
        <v>0</v>
      </c>
      <c r="AS54" s="48">
        <f t="shared" si="11"/>
        <v>0</v>
      </c>
      <c r="AT54" s="48">
        <f t="shared" si="11"/>
        <v>0</v>
      </c>
      <c r="AU54" s="48">
        <f t="shared" ref="AU54" si="12">MAX(AU48:AU52)-MIN(AU48:AU52)</f>
        <v>0</v>
      </c>
      <c r="AV54" s="48">
        <f t="shared" ref="AV54:BX54" si="13">MAX(AV48:AV52)-MIN(AV48:AV52)</f>
        <v>0</v>
      </c>
      <c r="AW54" s="48">
        <f t="shared" si="13"/>
        <v>0</v>
      </c>
      <c r="AX54" s="48">
        <f t="shared" si="13"/>
        <v>0</v>
      </c>
      <c r="AY54" s="48">
        <f t="shared" si="13"/>
        <v>0</v>
      </c>
      <c r="AZ54" s="48">
        <f t="shared" si="13"/>
        <v>0</v>
      </c>
      <c r="BA54" s="48">
        <f t="shared" si="13"/>
        <v>0</v>
      </c>
      <c r="BB54" s="48">
        <f t="shared" si="13"/>
        <v>0</v>
      </c>
      <c r="BC54" s="48">
        <f t="shared" si="13"/>
        <v>0</v>
      </c>
      <c r="BD54" s="48">
        <f t="shared" si="13"/>
        <v>0</v>
      </c>
      <c r="BE54" s="48">
        <f t="shared" si="13"/>
        <v>0</v>
      </c>
      <c r="BF54" s="48">
        <f t="shared" si="13"/>
        <v>0</v>
      </c>
      <c r="BG54" s="48">
        <f t="shared" si="13"/>
        <v>0</v>
      </c>
      <c r="BH54" s="48">
        <f t="shared" si="13"/>
        <v>0</v>
      </c>
      <c r="BI54" s="48">
        <f t="shared" si="13"/>
        <v>0</v>
      </c>
      <c r="BJ54" s="48">
        <f t="shared" si="13"/>
        <v>0</v>
      </c>
      <c r="BK54" s="48">
        <f t="shared" si="13"/>
        <v>0</v>
      </c>
      <c r="BL54" s="48">
        <f t="shared" si="13"/>
        <v>0</v>
      </c>
      <c r="BM54" s="48">
        <f t="shared" ref="BM54:BT54" si="14">MAX(BM48:BM52)-MIN(BM48:BM52)</f>
        <v>0</v>
      </c>
      <c r="BN54" s="48">
        <f t="shared" si="14"/>
        <v>0</v>
      </c>
      <c r="BO54" s="48">
        <f t="shared" si="14"/>
        <v>0</v>
      </c>
      <c r="BP54" s="48">
        <f t="shared" si="14"/>
        <v>0</v>
      </c>
      <c r="BQ54" s="48">
        <f t="shared" si="14"/>
        <v>0</v>
      </c>
      <c r="BR54" s="48">
        <f t="shared" si="14"/>
        <v>0</v>
      </c>
      <c r="BS54" s="48">
        <f t="shared" si="14"/>
        <v>0</v>
      </c>
      <c r="BT54" s="48">
        <f t="shared" si="14"/>
        <v>0</v>
      </c>
      <c r="BU54" s="48">
        <f t="shared" ref="BU54:BW54" si="15">MAX(BU48:BU52)-MIN(BU48:BU52)</f>
        <v>0</v>
      </c>
      <c r="BV54" s="48">
        <f t="shared" si="15"/>
        <v>0</v>
      </c>
      <c r="BW54" s="48">
        <f t="shared" si="15"/>
        <v>0</v>
      </c>
      <c r="BX54" s="48">
        <f t="shared" si="13"/>
        <v>0</v>
      </c>
      <c r="BY54" s="48">
        <f t="shared" si="8"/>
        <v>0</v>
      </c>
      <c r="BZ54" s="48">
        <f t="shared" si="8"/>
        <v>0</v>
      </c>
      <c r="CA54" s="48">
        <f t="shared" si="8"/>
        <v>0</v>
      </c>
      <c r="CB54" s="48">
        <f t="shared" si="8"/>
        <v>0</v>
      </c>
      <c r="CC54" s="48">
        <f t="shared" si="8"/>
        <v>0</v>
      </c>
      <c r="CD54" s="48">
        <f t="shared" si="8"/>
        <v>0</v>
      </c>
      <c r="CE54" s="49">
        <f t="shared" si="8"/>
        <v>0</v>
      </c>
    </row>
    <row r="55" spans="2:105" s="45" customFormat="1" ht="20.100000000000001" customHeight="1">
      <c r="B55" s="50" t="s">
        <v>15</v>
      </c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5"/>
    </row>
    <row r="56" spans="2:105" s="45" customFormat="1" ht="26.25" thickBot="1">
      <c r="B56" s="120" t="str">
        <f>'SJCPIL-R 16-408-02'!B56</f>
        <v>Visto do Lider / Sublíder</v>
      </c>
      <c r="C56" s="66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8"/>
    </row>
    <row r="57" spans="2:105" s="33" customFormat="1" ht="20.100000000000001" customHeight="1">
      <c r="B57" s="136" t="s">
        <v>16</v>
      </c>
      <c r="C57" s="137"/>
      <c r="D57" s="137"/>
      <c r="E57" s="138"/>
      <c r="F57" s="51" t="s">
        <v>17</v>
      </c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40"/>
    </row>
    <row r="58" spans="2:105" s="33" customFormat="1" ht="20.100000000000001" customHeight="1">
      <c r="B58" s="108"/>
      <c r="C58" s="26" t="s">
        <v>40</v>
      </c>
      <c r="D58" s="26"/>
      <c r="E58" s="37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69"/>
      <c r="CA58" s="69"/>
      <c r="CB58" s="69"/>
      <c r="CC58" s="69"/>
      <c r="CD58" s="69"/>
      <c r="CE58" s="70"/>
    </row>
    <row r="59" spans="2:105" s="33" customFormat="1" ht="20.100000000000001" customHeight="1">
      <c r="B59" s="139" t="s">
        <v>41</v>
      </c>
      <c r="C59" s="140"/>
      <c r="D59" s="140"/>
      <c r="E59" s="37"/>
      <c r="F59" s="69"/>
      <c r="G59" s="69"/>
      <c r="H59" s="69"/>
      <c r="I59" s="69"/>
      <c r="J59" s="69"/>
      <c r="K59" s="69"/>
      <c r="L59" s="69"/>
      <c r="M59" s="69"/>
      <c r="N59" s="69"/>
      <c r="O59" s="10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70"/>
    </row>
    <row r="60" spans="2:105" s="33" customFormat="1" ht="20.100000000000001" customHeight="1" thickBot="1">
      <c r="B60" s="110"/>
      <c r="C60" s="111" t="s">
        <v>14</v>
      </c>
      <c r="D60" s="42"/>
      <c r="E60" s="43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  <c r="BH60" s="71"/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2"/>
    </row>
    <row r="61" spans="2:105" s="33" customFormat="1" ht="7.5" customHeight="1"/>
    <row r="62" spans="2:105" s="33" customFormat="1" ht="15.75">
      <c r="B62" s="141" t="s">
        <v>27</v>
      </c>
      <c r="C62" s="124"/>
      <c r="D62" s="124"/>
      <c r="E62" s="124"/>
      <c r="F62" s="124"/>
      <c r="G62" s="122" t="s">
        <v>18</v>
      </c>
      <c r="H62" s="122"/>
      <c r="I62" s="122"/>
      <c r="J62" s="122"/>
      <c r="K62" s="131"/>
      <c r="L62" s="122" t="s">
        <v>26</v>
      </c>
      <c r="M62" s="122"/>
      <c r="N62" s="122"/>
      <c r="O62" s="122"/>
      <c r="P62" s="122"/>
      <c r="Q62" s="122"/>
      <c r="R62" s="122"/>
      <c r="S62" s="124" t="s">
        <v>28</v>
      </c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6" t="s">
        <v>51</v>
      </c>
      <c r="BV62" s="124"/>
      <c r="BW62" s="124"/>
      <c r="BX62" s="124"/>
      <c r="BY62" s="124"/>
      <c r="BZ62" s="124"/>
      <c r="CA62" s="124" t="s">
        <v>18</v>
      </c>
      <c r="CB62" s="124"/>
      <c r="CC62" s="124"/>
      <c r="CD62" s="124"/>
      <c r="CE62" s="128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/>
      <c r="CZ62" s="52"/>
      <c r="DA62" s="52"/>
    </row>
    <row r="63" spans="2:105" s="33" customFormat="1" ht="15.75">
      <c r="B63" s="142"/>
      <c r="C63" s="125"/>
      <c r="D63" s="125"/>
      <c r="E63" s="125"/>
      <c r="F63" s="125"/>
      <c r="G63" s="123"/>
      <c r="H63" s="123"/>
      <c r="I63" s="123"/>
      <c r="J63" s="123"/>
      <c r="K63" s="132"/>
      <c r="L63" s="123"/>
      <c r="M63" s="123"/>
      <c r="N63" s="123"/>
      <c r="O63" s="123"/>
      <c r="P63" s="123"/>
      <c r="Q63" s="123"/>
      <c r="R63" s="123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7"/>
      <c r="BV63" s="125"/>
      <c r="BW63" s="125"/>
      <c r="BX63" s="125"/>
      <c r="BY63" s="125"/>
      <c r="BZ63" s="125"/>
      <c r="CA63" s="125"/>
      <c r="CB63" s="125"/>
      <c r="CC63" s="125"/>
      <c r="CD63" s="125"/>
      <c r="CE63" s="129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</row>
    <row r="64" spans="2:105" ht="14.25"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3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</row>
    <row r="65" spans="2:5">
      <c r="B65" s="9" t="s">
        <v>21</v>
      </c>
    </row>
    <row r="66" spans="2:5">
      <c r="B66" s="9" t="s">
        <v>19</v>
      </c>
      <c r="C66" s="55" t="e">
        <f>AVERAGE(C53:CE53)+0.577*C69</f>
        <v>#DIV/0!</v>
      </c>
    </row>
    <row r="67" spans="2:5">
      <c r="B67" s="9" t="s">
        <v>5</v>
      </c>
      <c r="C67" s="55" t="e">
        <f>AVERAGE(C53:CE53)</f>
        <v>#DIV/0!</v>
      </c>
      <c r="D67" s="56" t="s">
        <v>22</v>
      </c>
      <c r="E67" s="9" t="e">
        <f>STDEV(C48:CD52)</f>
        <v>#DIV/0!</v>
      </c>
    </row>
    <row r="68" spans="2:5">
      <c r="B68" s="9" t="s">
        <v>20</v>
      </c>
      <c r="C68" s="55" t="e">
        <f>C67-0.577*C69</f>
        <v>#DIV/0!</v>
      </c>
    </row>
    <row r="69" spans="2:5">
      <c r="B69" s="9" t="s">
        <v>10</v>
      </c>
      <c r="C69" s="55" t="e">
        <f>2.115*(SUM(C54:CE54)/COUNTIF(C54:CE54,"&lt;&gt;0"))</f>
        <v>#DIV/0!</v>
      </c>
    </row>
    <row r="71" spans="2:5">
      <c r="B71" s="9" t="s">
        <v>23</v>
      </c>
    </row>
    <row r="73" spans="2:5">
      <c r="B73" s="9" t="s">
        <v>24</v>
      </c>
      <c r="C73" s="55" t="e">
        <f>E7/(6*E67)</f>
        <v>#DIV/0!</v>
      </c>
    </row>
    <row r="74" spans="2:5">
      <c r="B74" s="9" t="s">
        <v>25</v>
      </c>
      <c r="C74" s="55" t="e">
        <f>MIN((E4-C67)/(3*E67),(C67-E6)/(3*E67))</f>
        <v>#DIV/0!</v>
      </c>
    </row>
    <row r="75" spans="2:5">
      <c r="C75" s="9">
        <f>COUNTIF(C10:CE10,"&gt;0")</f>
        <v>0</v>
      </c>
    </row>
  </sheetData>
  <sheetProtection algorithmName="SHA-512" hashValue="LuXLZ4bRt1bbLjwRlWsBSoHfRolsDrCRXwwwHFaU9Vgx7fioKdR9Bvi1Hv5spdVAxNjwpla/EGXNrODL5Oo+Rw==" saltValue="fVXfg+chMVKardl26Qlb4Q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CB4:CE5"/>
    <mergeCell ref="B13:B14"/>
    <mergeCell ref="B15:B16"/>
    <mergeCell ref="B17:B18"/>
    <mergeCell ref="B19:B20"/>
    <mergeCell ref="BX4:CA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BT63"/>
    <mergeCell ref="BU62:BZ63"/>
    <mergeCell ref="CA62:CE63"/>
    <mergeCell ref="CQ64:DA64"/>
  </mergeCells>
  <conditionalFormatting sqref="C48:U52 BC48:BS52 BU48:CE52">
    <cfRule type="expression" dxfId="13" priority="13">
      <formula>(C48&gt;$G$4)*(C48&lt;&gt;0)</formula>
    </cfRule>
    <cfRule type="expression" dxfId="12" priority="14">
      <formula>(C48&lt;$G$6)*(C48&lt;&gt;0)</formula>
    </cfRule>
  </conditionalFormatting>
  <conditionalFormatting sqref="V48:BQ52">
    <cfRule type="expression" dxfId="11" priority="11">
      <formula>(V48&gt;$G$4)*(V48&lt;&gt;0)</formula>
    </cfRule>
    <cfRule type="expression" dxfId="10" priority="12">
      <formula>(V48&lt;$G$6)*(V48&lt;&gt;0)</formula>
    </cfRule>
  </conditionalFormatting>
  <conditionalFormatting sqref="BR48:BR52">
    <cfRule type="expression" dxfId="9" priority="9">
      <formula>(BR48&gt;$G$4)*(BR48&lt;&gt;0)</formula>
    </cfRule>
    <cfRule type="expression" dxfId="8" priority="10">
      <formula>(BR48&lt;$G$6)*(BR48&lt;&gt;0)</formula>
    </cfRule>
  </conditionalFormatting>
  <conditionalFormatting sqref="BM48:BM52">
    <cfRule type="expression" dxfId="7" priority="7">
      <formula>(BM48&gt;$G$4)*(BM48&lt;&gt;0)</formula>
    </cfRule>
    <cfRule type="expression" dxfId="6" priority="8">
      <formula>(BM48&lt;$G$6)*(BM48&lt;&gt;0)</formula>
    </cfRule>
  </conditionalFormatting>
  <conditionalFormatting sqref="BG48:BG52">
    <cfRule type="expression" dxfId="5" priority="5">
      <formula>(BG48&gt;$G$4)*(BG48&lt;&gt;0)</formula>
    </cfRule>
    <cfRule type="expression" dxfId="4" priority="6">
      <formula>(BG48&lt;$G$6)*(BG48&lt;&gt;0)</formula>
    </cfRule>
  </conditionalFormatting>
  <conditionalFormatting sqref="BB48:BB52">
    <cfRule type="expression" dxfId="3" priority="3">
      <formula>(BB48&gt;$G$4)*(BB48&lt;&gt;0)</formula>
    </cfRule>
    <cfRule type="expression" dxfId="2" priority="4">
      <formula>(BB48&lt;$G$6)*(BB48&lt;&gt;0)</formula>
    </cfRule>
  </conditionalFormatting>
  <conditionalFormatting sqref="BT48:BT52">
    <cfRule type="expression" dxfId="1" priority="1">
      <formula>(BT48&gt;$G$4)*(BT48&lt;&gt;0)</formula>
    </cfRule>
    <cfRule type="expression" dxfId="0" priority="2">
      <formula>(BT48&lt;$G$6)*(BT48&lt;&gt;0)</formula>
    </cfRule>
  </conditionalFormatting>
  <dataValidations count="3">
    <dataValidation type="whole" showInputMessage="1" showErrorMessage="1" errorTitle="Data" error="Digite apenas o dia entre 1 e 31" sqref="E10:CE10" xr:uid="{00000000-0002-0000-0300-000000000000}">
      <formula1>1</formula1>
      <formula2>31</formula2>
    </dataValidation>
    <dataValidation type="list" showErrorMessage="1" promptTitle="Turno" prompt="Escolha" sqref="C11:CE11" xr:uid="{00000000-0002-0000-0300-000001000000}">
      <formula1>Turnos</formula1>
    </dataValidation>
    <dataValidation type="whole" showErrorMessage="1" errorTitle="Data" error="Digite apenas o dia entre 1 e 31" sqref="C10:D10" xr:uid="{00000000-0002-0000-03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>&amp;R&amp;A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Configurações</vt:lpstr>
      <vt:lpstr>SJCPIL-R 16-408-02</vt:lpstr>
      <vt:lpstr>SJCPIL-R 16-410-02</vt:lpstr>
      <vt:lpstr>SJCPIL-R 16-415-02</vt:lpstr>
      <vt:lpstr>'SJCPIL-R 16-408-02'!Area_de_impressao</vt:lpstr>
      <vt:lpstr>'SJCPIL-R 16-410-02'!Area_de_impressao</vt:lpstr>
      <vt:lpstr>'SJCPIL-R 16-415-02'!Area_de_impressao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Osvaldo Martins Torquati</cp:lastModifiedBy>
  <cp:lastPrinted>2019-09-25T12:40:44Z</cp:lastPrinted>
  <dcterms:created xsi:type="dcterms:W3CDTF">2010-12-15T17:36:09Z</dcterms:created>
  <dcterms:modified xsi:type="dcterms:W3CDTF">2022-02-18T18:11:42Z</dcterms:modified>
</cp:coreProperties>
</file>