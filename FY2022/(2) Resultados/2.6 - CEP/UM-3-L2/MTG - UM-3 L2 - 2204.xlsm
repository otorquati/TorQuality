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UM-3-L2\"/>
    </mc:Choice>
  </mc:AlternateContent>
  <xr:revisionPtr revIDLastSave="0" documentId="13_ncr:1_{5A7E9BE6-91F6-4DF0-8300-439586ABED19}" xr6:coauthVersionLast="47" xr6:coauthVersionMax="47" xr10:uidLastSave="{00000000-0000-0000-0000-000000000000}"/>
  <bookViews>
    <workbookView xWindow="-120" yWindow="-120" windowWidth="29040" windowHeight="16440" tabRatio="891" activeTab="4" xr2:uid="{00000000-000D-0000-FFFF-FFFF00000000}"/>
  </bookViews>
  <sheets>
    <sheet name="Configurações" sheetId="26" r:id="rId1"/>
    <sheet name="SJCPIL-R 16-303-03 - T1" sheetId="24" r:id="rId2"/>
    <sheet name="SJCPIL-R 16-303-03 - T2" sheetId="25" r:id="rId3"/>
    <sheet name="SJCPIL-R 16-304-03" sheetId="17" r:id="rId4"/>
    <sheet name="SJCPIL-R 16-308-02" sheetId="21" r:id="rId5"/>
  </sheets>
  <definedNames>
    <definedName name="_xlnm.Print_Area" localSheetId="1">'SJCPIL-R 16-303-03 - T1'!$A$1:$AU$63</definedName>
    <definedName name="_xlnm.Print_Area" localSheetId="2">'SJCPIL-R 16-303-03 - T2'!$A$1:$AU$63</definedName>
    <definedName name="_xlnm.Print_Area" localSheetId="3">'SJCPIL-R 16-304-03'!$A$1:$AU$63</definedName>
    <definedName name="_xlnm.Print_Area" localSheetId="4">'SJCPIL-R 16-308-02'!$A$1:$AU$63</definedName>
    <definedName name="Turnos">OFFSET(Configurações!$D$10,,,COUNTA(Configurações!$D$10:$D$16))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17" l="1"/>
  <c r="B56" i="21"/>
  <c r="B56" i="25"/>
  <c r="AQ4" i="24"/>
  <c r="AQ4" i="21" s="1"/>
  <c r="AQ4" i="17" l="1"/>
  <c r="AQ4" i="25"/>
  <c r="AM4" i="24"/>
  <c r="AM4" i="17" l="1"/>
  <c r="AM4" i="21"/>
  <c r="AM4" i="25"/>
  <c r="V53" i="24"/>
  <c r="W53" i="24"/>
  <c r="X53" i="24"/>
  <c r="Y53" i="24"/>
  <c r="Z53" i="24"/>
  <c r="AA53" i="24"/>
  <c r="AB53" i="24"/>
  <c r="AC53" i="24"/>
  <c r="AD53" i="24"/>
  <c r="AE53" i="24"/>
  <c r="AF53" i="24"/>
  <c r="AG53" i="24"/>
  <c r="AH53" i="24"/>
  <c r="V54" i="24"/>
  <c r="W54" i="24"/>
  <c r="X54" i="24"/>
  <c r="Y54" i="24"/>
  <c r="Z54" i="24"/>
  <c r="AA54" i="24"/>
  <c r="AB54" i="24"/>
  <c r="AC54" i="24"/>
  <c r="AD54" i="24"/>
  <c r="AE54" i="24"/>
  <c r="AF54" i="24"/>
  <c r="AG54" i="24"/>
  <c r="AH54" i="24"/>
  <c r="V53" i="25"/>
  <c r="W53" i="25"/>
  <c r="X53" i="25"/>
  <c r="Y53" i="25"/>
  <c r="Z53" i="25"/>
  <c r="AA53" i="25"/>
  <c r="AB53" i="25"/>
  <c r="AC53" i="25"/>
  <c r="AD53" i="25"/>
  <c r="AE53" i="25"/>
  <c r="AF53" i="25"/>
  <c r="AG53" i="25"/>
  <c r="AH53" i="25"/>
  <c r="V54" i="25"/>
  <c r="W54" i="25"/>
  <c r="X54" i="25"/>
  <c r="Y54" i="25"/>
  <c r="Z54" i="25"/>
  <c r="AA54" i="25"/>
  <c r="AB54" i="25"/>
  <c r="AC54" i="25"/>
  <c r="AD54" i="25"/>
  <c r="AE54" i="25"/>
  <c r="AF54" i="25"/>
  <c r="AG54" i="25"/>
  <c r="AH54" i="25"/>
  <c r="K2" i="21" l="1"/>
  <c r="K2" i="17"/>
  <c r="C75" i="25"/>
  <c r="E67" i="25"/>
  <c r="C73" i="25" s="1"/>
  <c r="AT54" i="25"/>
  <c r="AS54" i="25"/>
  <c r="AR54" i="25"/>
  <c r="AQ54" i="25"/>
  <c r="AP54" i="25"/>
  <c r="AO54" i="25"/>
  <c r="AN54" i="25"/>
  <c r="AM54" i="25"/>
  <c r="AL54" i="25"/>
  <c r="AK54" i="25"/>
  <c r="AJ54" i="25"/>
  <c r="AI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AT53" i="25"/>
  <c r="AS53" i="25"/>
  <c r="AR53" i="25"/>
  <c r="AQ53" i="25"/>
  <c r="AP53" i="25"/>
  <c r="AO53" i="25"/>
  <c r="AN53" i="25"/>
  <c r="AM53" i="25"/>
  <c r="AL53" i="25"/>
  <c r="AK53" i="25"/>
  <c r="AJ53" i="25"/>
  <c r="AI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E5" i="25"/>
  <c r="G5" i="25" s="1"/>
  <c r="K2" i="25"/>
  <c r="C75" i="24"/>
  <c r="E67" i="24"/>
  <c r="C73" i="24" s="1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C54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C53" i="24"/>
  <c r="E6" i="24"/>
  <c r="G5" i="24"/>
  <c r="G6" i="24" s="1"/>
  <c r="E4" i="24"/>
  <c r="G4" i="24" l="1"/>
  <c r="C67" i="25"/>
  <c r="C69" i="24"/>
  <c r="C66" i="24" s="1"/>
  <c r="C67" i="24"/>
  <c r="C74" i="24" s="1"/>
  <c r="C69" i="25"/>
  <c r="C66" i="25" s="1"/>
  <c r="G4" i="25"/>
  <c r="G6" i="25"/>
  <c r="E6" i="25"/>
  <c r="E4" i="25"/>
  <c r="AH53" i="21"/>
  <c r="AH54" i="21"/>
  <c r="V53" i="21"/>
  <c r="W53" i="21"/>
  <c r="X53" i="21"/>
  <c r="Y53" i="21"/>
  <c r="Z53" i="21"/>
  <c r="AA53" i="21"/>
  <c r="AB53" i="21"/>
  <c r="AC53" i="21"/>
  <c r="AD53" i="21"/>
  <c r="AE53" i="21"/>
  <c r="AF53" i="21"/>
  <c r="AG53" i="21"/>
  <c r="V54" i="21"/>
  <c r="W54" i="21"/>
  <c r="X54" i="21"/>
  <c r="Y54" i="21"/>
  <c r="Z54" i="21"/>
  <c r="AA54" i="21"/>
  <c r="AB54" i="21"/>
  <c r="AC54" i="21"/>
  <c r="AD54" i="21"/>
  <c r="AE54" i="21"/>
  <c r="AF54" i="21"/>
  <c r="AG54" i="21"/>
  <c r="AH53" i="17"/>
  <c r="AH54" i="17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C74" i="25" l="1"/>
  <c r="C68" i="24"/>
  <c r="C68" i="25"/>
  <c r="E6" i="21"/>
  <c r="G5" i="21"/>
  <c r="G4" i="21" s="1"/>
  <c r="E4" i="21"/>
  <c r="C75" i="21"/>
  <c r="E67" i="21"/>
  <c r="C73" i="21" s="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AT53" i="21"/>
  <c r="AS53" i="21"/>
  <c r="AR53" i="21"/>
  <c r="AQ53" i="21"/>
  <c r="AP53" i="21"/>
  <c r="AO53" i="21"/>
  <c r="AN53" i="21"/>
  <c r="AM53" i="21"/>
  <c r="AL53" i="21"/>
  <c r="AK53" i="21"/>
  <c r="AJ53" i="21"/>
  <c r="AI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E6" i="17"/>
  <c r="G5" i="17"/>
  <c r="G4" i="17" s="1"/>
  <c r="E4" i="17"/>
  <c r="C75" i="17"/>
  <c r="E67" i="17"/>
  <c r="C73" i="17" s="1"/>
  <c r="AT54" i="17"/>
  <c r="AS54" i="17"/>
  <c r="AR54" i="17"/>
  <c r="AQ54" i="17"/>
  <c r="AP54" i="17"/>
  <c r="AO54" i="17"/>
  <c r="AN54" i="17"/>
  <c r="AM54" i="17"/>
  <c r="AL54" i="17"/>
  <c r="AK54" i="17"/>
  <c r="AJ54" i="17"/>
  <c r="AI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AT53" i="17"/>
  <c r="AS53" i="17"/>
  <c r="AR53" i="17"/>
  <c r="AQ53" i="17"/>
  <c r="AP53" i="17"/>
  <c r="AO53" i="17"/>
  <c r="AN53" i="17"/>
  <c r="AM53" i="17"/>
  <c r="AL53" i="17"/>
  <c r="AK53" i="17"/>
  <c r="AJ53" i="17"/>
  <c r="AI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G6" i="17" l="1"/>
  <c r="C67" i="17"/>
  <c r="C74" i="17" s="1"/>
  <c r="C67" i="21"/>
  <c r="C74" i="21" s="1"/>
  <c r="G6" i="21"/>
  <c r="C69" i="21"/>
  <c r="C66" i="21" s="1"/>
  <c r="C69" i="17"/>
  <c r="C66" i="17" s="1"/>
  <c r="C68" i="21" l="1"/>
  <c r="C68" i="17"/>
</calcChain>
</file>

<file path=xl/sharedStrings.xml><?xml version="1.0" encoding="utf-8"?>
<sst xmlns="http://schemas.openxmlformats.org/spreadsheetml/2006/main" count="219" uniqueCount="58">
  <si>
    <t>SETOR:  MONTAGEM</t>
  </si>
  <si>
    <t>LSE=</t>
  </si>
  <si>
    <t>X</t>
  </si>
  <si>
    <t xml:space="preserve"> LC=</t>
  </si>
  <si>
    <t>D=diurno</t>
  </si>
  <si>
    <t>LIE=</t>
  </si>
  <si>
    <t>1 vez / turno</t>
  </si>
  <si>
    <t>N=noturno</t>
  </si>
  <si>
    <t>R</t>
  </si>
  <si>
    <t>Medida: unid.(mm)</t>
  </si>
  <si>
    <t>Grupo</t>
  </si>
  <si>
    <t>Data</t>
  </si>
  <si>
    <t>Visto do operador</t>
  </si>
  <si>
    <t>Especificação</t>
  </si>
  <si>
    <t>Visto:</t>
  </si>
  <si>
    <t>Média</t>
  </si>
  <si>
    <t>Data:</t>
  </si>
  <si>
    <t>LSC</t>
  </si>
  <si>
    <t>LIC</t>
  </si>
  <si>
    <t>Limites Calculados</t>
  </si>
  <si>
    <t>Cálculo de Cp e Cpk</t>
  </si>
  <si>
    <t>Cp</t>
  </si>
  <si>
    <t>Cpk</t>
  </si>
  <si>
    <t>S</t>
  </si>
  <si>
    <t>Característica:</t>
  </si>
  <si>
    <t>Máquina:</t>
  </si>
  <si>
    <t>Modelo:</t>
  </si>
  <si>
    <t>Legenda:</t>
  </si>
  <si>
    <t>Limites de Controle</t>
  </si>
  <si>
    <t>Limites de Especificação</t>
  </si>
  <si>
    <t>Diário de Bordo:</t>
  </si>
  <si>
    <t>Amostra n= 5</t>
  </si>
  <si>
    <t>Produção:</t>
  </si>
  <si>
    <t>Controle da Qualidade:</t>
  </si>
  <si>
    <t>LSC=</t>
  </si>
  <si>
    <t>LIC=</t>
  </si>
  <si>
    <t>Peso da Bobina</t>
  </si>
  <si>
    <t>Máquina de Carvão</t>
  </si>
  <si>
    <t>Altura ombro da bobina (A3)</t>
  </si>
  <si>
    <t>Shima</t>
  </si>
  <si>
    <t>Altura ombro após Shima</t>
  </si>
  <si>
    <t>Turno</t>
  </si>
  <si>
    <t>CONTROLE ESTATÍSTICO DO PROCESSO (CEP)</t>
  </si>
  <si>
    <t>UM-3 L2</t>
  </si>
  <si>
    <t>Tampão Nº  1</t>
  </si>
  <si>
    <t>Tampão Nº  2</t>
  </si>
  <si>
    <t xml:space="preserve">Data: </t>
  </si>
  <si>
    <t>Gerência</t>
  </si>
  <si>
    <t>Sistema de Gestão Integrado</t>
  </si>
  <si>
    <t>Panasonic do Brasil Limitada</t>
  </si>
  <si>
    <t>SJCPIL-i 16-301-XX</t>
  </si>
  <si>
    <t>SJCPIL-I 16-303-XX</t>
  </si>
  <si>
    <t>SJCPIL-I 16-309-XX</t>
  </si>
  <si>
    <t>Configurações</t>
  </si>
  <si>
    <t>Responsável</t>
  </si>
  <si>
    <t>D</t>
  </si>
  <si>
    <t>N</t>
  </si>
  <si>
    <t>Visto do Líder / 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</si>
</sst>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6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u/>
      <sz val="16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sz val="16"/>
      <name val="SwitzerlandBlack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8"/>
      <name val="Arial Narrow"/>
      <family val="2"/>
    </font>
    <font>
      <sz val="16"/>
      <name val="Franklin Gothic Book"/>
      <family val="2"/>
    </font>
    <font>
      <b/>
      <sz val="16"/>
      <name val="Arial"/>
      <family val="2"/>
    </font>
    <font>
      <sz val="16"/>
      <name val="Arial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/>
  </cellStyleXfs>
  <cellXfs count="165">
    <xf numFmtId="0" fontId="0" fillId="0" borderId="0" xfId="0"/>
    <xf numFmtId="0" fontId="12" fillId="0" borderId="0" xfId="4" applyFont="1" applyProtection="1">
      <protection locked="0"/>
    </xf>
    <xf numFmtId="0" fontId="12" fillId="0" borderId="2" xfId="4" applyFont="1" applyBorder="1" applyProtection="1">
      <protection locked="0"/>
    </xf>
    <xf numFmtId="0" fontId="12" fillId="0" borderId="3" xfId="4" applyFont="1" applyBorder="1" applyProtection="1">
      <protection locked="0"/>
    </xf>
    <xf numFmtId="0" fontId="12" fillId="0" borderId="4" xfId="4" applyFont="1" applyBorder="1" applyProtection="1">
      <protection locked="0"/>
    </xf>
    <xf numFmtId="2" fontId="14" fillId="0" borderId="5" xfId="4" applyNumberFormat="1" applyFont="1" applyBorder="1" applyProtection="1">
      <protection locked="0"/>
    </xf>
    <xf numFmtId="2" fontId="14" fillId="0" borderId="6" xfId="4" applyNumberFormat="1" applyFont="1" applyBorder="1" applyProtection="1">
      <protection locked="0"/>
    </xf>
    <xf numFmtId="0" fontId="12" fillId="0" borderId="1" xfId="4" applyFont="1" applyBorder="1" applyAlignment="1" applyProtection="1">
      <alignment horizontal="center"/>
      <protection locked="0"/>
    </xf>
    <xf numFmtId="2" fontId="14" fillId="0" borderId="7" xfId="4" applyNumberFormat="1" applyFont="1" applyBorder="1" applyProtection="1">
      <protection locked="0"/>
    </xf>
    <xf numFmtId="2" fontId="14" fillId="0" borderId="8" xfId="4" applyNumberFormat="1" applyFont="1" applyBorder="1" applyProtection="1">
      <protection locked="0"/>
    </xf>
    <xf numFmtId="0" fontId="12" fillId="0" borderId="9" xfId="4" applyFont="1" applyBorder="1" applyAlignment="1" applyProtection="1">
      <alignment horizontal="center"/>
      <protection locked="0"/>
    </xf>
    <xf numFmtId="2" fontId="14" fillId="0" borderId="10" xfId="4" applyNumberFormat="1" applyFont="1" applyBorder="1" applyProtection="1">
      <protection locked="0"/>
    </xf>
    <xf numFmtId="2" fontId="14" fillId="0" borderId="11" xfId="4" applyNumberFormat="1" applyFont="1" applyBorder="1" applyProtection="1"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0" fillId="0" borderId="12" xfId="0" applyNumberFormat="1" applyFont="1" applyBorder="1" applyAlignment="1">
      <alignment vertical="center"/>
    </xf>
    <xf numFmtId="2" fontId="9" fillId="0" borderId="12" xfId="0" applyNumberFormat="1" applyFont="1" applyBorder="1" applyAlignment="1">
      <alignment vertical="center"/>
    </xf>
    <xf numFmtId="0" fontId="8" fillId="0" borderId="12" xfId="4" applyFont="1" applyBorder="1"/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0" fillId="0" borderId="14" xfId="4" applyFont="1" applyBorder="1"/>
    <xf numFmtId="0" fontId="6" fillId="0" borderId="14" xfId="4" applyFont="1" applyBorder="1"/>
    <xf numFmtId="0" fontId="11" fillId="0" borderId="3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2" fillId="0" borderId="15" xfId="4" applyFont="1" applyBorder="1"/>
    <xf numFmtId="0" fontId="12" fillId="0" borderId="16" xfId="0" applyFont="1" applyBorder="1" applyAlignment="1">
      <alignment horizontal="left" vertical="center"/>
    </xf>
    <xf numFmtId="2" fontId="12" fillId="0" borderId="17" xfId="4" applyNumberFormat="1" applyFont="1" applyBorder="1" applyAlignment="1">
      <alignment horizontal="center"/>
    </xf>
    <xf numFmtId="0" fontId="12" fillId="4" borderId="18" xfId="0" applyFont="1" applyFill="1" applyBorder="1" applyAlignment="1">
      <alignment horizontal="left" vertical="center"/>
    </xf>
    <xf numFmtId="2" fontId="12" fillId="4" borderId="13" xfId="4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2" fontId="12" fillId="0" borderId="0" xfId="4" applyNumberFormat="1" applyFont="1"/>
    <xf numFmtId="0" fontId="12" fillId="0" borderId="0" xfId="4" applyFont="1" applyAlignment="1">
      <alignment vertical="center"/>
    </xf>
    <xf numFmtId="0" fontId="12" fillId="0" borderId="0" xfId="4" applyFont="1" applyAlignment="1">
      <alignment horizontal="center" vertical="center"/>
    </xf>
    <xf numFmtId="0" fontId="12" fillId="0" borderId="19" xfId="0" applyFont="1" applyBorder="1" applyAlignment="1">
      <alignment horizontal="left" vertical="center"/>
    </xf>
    <xf numFmtId="2" fontId="12" fillId="0" borderId="20" xfId="4" applyNumberFormat="1" applyFont="1" applyBorder="1" applyAlignment="1">
      <alignment horizontal="center" vertical="center"/>
    </xf>
    <xf numFmtId="0" fontId="12" fillId="4" borderId="21" xfId="0" applyFont="1" applyFill="1" applyBorder="1" applyAlignment="1">
      <alignment horizontal="left" vertical="center"/>
    </xf>
    <xf numFmtId="2" fontId="21" fillId="4" borderId="22" xfId="4" applyNumberFormat="1" applyFont="1" applyFill="1" applyBorder="1" applyAlignment="1">
      <alignment horizontal="center" vertical="center"/>
    </xf>
    <xf numFmtId="0" fontId="12" fillId="0" borderId="23" xfId="4" applyFont="1" applyBorder="1" applyAlignment="1">
      <alignment vertical="center"/>
    </xf>
    <xf numFmtId="0" fontId="12" fillId="4" borderId="25" xfId="0" applyFont="1" applyFill="1" applyBorder="1" applyAlignment="1">
      <alignment horizontal="left" vertical="center"/>
    </xf>
    <xf numFmtId="2" fontId="12" fillId="4" borderId="26" xfId="4" applyNumberFormat="1" applyFont="1" applyFill="1" applyBorder="1" applyAlignment="1">
      <alignment horizontal="center" vertical="center"/>
    </xf>
    <xf numFmtId="0" fontId="12" fillId="0" borderId="18" xfId="4" applyFont="1" applyBorder="1" applyAlignment="1">
      <alignment horizontal="center"/>
    </xf>
    <xf numFmtId="0" fontId="12" fillId="0" borderId="0" xfId="4" applyFont="1"/>
    <xf numFmtId="0" fontId="12" fillId="0" borderId="21" xfId="4" applyFont="1" applyBorder="1" applyAlignment="1">
      <alignment horizontal="center"/>
    </xf>
    <xf numFmtId="0" fontId="12" fillId="0" borderId="27" xfId="4" applyFont="1" applyBorder="1" applyAlignment="1">
      <alignment horizontal="center"/>
    </xf>
    <xf numFmtId="0" fontId="12" fillId="0" borderId="27" xfId="4" applyFont="1" applyBorder="1"/>
    <xf numFmtId="0" fontId="12" fillId="0" borderId="2" xfId="4" applyFont="1" applyBorder="1"/>
    <xf numFmtId="2" fontId="12" fillId="0" borderId="28" xfId="4" applyNumberFormat="1" applyFont="1" applyBorder="1" applyAlignment="1">
      <alignment horizontal="right" vertical="center"/>
    </xf>
    <xf numFmtId="0" fontId="15" fillId="0" borderId="28" xfId="4" applyFont="1" applyBorder="1" applyAlignment="1">
      <alignment horizontal="right" vertical="center"/>
    </xf>
    <xf numFmtId="0" fontId="12" fillId="0" borderId="29" xfId="4" applyFont="1" applyBorder="1"/>
    <xf numFmtId="0" fontId="12" fillId="0" borderId="30" xfId="4" applyFont="1" applyBorder="1"/>
    <xf numFmtId="0" fontId="15" fillId="0" borderId="31" xfId="4" applyFont="1" applyBorder="1" applyAlignment="1">
      <alignment horizontal="right" vertical="center"/>
    </xf>
    <xf numFmtId="0" fontId="12" fillId="0" borderId="3" xfId="4" applyFont="1" applyBorder="1"/>
    <xf numFmtId="0" fontId="12" fillId="0" borderId="4" xfId="4" applyFont="1" applyBorder="1"/>
    <xf numFmtId="0" fontId="12" fillId="0" borderId="28" xfId="4" applyFont="1" applyBorder="1" applyAlignment="1">
      <alignment vertical="center"/>
    </xf>
    <xf numFmtId="0" fontId="12" fillId="0" borderId="32" xfId="4" applyFont="1" applyBorder="1" applyAlignment="1">
      <alignment horizontal="center" vertical="center"/>
    </xf>
    <xf numFmtId="0" fontId="14" fillId="0" borderId="0" xfId="4" applyFont="1"/>
    <xf numFmtId="0" fontId="12" fillId="0" borderId="21" xfId="4" quotePrefix="1" applyFont="1" applyBorder="1" applyAlignment="1">
      <alignment horizontal="center" vertical="center"/>
    </xf>
    <xf numFmtId="2" fontId="14" fillId="0" borderId="5" xfId="4" applyNumberFormat="1" applyFont="1" applyBorder="1"/>
    <xf numFmtId="2" fontId="14" fillId="0" borderId="8" xfId="4" applyNumberFormat="1" applyFont="1" applyBorder="1"/>
    <xf numFmtId="2" fontId="14" fillId="0" borderId="11" xfId="4" applyNumberFormat="1" applyFont="1" applyBorder="1"/>
    <xf numFmtId="0" fontId="12" fillId="0" borderId="21" xfId="4" applyFont="1" applyBorder="1" applyAlignment="1">
      <alignment horizontal="center" vertical="center"/>
    </xf>
    <xf numFmtId="2" fontId="14" fillId="0" borderId="33" xfId="4" applyNumberFormat="1" applyFont="1" applyBorder="1"/>
    <xf numFmtId="2" fontId="14" fillId="0" borderId="34" xfId="4" applyNumberFormat="1" applyFont="1" applyBorder="1"/>
    <xf numFmtId="0" fontId="4" fillId="0" borderId="36" xfId="0" applyFont="1" applyBorder="1" applyAlignment="1">
      <alignment horizontal="center" vertical="center"/>
    </xf>
    <xf numFmtId="0" fontId="12" fillId="0" borderId="29" xfId="4" applyFont="1" applyBorder="1" applyAlignment="1">
      <alignment vertical="top"/>
    </xf>
    <xf numFmtId="0" fontId="12" fillId="0" borderId="28" xfId="4" applyFont="1" applyBorder="1"/>
    <xf numFmtId="0" fontId="12" fillId="0" borderId="31" xfId="4" applyFont="1" applyBorder="1" applyAlignment="1">
      <alignment horizontal="center" vertical="top"/>
    </xf>
    <xf numFmtId="0" fontId="12" fillId="0" borderId="3" xfId="4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" fillId="0" borderId="0" xfId="0" applyFont="1"/>
    <xf numFmtId="0" fontId="17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2" fillId="0" borderId="38" xfId="4" applyFont="1" applyBorder="1" applyProtection="1">
      <protection locked="0"/>
    </xf>
    <xf numFmtId="0" fontId="12" fillId="0" borderId="39" xfId="4" applyFont="1" applyBorder="1" applyProtection="1">
      <protection locked="0"/>
    </xf>
    <xf numFmtId="0" fontId="14" fillId="0" borderId="40" xfId="4" applyFont="1" applyBorder="1" applyProtection="1">
      <protection locked="0"/>
    </xf>
    <xf numFmtId="0" fontId="14" fillId="0" borderId="41" xfId="4" applyFont="1" applyBorder="1" applyProtection="1">
      <protection locked="0"/>
    </xf>
    <xf numFmtId="0" fontId="14" fillId="0" borderId="42" xfId="4" applyFont="1" applyBorder="1" applyProtection="1">
      <protection locked="0"/>
    </xf>
    <xf numFmtId="0" fontId="14" fillId="0" borderId="43" xfId="4" applyFont="1" applyBorder="1" applyProtection="1">
      <protection locked="0"/>
    </xf>
    <xf numFmtId="0" fontId="14" fillId="0" borderId="44" xfId="4" applyFont="1" applyBorder="1" applyProtection="1">
      <protection locked="0"/>
    </xf>
    <xf numFmtId="0" fontId="14" fillId="0" borderId="45" xfId="4" applyFont="1" applyBorder="1" applyProtection="1">
      <protection locked="0"/>
    </xf>
    <xf numFmtId="0" fontId="6" fillId="0" borderId="28" xfId="4" applyFont="1" applyBorder="1"/>
    <xf numFmtId="0" fontId="15" fillId="0" borderId="57" xfId="4" applyFont="1" applyBorder="1" applyAlignment="1">
      <alignment horizontal="center" vertical="center"/>
    </xf>
    <xf numFmtId="0" fontId="15" fillId="0" borderId="58" xfId="4" applyFont="1" applyBorder="1" applyAlignment="1">
      <alignment horizontal="center" vertical="center"/>
    </xf>
    <xf numFmtId="0" fontId="15" fillId="0" borderId="57" xfId="4" applyFont="1" applyBorder="1" applyAlignment="1">
      <alignment horizontal="left" vertical="center"/>
    </xf>
    <xf numFmtId="0" fontId="12" fillId="0" borderId="0" xfId="4" applyFont="1" applyAlignment="1">
      <alignment vertical="center" wrapText="1"/>
    </xf>
    <xf numFmtId="0" fontId="12" fillId="0" borderId="2" xfId="4" applyFont="1" applyBorder="1" applyAlignment="1">
      <alignment vertical="center"/>
    </xf>
    <xf numFmtId="0" fontId="12" fillId="0" borderId="59" xfId="4" applyFont="1" applyBorder="1" applyAlignment="1">
      <alignment vertical="center"/>
    </xf>
    <xf numFmtId="0" fontId="12" fillId="0" borderId="3" xfId="4" applyFont="1" applyBorder="1" applyAlignment="1">
      <alignment horizontal="center" vertical="center"/>
    </xf>
    <xf numFmtId="0" fontId="12" fillId="0" borderId="60" xfId="0" applyFont="1" applyBorder="1" applyAlignment="1">
      <alignment horizontal="left" vertical="center"/>
    </xf>
    <xf numFmtId="2" fontId="12" fillId="0" borderId="14" xfId="4" applyNumberFormat="1" applyFont="1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12" fillId="0" borderId="3" xfId="4" applyFont="1" applyBorder="1" applyAlignment="1">
      <alignment vertical="center"/>
    </xf>
    <xf numFmtId="0" fontId="12" fillId="0" borderId="3" xfId="4" applyFont="1" applyBorder="1" applyAlignment="1">
      <alignment vertical="center" wrapText="1"/>
    </xf>
    <xf numFmtId="0" fontId="12" fillId="0" borderId="4" xfId="4" applyFont="1" applyBorder="1" applyAlignment="1">
      <alignment vertical="center"/>
    </xf>
    <xf numFmtId="0" fontId="6" fillId="0" borderId="62" xfId="4" applyFont="1" applyBorder="1"/>
    <xf numFmtId="0" fontId="6" fillId="0" borderId="63" xfId="4" applyFont="1" applyBorder="1"/>
    <xf numFmtId="0" fontId="22" fillId="0" borderId="61" xfId="4" quotePrefix="1" applyFont="1" applyBorder="1" applyAlignment="1">
      <alignment horizontal="left"/>
    </xf>
    <xf numFmtId="0" fontId="17" fillId="0" borderId="53" xfId="0" applyFont="1" applyBorder="1" applyAlignment="1">
      <alignment horizontal="centerContinuous" vertical="center"/>
    </xf>
    <xf numFmtId="0" fontId="17" fillId="0" borderId="29" xfId="0" applyFont="1" applyBorder="1" applyAlignment="1">
      <alignment horizontal="centerContinuous" vertical="center"/>
    </xf>
    <xf numFmtId="0" fontId="17" fillId="0" borderId="29" xfId="0" applyFont="1" applyBorder="1" applyAlignment="1">
      <alignment horizontal="centerContinuous"/>
    </xf>
    <xf numFmtId="0" fontId="17" fillId="0" borderId="29" xfId="4" applyFont="1" applyBorder="1" applyAlignment="1">
      <alignment horizontal="centerContinuous"/>
    </xf>
    <xf numFmtId="0" fontId="23" fillId="0" borderId="28" xfId="0" applyFont="1" applyBorder="1" applyAlignment="1">
      <alignment horizontal="centerContinuous" vertical="center"/>
    </xf>
    <xf numFmtId="0" fontId="23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/>
    </xf>
    <xf numFmtId="0" fontId="24" fillId="0" borderId="0" xfId="4" applyFont="1" applyAlignment="1">
      <alignment horizontal="centerContinuous"/>
    </xf>
    <xf numFmtId="1" fontId="12" fillId="0" borderId="1" xfId="4" applyNumberFormat="1" applyFont="1" applyBorder="1" applyAlignment="1" applyProtection="1">
      <alignment horizontal="center"/>
      <protection locked="0"/>
    </xf>
    <xf numFmtId="0" fontId="14" fillId="0" borderId="34" xfId="4" applyFont="1" applyBorder="1"/>
    <xf numFmtId="0" fontId="14" fillId="0" borderId="35" xfId="4" applyFont="1" applyBorder="1"/>
    <xf numFmtId="14" fontId="12" fillId="0" borderId="0" xfId="4" applyNumberFormat="1" applyFont="1" applyProtection="1">
      <protection locked="0"/>
    </xf>
    <xf numFmtId="0" fontId="25" fillId="0" borderId="0" xfId="11" applyFont="1"/>
    <xf numFmtId="0" fontId="4" fillId="0" borderId="0" xfId="11"/>
    <xf numFmtId="0" fontId="4" fillId="5" borderId="0" xfId="11" applyFill="1" applyProtection="1">
      <protection locked="0"/>
    </xf>
    <xf numFmtId="0" fontId="19" fillId="0" borderId="0" xfId="11" applyFont="1"/>
    <xf numFmtId="0" fontId="4" fillId="0" borderId="37" xfId="0" applyFont="1" applyBorder="1" applyAlignment="1">
      <alignment horizontal="center" vertical="center" wrapText="1"/>
    </xf>
    <xf numFmtId="0" fontId="19" fillId="0" borderId="0" xfId="11" applyFont="1" applyAlignment="1">
      <alignment horizontal="right"/>
    </xf>
    <xf numFmtId="49" fontId="12" fillId="0" borderId="28" xfId="4" applyNumberFormat="1" applyFont="1" applyBorder="1" applyAlignment="1">
      <alignment horizontal="right" vertical="center"/>
    </xf>
    <xf numFmtId="0" fontId="19" fillId="0" borderId="53" xfId="4" applyFont="1" applyBorder="1" applyAlignment="1">
      <alignment horizontal="center" vertical="center"/>
    </xf>
    <xf numFmtId="0" fontId="19" fillId="0" borderId="29" xfId="4" applyFont="1" applyBorder="1" applyAlignment="1">
      <alignment horizontal="center" vertical="center"/>
    </xf>
    <xf numFmtId="0" fontId="19" fillId="0" borderId="31" xfId="4" applyFont="1" applyBorder="1" applyAlignment="1">
      <alignment horizontal="center" vertical="center"/>
    </xf>
    <xf numFmtId="0" fontId="19" fillId="0" borderId="3" xfId="4" applyFont="1" applyBorder="1" applyAlignment="1">
      <alignment horizontal="center" vertical="center"/>
    </xf>
    <xf numFmtId="0" fontId="18" fillId="0" borderId="29" xfId="4" applyFont="1" applyBorder="1" applyAlignment="1">
      <alignment horizontal="center" vertical="center"/>
    </xf>
    <xf numFmtId="0" fontId="18" fillId="0" borderId="30" xfId="4" applyFont="1" applyBorder="1" applyAlignment="1">
      <alignment horizontal="center" vertical="center"/>
    </xf>
    <xf numFmtId="0" fontId="18" fillId="0" borderId="3" xfId="4" applyFont="1" applyBorder="1" applyAlignment="1">
      <alignment horizontal="center" vertical="center"/>
    </xf>
    <xf numFmtId="0" fontId="18" fillId="0" borderId="4" xfId="4" applyFont="1" applyBorder="1" applyAlignment="1">
      <alignment horizontal="center" vertical="center"/>
    </xf>
    <xf numFmtId="0" fontId="20" fillId="0" borderId="53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2" fontId="10" fillId="0" borderId="18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25" xfId="4" applyFont="1" applyBorder="1" applyAlignment="1">
      <alignment horizontal="center"/>
    </xf>
    <xf numFmtId="0" fontId="10" fillId="0" borderId="14" xfId="4" applyFont="1" applyBorder="1" applyAlignment="1">
      <alignment horizontal="center"/>
    </xf>
    <xf numFmtId="0" fontId="10" fillId="0" borderId="52" xfId="4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2" fontId="12" fillId="0" borderId="28" xfId="4" applyNumberFormat="1" applyFont="1" applyBorder="1" applyAlignment="1">
      <alignment horizontal="right" vertical="center"/>
    </xf>
    <xf numFmtId="0" fontId="13" fillId="0" borderId="28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46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2" fontId="12" fillId="0" borderId="53" xfId="4" applyNumberFormat="1" applyFont="1" applyBorder="1" applyAlignment="1">
      <alignment horizontal="right" vertical="center"/>
    </xf>
    <xf numFmtId="0" fontId="12" fillId="0" borderId="53" xfId="4" applyFont="1" applyBorder="1" applyAlignment="1">
      <alignment horizontal="center" vertical="top"/>
    </xf>
    <xf numFmtId="0" fontId="12" fillId="0" borderId="29" xfId="4" applyFont="1" applyBorder="1" applyAlignment="1">
      <alignment horizontal="center" vertical="top"/>
    </xf>
    <xf numFmtId="0" fontId="12" fillId="0" borderId="30" xfId="4" applyFont="1" applyBorder="1" applyAlignment="1">
      <alignment horizontal="center" vertical="top"/>
    </xf>
    <xf numFmtId="0" fontId="12" fillId="0" borderId="28" xfId="4" applyFont="1" applyBorder="1" applyAlignment="1">
      <alignment horizontal="right" vertical="center"/>
    </xf>
    <xf numFmtId="0" fontId="12" fillId="0" borderId="0" xfId="4" applyFont="1" applyAlignment="1">
      <alignment horizontal="right" vertical="center"/>
    </xf>
    <xf numFmtId="0" fontId="16" fillId="0" borderId="15" xfId="0" applyFont="1" applyBorder="1" applyAlignment="1">
      <alignment horizontal="left" vertical="center"/>
    </xf>
    <xf numFmtId="0" fontId="16" fillId="0" borderId="46" xfId="0" applyFont="1" applyBorder="1" applyAlignment="1">
      <alignment horizontal="left" vertical="center"/>
    </xf>
    <xf numFmtId="0" fontId="16" fillId="0" borderId="54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47" xfId="0" applyFont="1" applyBorder="1" applyAlignment="1">
      <alignment horizontal="left" vertical="center"/>
    </xf>
    <xf numFmtId="0" fontId="16" fillId="0" borderId="48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6" fillId="0" borderId="50" xfId="0" applyFont="1" applyBorder="1" applyAlignment="1">
      <alignment horizontal="left" vertical="center"/>
    </xf>
    <xf numFmtId="0" fontId="1" fillId="0" borderId="0" xfId="0" applyFont="1" applyAlignment="1">
      <alignment horizontal="right"/>
    </xf>
  </cellXfs>
  <cellStyles count="12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11" xr:uid="{00000000-0005-0000-0000-000004000000}"/>
    <cellStyle name="Normal_FA" xfId="4" xr:uid="{00000000-0005-0000-0000-000005000000}"/>
    <cellStyle name="Percent [2]" xfId="5" xr:uid="{00000000-0005-0000-0000-000006000000}"/>
    <cellStyle name="桁区切り [0.00]_laroux" xfId="6" xr:uid="{00000000-0005-0000-0000-000007000000}"/>
    <cellStyle name="桁区切り_laroux" xfId="7" xr:uid="{00000000-0005-0000-0000-000008000000}"/>
    <cellStyle name="標準_22生産1" xfId="8" xr:uid="{00000000-0005-0000-0000-000009000000}"/>
    <cellStyle name="通貨 [0.00]_９７上" xfId="9" xr:uid="{00000000-0005-0000-0000-00000A000000}"/>
    <cellStyle name="通貨_９７上" xfId="10" xr:uid="{00000000-0005-0000-0000-00000B00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79123856503461E-2"/>
          <c:y val="2.1701388888888888E-2"/>
          <c:w val="0.94787352821737469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16-303-03 - T1'!$B$53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16-303-03 - T1'!$C$9:$AT$9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cat>
          <c:val>
            <c:numRef>
              <c:f>'SJCPIL-R 16-303-03 - T1'!$C$53:$AT$53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2-4502-8D48-675ABC14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840840"/>
        <c:axId val="30179652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T1'!$E$4</c:f>
              <c:numCache>
                <c:formatCode>0.00</c:formatCode>
                <c:ptCount val="1"/>
                <c:pt idx="0">
                  <c:v>8.43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B2-4502-8D48-675ABC14C82C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16-303-03 - T1'!$G$4</c:f>
              <c:numCache>
                <c:formatCode>0.00</c:formatCode>
                <c:ptCount val="1"/>
                <c:pt idx="0">
                  <c:v>8.3800000000000008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B2-4502-8D48-675ABC14C82C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16-303-03 - T1'!$G$5</c:f>
              <c:numCache>
                <c:formatCode>0.00</c:formatCode>
                <c:ptCount val="1"/>
                <c:pt idx="0">
                  <c:v>8.23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B2-4502-8D48-675ABC14C82C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16-303-03 - T1'!$G$6</c:f>
              <c:numCache>
                <c:formatCode>0.00</c:formatCode>
                <c:ptCount val="1"/>
                <c:pt idx="0">
                  <c:v>8.08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B2-4502-8D48-675ABC14C82C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16-303-03 - T1'!$E$6</c:f>
              <c:numCache>
                <c:formatCode>0.00</c:formatCode>
                <c:ptCount val="1"/>
                <c:pt idx="0">
                  <c:v>8.0300000000000011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B2-4502-8D48-675ABC14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12000"/>
        <c:axId val="301197296"/>
      </c:scatterChart>
      <c:catAx>
        <c:axId val="6238408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01796528"/>
        <c:crosses val="autoZero"/>
        <c:auto val="1"/>
        <c:lblAlgn val="ctr"/>
        <c:lblOffset val="100"/>
        <c:tickMarkSkip val="1"/>
        <c:noMultiLvlLbl val="0"/>
      </c:catAx>
      <c:valAx>
        <c:axId val="301796528"/>
        <c:scaling>
          <c:orientation val="minMax"/>
          <c:max val="8.5299999999999994"/>
          <c:min val="7.930000000000000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3840840"/>
        <c:crosses val="autoZero"/>
        <c:crossBetween val="between"/>
        <c:majorUnit val="0.1"/>
        <c:minorUnit val="5.000000000000001E-2"/>
      </c:valAx>
      <c:valAx>
        <c:axId val="3011972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2812000"/>
        <c:crosses val="max"/>
        <c:crossBetween val="midCat"/>
      </c:valAx>
      <c:valAx>
        <c:axId val="6228120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011972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165527875237259E-2"/>
          <c:y val="6.4829667744422337E-2"/>
          <c:w val="0.974839189146626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16-303-03 - T1'!$C$54:$AT$54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2-4AA3-87D6-0CB4FEF60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87016"/>
        <c:axId val="62363939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T1'!$G$7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2-4AA3-87D6-0CB4FEF60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638216"/>
        <c:axId val="623635080"/>
      </c:scatterChart>
      <c:catAx>
        <c:axId val="18038701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623639392"/>
        <c:crosses val="autoZero"/>
        <c:auto val="1"/>
        <c:lblAlgn val="ctr"/>
        <c:lblOffset val="100"/>
        <c:noMultiLvlLbl val="0"/>
      </c:catAx>
      <c:valAx>
        <c:axId val="623639392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80387016"/>
        <c:crosses val="autoZero"/>
        <c:crossBetween val="between"/>
        <c:majorUnit val="0.1"/>
        <c:minorUnit val="0.05"/>
      </c:valAx>
      <c:valAx>
        <c:axId val="62363508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3638216"/>
        <c:crosses val="max"/>
        <c:crossBetween val="midCat"/>
      </c:valAx>
      <c:valAx>
        <c:axId val="62363821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36350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79123856503461E-2"/>
          <c:y val="2.1701388888888888E-2"/>
          <c:w val="0.94787352821737469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16-303-03 - T2'!$B$53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16-303-03 - T2'!$C$9:$AT$9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cat>
          <c:val>
            <c:numRef>
              <c:f>'SJCPIL-R 16-303-03 - T2'!$C$53:$AT$53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9-46DF-BBF9-B468BF940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637040"/>
        <c:axId val="62363978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T2'!$E$4</c:f>
              <c:numCache>
                <c:formatCode>0.00</c:formatCode>
                <c:ptCount val="1"/>
                <c:pt idx="0">
                  <c:v>8.43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A9-46DF-BBF9-B468BF94019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16-303-03 - T2'!$G$4</c:f>
              <c:numCache>
                <c:formatCode>0.00</c:formatCode>
                <c:ptCount val="1"/>
                <c:pt idx="0">
                  <c:v>8.3800000000000008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A9-46DF-BBF9-B468BF940193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16-303-03 - T2'!$G$5</c:f>
              <c:numCache>
                <c:formatCode>0.00</c:formatCode>
                <c:ptCount val="1"/>
                <c:pt idx="0">
                  <c:v>8.23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A9-46DF-BBF9-B468BF940193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16-303-03 - T2'!$G$6</c:f>
              <c:numCache>
                <c:formatCode>0.00</c:formatCode>
                <c:ptCount val="1"/>
                <c:pt idx="0">
                  <c:v>8.08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A9-46DF-BBF9-B468BF940193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16-303-03 - T2'!$E$6</c:f>
              <c:numCache>
                <c:formatCode>0.00</c:formatCode>
                <c:ptCount val="1"/>
                <c:pt idx="0">
                  <c:v>8.0300000000000011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A9-46DF-BBF9-B468BF940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635472"/>
        <c:axId val="623640960"/>
      </c:scatterChart>
      <c:catAx>
        <c:axId val="6236370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623639784"/>
        <c:crosses val="autoZero"/>
        <c:auto val="1"/>
        <c:lblAlgn val="ctr"/>
        <c:lblOffset val="100"/>
        <c:tickMarkSkip val="1"/>
        <c:noMultiLvlLbl val="0"/>
      </c:catAx>
      <c:valAx>
        <c:axId val="623639784"/>
        <c:scaling>
          <c:orientation val="minMax"/>
          <c:max val="8.5299999999999994"/>
          <c:min val="7.930000000000000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3637040"/>
        <c:crosses val="autoZero"/>
        <c:crossBetween val="between"/>
        <c:majorUnit val="0.1"/>
        <c:minorUnit val="5.000000000000001E-2"/>
      </c:valAx>
      <c:valAx>
        <c:axId val="6236409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3635472"/>
        <c:crosses val="max"/>
        <c:crossBetween val="midCat"/>
      </c:valAx>
      <c:valAx>
        <c:axId val="62363547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36409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16-303-03 - T2'!$C$54:$AT$54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5-4840-A383-F49226059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640176"/>
        <c:axId val="623637824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T2'!$G$7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5-4840-A383-F49226059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640568"/>
        <c:axId val="623635864"/>
      </c:scatterChart>
      <c:catAx>
        <c:axId val="62364017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623637824"/>
        <c:crosses val="autoZero"/>
        <c:auto val="1"/>
        <c:lblAlgn val="ctr"/>
        <c:lblOffset val="100"/>
        <c:noMultiLvlLbl val="0"/>
      </c:catAx>
      <c:valAx>
        <c:axId val="623637824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3640176"/>
        <c:crosses val="autoZero"/>
        <c:crossBetween val="between"/>
        <c:majorUnit val="0.1"/>
        <c:minorUnit val="0.05"/>
      </c:valAx>
      <c:valAx>
        <c:axId val="62363586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3640568"/>
        <c:crosses val="max"/>
        <c:crossBetween val="midCat"/>
      </c:valAx>
      <c:valAx>
        <c:axId val="6236405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363586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12698350879836E-2"/>
          <c:y val="2.1701349831271092E-2"/>
          <c:w val="0.94540971534764817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16-304-03'!$B$53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16-304-03'!$C$9:$AT$9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cat>
          <c:val>
            <c:numRef>
              <c:f>'SJCPIL-R 16-304-03'!$C$53:$AT$53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B-4188-AB0B-D34BD86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641744"/>
        <c:axId val="6236386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16-304-03'!$E$4</c:f>
              <c:numCache>
                <c:formatCode>0.00</c:formatCode>
                <c:ptCount val="1"/>
                <c:pt idx="0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CB-4188-AB0B-D34BD86116D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16-304-03'!$G$4</c:f>
              <c:numCache>
                <c:formatCode>0.00</c:formatCode>
                <c:ptCount val="1"/>
                <c:pt idx="0">
                  <c:v>40.799999999999997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CB-4188-AB0B-D34BD86116D8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16-304-03'!$G$5</c:f>
              <c:numCache>
                <c:formatCode>0.00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CB-4188-AB0B-D34BD86116D8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16-304-03'!$G$6</c:f>
              <c:numCache>
                <c:formatCode>0.00</c:formatCode>
                <c:ptCount val="1"/>
                <c:pt idx="0">
                  <c:v>39.200000000000003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CB-4188-AB0B-D34BD86116D8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16-304-03'!$E$6</c:f>
              <c:numCache>
                <c:formatCode>0.00</c:formatCode>
                <c:ptCount val="1"/>
                <c:pt idx="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CB-4188-AB0B-D34BD86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634688"/>
        <c:axId val="623634296"/>
      </c:scatterChart>
      <c:catAx>
        <c:axId val="6236417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623638608"/>
        <c:crosses val="autoZero"/>
        <c:auto val="1"/>
        <c:lblAlgn val="ctr"/>
        <c:lblOffset val="100"/>
        <c:tickMarkSkip val="1"/>
        <c:noMultiLvlLbl val="0"/>
      </c:catAx>
      <c:valAx>
        <c:axId val="623638608"/>
        <c:scaling>
          <c:orientation val="minMax"/>
          <c:min val="38.7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3641744"/>
        <c:crosses val="autoZero"/>
        <c:crossBetween val="between"/>
        <c:majorUnit val="0.2"/>
        <c:minorUnit val="0.1"/>
      </c:valAx>
      <c:valAx>
        <c:axId val="6236342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3634688"/>
        <c:crosses val="max"/>
        <c:crossBetween val="midCat"/>
      </c:valAx>
      <c:valAx>
        <c:axId val="62363468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36342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433356655060374E-2"/>
          <c:y val="4.0373151238199408E-2"/>
          <c:w val="0.9742052747567153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16-304-03'!$C$54:$AT$54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3-41AF-8D25-62FBC2E6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636648"/>
        <c:axId val="624241424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16-304-03'!$G$7</c:f>
              <c:numCache>
                <c:formatCode>0.00</c:formatCode>
                <c:ptCount val="1"/>
                <c:pt idx="0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B3-41AF-8D25-62FBC2E6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241816"/>
        <c:axId val="624242208"/>
      </c:scatterChart>
      <c:catAx>
        <c:axId val="62363664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624241424"/>
        <c:crosses val="autoZero"/>
        <c:auto val="1"/>
        <c:lblAlgn val="ctr"/>
        <c:lblOffset val="100"/>
        <c:noMultiLvlLbl val="0"/>
      </c:catAx>
      <c:valAx>
        <c:axId val="624241424"/>
        <c:scaling>
          <c:orientation val="minMax"/>
          <c:max val="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3636648"/>
        <c:crosses val="autoZero"/>
        <c:crossBetween val="between"/>
        <c:majorUnit val="1"/>
        <c:minorUnit val="0.2"/>
      </c:valAx>
      <c:valAx>
        <c:axId val="62424220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4241816"/>
        <c:crosses val="max"/>
        <c:crossBetween val="midCat"/>
      </c:valAx>
      <c:valAx>
        <c:axId val="62424181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42422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796883677136861E-2"/>
          <c:y val="2.5173611111111112E-2"/>
          <c:w val="0.94896770287450127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16-308-02'!$B$53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16-308-02'!$C$9:$AT$9</c:f>
              <c:numCache>
                <c:formatCode>General</c:formatCode>
                <c:ptCount val="44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cat>
          <c:val>
            <c:numRef>
              <c:f>'SJCPIL-R 16-308-02'!$C$53:$AT$53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E8-A99A-488AFB792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238680"/>
        <c:axId val="624240640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16-308-02'!$E$4</c:f>
              <c:numCache>
                <c:formatCode>0.00</c:formatCode>
                <c:ptCount val="1"/>
                <c:pt idx="0">
                  <c:v>47.7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AD-4DE8-A99A-488AFB7924A1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16-308-02'!$G$4</c:f>
              <c:numCache>
                <c:formatCode>0.00</c:formatCode>
                <c:ptCount val="1"/>
                <c:pt idx="0">
                  <c:v>47.65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AD-4DE8-A99A-488AFB7924A1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16-308-02'!$G$5</c:f>
              <c:numCache>
                <c:formatCode>0.00</c:formatCode>
                <c:ptCount val="1"/>
                <c:pt idx="0">
                  <c:v>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AD-4DE8-A99A-488AFB7924A1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16-308-02'!$G$6</c:f>
              <c:numCache>
                <c:formatCode>0.00</c:formatCode>
                <c:ptCount val="1"/>
                <c:pt idx="0">
                  <c:v>47.550000000000004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AD-4DE8-A99A-488AFB7924A1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16-308-02'!$E$6</c:f>
              <c:numCache>
                <c:formatCode>0.00</c:formatCode>
                <c:ptCount val="1"/>
                <c:pt idx="0">
                  <c:v>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AD-4DE8-A99A-488AFB792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239464"/>
        <c:axId val="624239072"/>
      </c:scatterChart>
      <c:catAx>
        <c:axId val="6242386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624240640"/>
        <c:crosses val="autoZero"/>
        <c:auto val="1"/>
        <c:lblAlgn val="ctr"/>
        <c:lblOffset val="100"/>
        <c:tickMarkSkip val="1"/>
        <c:noMultiLvlLbl val="0"/>
      </c:catAx>
      <c:valAx>
        <c:axId val="624240640"/>
        <c:scaling>
          <c:orientation val="minMax"/>
          <c:min val="47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4238680"/>
        <c:crosses val="autoZero"/>
        <c:crossBetween val="between"/>
        <c:majorUnit val="0.1"/>
        <c:minorUnit val="1.0000000000000002E-2"/>
      </c:valAx>
      <c:valAx>
        <c:axId val="62423907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4239464"/>
        <c:crosses val="max"/>
        <c:crossBetween val="midCat"/>
      </c:valAx>
      <c:valAx>
        <c:axId val="62423946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423907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587380872208386E-2"/>
          <c:y val="5.6677290338707664E-2"/>
          <c:w val="0.97667229064464356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16-308-02'!$C$54:$AT$54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2A-4F5C-B63E-9F6A8216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240248"/>
        <c:axId val="62461244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16-308-02'!$G$7</c:f>
              <c:numCache>
                <c:formatCode>0.00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2A-4F5C-B63E-9F6A8216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618720"/>
        <c:axId val="624614016"/>
      </c:scatterChart>
      <c:catAx>
        <c:axId val="62424024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624612448"/>
        <c:crosses val="autoZero"/>
        <c:auto val="1"/>
        <c:lblAlgn val="ctr"/>
        <c:lblOffset val="100"/>
        <c:noMultiLvlLbl val="0"/>
      </c:catAx>
      <c:valAx>
        <c:axId val="624612448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24240248"/>
        <c:crosses val="autoZero"/>
        <c:crossBetween val="between"/>
        <c:majorUnit val="0.1"/>
        <c:minorUnit val="2.0000000000000004E-2"/>
      </c:valAx>
      <c:valAx>
        <c:axId val="62461401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624618720"/>
        <c:crosses val="max"/>
        <c:crossBetween val="midCat"/>
      </c:valAx>
      <c:valAx>
        <c:axId val="62461872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62461401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D2F388-5B44-47B4-8221-6B5A8DA6DC2B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6178EA5-7A53-4E55-AB6F-973BDFB12A92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FD0D0B83-E88B-4137-BC79-8359653FBC37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AEDC7AB9-7648-432A-9E26-52E3144AD0F7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8039E72B-E7CB-4FEC-90FE-C17A1C6714C2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38</xdr:col>
      <xdr:colOff>0</xdr:colOff>
      <xdr:row>1</xdr:row>
      <xdr:rowOff>9525</xdr:rowOff>
    </xdr:from>
    <xdr:to>
      <xdr:col>38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F56F348-030D-41F0-A6CC-D86E6E678356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1EAF36A0-4957-40B5-8287-E0D9D1822B10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41984899-17C8-432F-84BF-16DEE1B39DD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8E4E9117-BD6A-4A9A-B13A-31E76603C889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7682458B-3E9A-42FC-BAAA-F8877AA0B17D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5F839345-4B62-43BD-8539-DB7C37D4AA4B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CB53D074-DEDA-4983-97FB-FDA3788DF260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46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A6934D8-E673-464A-9ACB-3ECDAF893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524C7B1-596B-4EF2-8FEE-16EB165C8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EE77CBD5-B14E-417B-BEA7-C064A059D7A4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A87669F6-5221-42B6-9F01-8B8C49956374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9F4A3FD-9D5C-48A5-9395-CBD191E34756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D0CF0660-BF14-40CF-A200-37A0BEC15F72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6C340F06-C1F0-411C-AC08-72D4FDEC7E78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5E150D1-10F7-4DEA-BD07-8C6D63C0D01D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D461FA8-2AD3-4830-84B5-316D7B3BE2EE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1BD81BD5-6875-4CE9-AE67-378717EA21F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23DA7E18-3365-4D54-BAE1-270AEF8465BC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61C25EA-AC67-46EB-9A11-70492D148342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38</xdr:col>
      <xdr:colOff>0</xdr:colOff>
      <xdr:row>1</xdr:row>
      <xdr:rowOff>9525</xdr:rowOff>
    </xdr:from>
    <xdr:to>
      <xdr:col>38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4A15B70A-74CC-4D24-9211-409AB1A6CEB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B4649A26-A865-4A26-A615-0B348A870F30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A4DB9587-4818-47E2-98C2-A6E92D68B3D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62CCBEC9-CC5C-490C-9674-8A9C0A910917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9D2311FC-066C-466B-BD0E-14231D273FC0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101241ED-B8DE-4799-8973-166D2C26CD9A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67CA42AC-2374-407B-927D-249B02A3B034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46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D896BCD-6EEA-42F8-9FA5-CF29EBA72A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4025A10-612A-419E-BB31-6B6A0BBC5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B63F6FF-1695-4368-99C1-03DADCD84FDA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756E73F6-C1A8-484B-B270-3EED4965C689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769C0433-4F97-4DF2-AAC8-F9A35D6F738D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CE31EE44-D4D7-494F-B7F8-501B2328C9E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8C7C03DE-322D-49AA-9484-06984DB22CBE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01BB0BD-A016-497A-90FC-404C831DF490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5DF6D3F-FCCC-4C2C-A154-6980C577F19F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8183B0E0-7A01-44DA-9068-34506B18564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C9007777-61CD-4F83-9676-50697F2CB8F0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05D1D84-ED68-4467-8334-7091D00B402D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38</xdr:col>
      <xdr:colOff>0</xdr:colOff>
      <xdr:row>1</xdr:row>
      <xdr:rowOff>9525</xdr:rowOff>
    </xdr:from>
    <xdr:to>
      <xdr:col>38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D643AD86-FE3A-4FA7-90D3-5EBE58664C10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F27AA7F6-A58A-4877-9965-31FDBCDB6231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E56F90F6-337E-4C87-8A4D-EA41FD54E91A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1F4F42BC-4B9D-42B3-B5E3-081963B8C8EF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E521C4FD-ECF3-4941-B54E-EFDFDC4E3F85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89E23007-9BA4-4C15-A6A0-B0229328852E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19C32A4B-9994-44D5-A585-EEE47BA23E25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46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20ACD12-8AEC-49BF-9BDE-0531B597F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6A4EE86-243F-4E51-90EB-1C7D2024E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7EF2A294-660B-414D-97AA-5C964CB15891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FC9C9291-A51A-41C7-B1C0-E87400D4102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5F67344-6711-4576-B4B6-DA771E1FA612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8B4B827C-4573-4294-A5F0-D0298379C32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A5850663-F192-46B4-9A54-8DBD8A80CA81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494A4B2F-7610-4A2D-B6B0-9ABAB3637A7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F9E90FC-CF3F-4066-938F-771CAC31EF9A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EE203BF-851C-4809-A98E-63D47E7AEE4E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F2740ECE-CE86-4AE5-8AC7-5913D084FED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BBAD9999-F1CA-4DC1-8E4F-E7EB4487E8F0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95DD62F7-F61E-46FD-B0DC-9D6618247D25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38</xdr:col>
      <xdr:colOff>0</xdr:colOff>
      <xdr:row>1</xdr:row>
      <xdr:rowOff>9525</xdr:rowOff>
    </xdr:from>
    <xdr:to>
      <xdr:col>38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40300DEB-4B56-4A31-91FD-FA34D203CEE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C38CD002-BD76-4767-A2F4-B16C5B018396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F6FB88F0-13EC-4EC9-8DE3-4DC70148B62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4588F58E-B503-46DE-8521-3F15AE307CBD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2DEF62E1-40A7-44B5-84FB-D25DB79DE050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48D382F8-62D1-4A7B-A951-BBC6CFABBCDB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75852855-F261-428C-9A20-DC7B8E58888E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46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83E8433-2F41-4CE4-AD46-5586AC623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00E7874-3A26-4357-AF55-532F89EDE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B0C0638-BEBE-4E05-A063-8F8BDB066FF4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C609803D-85B5-4957-8982-0CF41242DFE8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1400AC4-A3A0-4E79-9F66-4C5FC9FE6A84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97EB60E4-18CB-4669-8ABE-58A9507F1BF2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77B8B9E1-58FF-4B5E-A376-6BE627D70CE7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1FD3FC91-E5B5-45E9-9EDB-9AFB76E8B9C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2" name="Line 18">
          <a:extLst>
            <a:ext uri="{FF2B5EF4-FFF2-40B4-BE49-F238E27FC236}">
              <a16:creationId xmlns:a16="http://schemas.microsoft.com/office/drawing/2014/main" id="{ADAEFA84-2F88-453F-BE03-266C9473F068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3" name="Line 18">
          <a:extLst>
            <a:ext uri="{FF2B5EF4-FFF2-40B4-BE49-F238E27FC236}">
              <a16:creationId xmlns:a16="http://schemas.microsoft.com/office/drawing/2014/main" id="{8D7FE894-0CE2-475E-9F48-8A33AF84669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4" name="Line 18">
          <a:extLst>
            <a:ext uri="{FF2B5EF4-FFF2-40B4-BE49-F238E27FC236}">
              <a16:creationId xmlns:a16="http://schemas.microsoft.com/office/drawing/2014/main" id="{4AD724C1-E858-4165-A7A6-ED67C136CF3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5" name="Line 18">
          <a:extLst>
            <a:ext uri="{FF2B5EF4-FFF2-40B4-BE49-F238E27FC236}">
              <a16:creationId xmlns:a16="http://schemas.microsoft.com/office/drawing/2014/main" id="{AB84ECDD-CBDC-4522-813C-1E4B4B6B0A29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5">
    <tabColor indexed="47"/>
  </sheetPr>
  <dimension ref="B2:D16"/>
  <sheetViews>
    <sheetView zoomScaleNormal="100" workbookViewId="0">
      <selection activeCell="D13" sqref="D13"/>
    </sheetView>
  </sheetViews>
  <sheetFormatPr defaultRowHeight="12.75"/>
  <cols>
    <col min="1" max="3" width="9.140625" style="113"/>
    <col min="4" max="4" width="27.28515625" style="113" customWidth="1"/>
    <col min="5" max="16384" width="9.140625" style="113"/>
  </cols>
  <sheetData>
    <row r="2" spans="2:4" ht="25.5">
      <c r="B2" s="112" t="s">
        <v>53</v>
      </c>
    </row>
    <row r="4" spans="2:4">
      <c r="B4" s="117" t="s">
        <v>54</v>
      </c>
      <c r="C4" s="117"/>
      <c r="D4" s="114"/>
    </row>
    <row r="10" spans="2:4">
      <c r="C10" s="115" t="s">
        <v>41</v>
      </c>
      <c r="D10" s="114" t="s">
        <v>55</v>
      </c>
    </row>
    <row r="11" spans="2:4">
      <c r="D11" s="114" t="s">
        <v>56</v>
      </c>
    </row>
    <row r="12" spans="2:4">
      <c r="D12" s="114"/>
    </row>
    <row r="13" spans="2:4">
      <c r="D13" s="114"/>
    </row>
    <row r="14" spans="2:4">
      <c r="D14" s="114"/>
    </row>
    <row r="15" spans="2:4">
      <c r="D15" s="114"/>
    </row>
    <row r="16" spans="2:4">
      <c r="D16" s="114"/>
    </row>
  </sheetData>
  <sheetProtection algorithmName="SHA-512" hashValue="F8k55N74FaJg0I8jhRw+zLXnykp8zQ2eIFt5w9gP0BCaPXfIZ+Vehvn2HcJpOEOXMxLwi6If7UYddkHpVkM9Tw==" saltValue="eiCVvZJqToOa6zbzEALhkw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B1:BP75"/>
  <sheetViews>
    <sheetView showZeros="0" topLeftCell="A2" zoomScaleNormal="100" workbookViewId="0">
      <selection activeCell="C50" sqref="C50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46" width="6.7109375" style="13" customWidth="1"/>
    <col min="47" max="47" width="3.140625" style="13" customWidth="1"/>
    <col min="48" max="68" width="6.7109375" style="13" customWidth="1"/>
    <col min="69" max="16384" width="10.28515625" style="13"/>
  </cols>
  <sheetData>
    <row r="1" spans="2:63" ht="21.75" thickBot="1">
      <c r="B1" s="99" t="s">
        <v>48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7"/>
      <c r="BK1" s="14"/>
    </row>
    <row r="2" spans="2:63" s="15" customFormat="1" ht="19.5" customHeight="1">
      <c r="B2" s="103" t="s">
        <v>49</v>
      </c>
      <c r="C2" s="104"/>
      <c r="D2" s="105"/>
      <c r="E2" s="105"/>
      <c r="F2" s="106"/>
      <c r="G2" s="106"/>
      <c r="H2" s="107"/>
      <c r="I2" s="119" t="s">
        <v>26</v>
      </c>
      <c r="J2" s="120"/>
      <c r="K2" s="123" t="s">
        <v>43</v>
      </c>
      <c r="L2" s="124"/>
      <c r="M2" s="127" t="s">
        <v>0</v>
      </c>
      <c r="N2" s="128"/>
      <c r="O2" s="128"/>
      <c r="P2" s="128"/>
      <c r="Q2" s="129"/>
      <c r="R2" s="133" t="s">
        <v>25</v>
      </c>
      <c r="S2" s="134"/>
      <c r="T2" s="135"/>
      <c r="U2" s="16" t="s">
        <v>44</v>
      </c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7"/>
      <c r="AJ2" s="17"/>
      <c r="AK2" s="17"/>
      <c r="AL2" s="17"/>
      <c r="AM2" s="18"/>
      <c r="AN2" s="18"/>
      <c r="AO2" s="18"/>
      <c r="AP2" s="18"/>
      <c r="AQ2" s="18"/>
      <c r="AR2" s="19"/>
      <c r="AS2" s="19"/>
      <c r="AT2" s="20"/>
    </row>
    <row r="3" spans="2:63" ht="16.899999999999999" customHeight="1" thickBot="1">
      <c r="B3" s="82"/>
      <c r="I3" s="121"/>
      <c r="J3" s="122"/>
      <c r="K3" s="125"/>
      <c r="L3" s="126"/>
      <c r="M3" s="130"/>
      <c r="N3" s="131"/>
      <c r="O3" s="131"/>
      <c r="P3" s="131"/>
      <c r="Q3" s="132"/>
      <c r="R3" s="136" t="s">
        <v>24</v>
      </c>
      <c r="S3" s="137"/>
      <c r="T3" s="138"/>
      <c r="U3" s="21" t="s">
        <v>36</v>
      </c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2"/>
      <c r="AJ3" s="22"/>
      <c r="AK3" s="22"/>
      <c r="AL3" s="22"/>
      <c r="AM3" s="22"/>
      <c r="AN3" s="22"/>
      <c r="AO3" s="22"/>
      <c r="AP3" s="22"/>
      <c r="AQ3" s="22"/>
      <c r="AR3" s="23"/>
      <c r="AS3" s="23"/>
      <c r="AT3" s="24"/>
    </row>
    <row r="4" spans="2:63" s="32" customFormat="1" ht="16.899999999999999" customHeight="1">
      <c r="B4" s="83" t="s">
        <v>13</v>
      </c>
      <c r="C4" s="25"/>
      <c r="D4" s="26" t="s">
        <v>1</v>
      </c>
      <c r="E4" s="27">
        <f>E5+E7/2</f>
        <v>8.43</v>
      </c>
      <c r="F4" s="28" t="s">
        <v>34</v>
      </c>
      <c r="G4" s="29">
        <f>G5+G7/2</f>
        <v>8.3800000000000008</v>
      </c>
      <c r="H4" s="30"/>
      <c r="I4" s="31"/>
      <c r="AM4" s="144" t="str">
        <f ca="1">"MÊS: "&amp;RIGHT(LEFT(CELL("filename"),SEARCH(".xl",CELL("Filename"))-1),2)</f>
        <v>MÊS: 03</v>
      </c>
      <c r="AN4" s="139"/>
      <c r="AO4" s="139"/>
      <c r="AP4" s="139"/>
      <c r="AQ4" s="139" t="str">
        <f ca="1">"ANO: 20"&amp;MID(CELL("nome.arquivo"),SEARCH(".xl",CELL("nome.arquivo"))-4,2)</f>
        <v>ANO: 2022</v>
      </c>
      <c r="AR4" s="139"/>
      <c r="AS4" s="139"/>
      <c r="AT4" s="140"/>
    </row>
    <row r="5" spans="2:63" s="32" customFormat="1" ht="16.899999999999999" customHeight="1" thickBot="1">
      <c r="B5" s="84" t="s">
        <v>50</v>
      </c>
      <c r="C5" s="33" t="s">
        <v>2</v>
      </c>
      <c r="D5" s="34" t="s">
        <v>3</v>
      </c>
      <c r="E5" s="35">
        <v>8.23</v>
      </c>
      <c r="F5" s="36" t="s">
        <v>3</v>
      </c>
      <c r="G5" s="37">
        <f>E5</f>
        <v>8.23</v>
      </c>
      <c r="H5" s="30"/>
      <c r="I5" s="32" t="s">
        <v>31</v>
      </c>
      <c r="R5" s="32" t="s">
        <v>4</v>
      </c>
      <c r="AM5" s="145"/>
      <c r="AN5" s="141"/>
      <c r="AO5" s="141"/>
      <c r="AP5" s="141"/>
      <c r="AQ5" s="141"/>
      <c r="AR5" s="141"/>
      <c r="AS5" s="141"/>
      <c r="AT5" s="142"/>
    </row>
    <row r="6" spans="2:63" s="32" customFormat="1" ht="16.899999999999999" customHeight="1">
      <c r="B6" s="85" t="s">
        <v>14</v>
      </c>
      <c r="C6" s="38"/>
      <c r="D6" s="34" t="s">
        <v>5</v>
      </c>
      <c r="E6" s="35">
        <f>E5-E7/2</f>
        <v>8.0300000000000011</v>
      </c>
      <c r="F6" s="36" t="s">
        <v>35</v>
      </c>
      <c r="G6" s="37">
        <f>G5-G7/2</f>
        <v>8.08</v>
      </c>
      <c r="H6" s="30"/>
      <c r="I6" s="32" t="s">
        <v>6</v>
      </c>
      <c r="R6" s="32" t="s">
        <v>7</v>
      </c>
      <c r="AP6" s="86"/>
      <c r="AQ6" s="86"/>
      <c r="AT6" s="87"/>
    </row>
    <row r="7" spans="2:63" s="32" customFormat="1" ht="16.899999999999999" customHeight="1" thickBot="1">
      <c r="B7" s="88"/>
      <c r="C7" s="89" t="s">
        <v>8</v>
      </c>
      <c r="D7" s="90" t="s">
        <v>1</v>
      </c>
      <c r="E7" s="91">
        <v>0.4</v>
      </c>
      <c r="F7" s="39" t="s">
        <v>34</v>
      </c>
      <c r="G7" s="40">
        <v>0.3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4"/>
      <c r="AQ7" s="94"/>
      <c r="AR7" s="93"/>
      <c r="AS7" s="93"/>
      <c r="AT7" s="95"/>
    </row>
    <row r="8" spans="2:63" s="32" customFormat="1" ht="4.5" customHeight="1" thickBot="1"/>
    <row r="9" spans="2:63" s="42" customFormat="1">
      <c r="B9" s="41" t="s">
        <v>10</v>
      </c>
      <c r="C9" s="74">
        <v>1</v>
      </c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4">
        <v>31</v>
      </c>
      <c r="AH9" s="74">
        <v>32</v>
      </c>
      <c r="AI9" s="74">
        <v>33</v>
      </c>
      <c r="AJ9" s="74">
        <v>34</v>
      </c>
      <c r="AK9" s="74">
        <v>35</v>
      </c>
      <c r="AL9" s="74">
        <v>36</v>
      </c>
      <c r="AM9" s="74">
        <v>37</v>
      </c>
      <c r="AN9" s="74">
        <v>38</v>
      </c>
      <c r="AO9" s="74">
        <v>39</v>
      </c>
      <c r="AP9" s="74">
        <v>40</v>
      </c>
      <c r="AQ9" s="74">
        <v>41</v>
      </c>
      <c r="AR9" s="74">
        <v>42</v>
      </c>
      <c r="AS9" s="74">
        <v>43</v>
      </c>
      <c r="AT9" s="75">
        <v>44</v>
      </c>
    </row>
    <row r="10" spans="2:63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0"/>
    </row>
    <row r="11" spans="2:63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10"/>
    </row>
    <row r="12" spans="2:63" s="42" customFormat="1" ht="12" customHeight="1">
      <c r="B12" s="45"/>
      <c r="AT12" s="46"/>
    </row>
    <row r="13" spans="2:63" s="42" customFormat="1" ht="12" customHeight="1">
      <c r="B13" s="143"/>
      <c r="AT13" s="46"/>
    </row>
    <row r="14" spans="2:63" s="42" customFormat="1" ht="12" customHeight="1">
      <c r="B14" s="143"/>
      <c r="AT14" s="46"/>
    </row>
    <row r="15" spans="2:63" s="42" customFormat="1" ht="12" customHeight="1">
      <c r="B15" s="118"/>
      <c r="AT15" s="46"/>
    </row>
    <row r="16" spans="2:63" s="42" customFormat="1" ht="12" customHeight="1">
      <c r="B16" s="118"/>
      <c r="AT16" s="46"/>
    </row>
    <row r="17" spans="2:46" s="42" customFormat="1" ht="12" customHeight="1">
      <c r="B17" s="118"/>
      <c r="AT17" s="46"/>
    </row>
    <row r="18" spans="2:46" s="42" customFormat="1" ht="12" customHeight="1">
      <c r="B18" s="118"/>
      <c r="AT18" s="46"/>
    </row>
    <row r="19" spans="2:46" s="42" customFormat="1" ht="12" customHeight="1">
      <c r="B19" s="118"/>
      <c r="AT19" s="46"/>
    </row>
    <row r="20" spans="2:46" s="42" customFormat="1" ht="12" customHeight="1">
      <c r="B20" s="118"/>
      <c r="AT20" s="46"/>
    </row>
    <row r="21" spans="2:46" s="42" customFormat="1" ht="12" customHeight="1">
      <c r="B21" s="118"/>
      <c r="AT21" s="46"/>
    </row>
    <row r="22" spans="2:46" s="42" customFormat="1" ht="12" customHeight="1">
      <c r="B22" s="118"/>
      <c r="AT22" s="46"/>
    </row>
    <row r="23" spans="2:46" s="42" customFormat="1" ht="12" customHeight="1">
      <c r="B23" s="143"/>
      <c r="AT23" s="46"/>
    </row>
    <row r="24" spans="2:46" s="42" customFormat="1" ht="12" customHeight="1">
      <c r="B24" s="143"/>
      <c r="AT24" s="46"/>
    </row>
    <row r="25" spans="2:46" s="42" customFormat="1" ht="12" customHeight="1">
      <c r="B25" s="118"/>
      <c r="AT25" s="46"/>
    </row>
    <row r="26" spans="2:46" s="42" customFormat="1" ht="12" customHeight="1">
      <c r="B26" s="118"/>
      <c r="AT26" s="46"/>
    </row>
    <row r="27" spans="2:46" s="42" customFormat="1" ht="12" customHeight="1">
      <c r="B27" s="118"/>
      <c r="AT27" s="46"/>
    </row>
    <row r="28" spans="2:46" s="42" customFormat="1" ht="12" customHeight="1">
      <c r="B28" s="118"/>
      <c r="AT28" s="46"/>
    </row>
    <row r="29" spans="2:46" s="42" customFormat="1" ht="12" customHeight="1">
      <c r="B29" s="118"/>
      <c r="AT29" s="46"/>
    </row>
    <row r="30" spans="2:46" s="42" customFormat="1" ht="12" customHeight="1">
      <c r="B30" s="118"/>
      <c r="AT30" s="46"/>
    </row>
    <row r="31" spans="2:46" s="42" customFormat="1" ht="12" customHeight="1">
      <c r="B31" s="118"/>
      <c r="AT31" s="46"/>
    </row>
    <row r="32" spans="2:46" s="42" customFormat="1" ht="12" customHeight="1">
      <c r="B32" s="118"/>
      <c r="AT32" s="46"/>
    </row>
    <row r="33" spans="2:46" s="42" customFormat="1" ht="12" customHeight="1">
      <c r="B33" s="143"/>
      <c r="AT33" s="46"/>
    </row>
    <row r="34" spans="2:46" s="42" customFormat="1" ht="12" customHeight="1">
      <c r="B34" s="143"/>
      <c r="AT34" s="46"/>
    </row>
    <row r="35" spans="2:46" s="42" customFormat="1" ht="12" customHeight="1" thickBot="1">
      <c r="B35" s="48"/>
      <c r="AT35" s="46"/>
    </row>
    <row r="36" spans="2:46" s="42" customFormat="1" ht="12" customHeight="1">
      <c r="B36" s="1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50"/>
    </row>
    <row r="37" spans="2:46" s="42" customFormat="1" ht="12" customHeight="1">
      <c r="B37" s="143"/>
      <c r="AT37" s="46"/>
    </row>
    <row r="38" spans="2:46" s="42" customFormat="1" ht="12" customHeight="1">
      <c r="B38" s="47"/>
      <c r="AT38" s="46"/>
    </row>
    <row r="39" spans="2:46" s="42" customFormat="1" ht="12" customHeight="1">
      <c r="B39" s="47"/>
      <c r="AT39" s="46"/>
    </row>
    <row r="40" spans="2:46" s="42" customFormat="1" ht="12" customHeight="1">
      <c r="B40" s="47"/>
      <c r="AT40" s="46"/>
    </row>
    <row r="41" spans="2:46" s="42" customFormat="1" ht="12" customHeight="1">
      <c r="B41" s="143"/>
      <c r="AT41" s="46"/>
    </row>
    <row r="42" spans="2:46" s="42" customFormat="1" ht="12" customHeight="1">
      <c r="B42" s="143"/>
      <c r="AT42" s="46"/>
    </row>
    <row r="43" spans="2:46" s="42" customFormat="1" ht="12" customHeight="1">
      <c r="B43" s="47"/>
      <c r="AT43" s="46"/>
    </row>
    <row r="44" spans="2:46" s="42" customFormat="1" ht="12" customHeight="1">
      <c r="B44" s="47"/>
      <c r="AT44" s="46"/>
    </row>
    <row r="45" spans="2:46" s="42" customFormat="1" ht="12" customHeight="1">
      <c r="B45" s="47"/>
      <c r="AT45" s="46"/>
    </row>
    <row r="46" spans="2:46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3"/>
    </row>
    <row r="47" spans="2:46" s="42" customFormat="1" ht="6" customHeight="1">
      <c r="B47" s="54"/>
      <c r="AT47" s="46"/>
    </row>
    <row r="48" spans="2:46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11"/>
    </row>
    <row r="49" spans="2:68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12"/>
    </row>
    <row r="50" spans="2:68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12"/>
    </row>
    <row r="51" spans="2:68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12"/>
    </row>
    <row r="52" spans="2:68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12"/>
    </row>
    <row r="53" spans="2:68" s="56" customFormat="1" ht="15" customHeight="1">
      <c r="B53" s="61" t="s">
        <v>15</v>
      </c>
      <c r="C53" s="58" t="str">
        <f t="shared" ref="C53:AT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ref="V53:AH53" si="1">IF(ISERR(AVERAGE(V48:V52))," ",AVERAGE(V48:V52))</f>
        <v xml:space="preserve"> </v>
      </c>
      <c r="W53" s="59" t="str">
        <f t="shared" si="1"/>
        <v xml:space="preserve"> </v>
      </c>
      <c r="X53" s="59" t="str">
        <f t="shared" si="1"/>
        <v xml:space="preserve"> </v>
      </c>
      <c r="Y53" s="59" t="str">
        <f t="shared" si="1"/>
        <v xml:space="preserve"> </v>
      </c>
      <c r="Z53" s="59" t="str">
        <f t="shared" si="1"/>
        <v xml:space="preserve"> </v>
      </c>
      <c r="AA53" s="59" t="str">
        <f t="shared" si="1"/>
        <v xml:space="preserve"> </v>
      </c>
      <c r="AB53" s="59" t="str">
        <f t="shared" si="1"/>
        <v xml:space="preserve"> </v>
      </c>
      <c r="AC53" s="59" t="str">
        <f t="shared" si="1"/>
        <v xml:space="preserve"> </v>
      </c>
      <c r="AD53" s="59" t="str">
        <f t="shared" si="1"/>
        <v xml:space="preserve"> </v>
      </c>
      <c r="AE53" s="59" t="str">
        <f t="shared" si="1"/>
        <v xml:space="preserve"> </v>
      </c>
      <c r="AF53" s="59" t="str">
        <f t="shared" si="1"/>
        <v xml:space="preserve"> </v>
      </c>
      <c r="AG53" s="59" t="str">
        <f t="shared" si="1"/>
        <v xml:space="preserve"> </v>
      </c>
      <c r="AH53" s="59" t="str">
        <f t="shared" si="1"/>
        <v xml:space="preserve"> </v>
      </c>
      <c r="AI53" s="59" t="str">
        <f t="shared" si="0"/>
        <v xml:space="preserve"> </v>
      </c>
      <c r="AJ53" s="59" t="str">
        <f t="shared" si="0"/>
        <v xml:space="preserve"> </v>
      </c>
      <c r="AK53" s="59" t="str">
        <f t="shared" si="0"/>
        <v xml:space="preserve"> </v>
      </c>
      <c r="AL53" s="59" t="str">
        <f t="shared" si="0"/>
        <v xml:space="preserve"> </v>
      </c>
      <c r="AM53" s="59" t="str">
        <f t="shared" si="0"/>
        <v xml:space="preserve"> </v>
      </c>
      <c r="AN53" s="59" t="str">
        <f t="shared" si="0"/>
        <v xml:space="preserve"> </v>
      </c>
      <c r="AO53" s="59" t="str">
        <f t="shared" si="0"/>
        <v xml:space="preserve"> </v>
      </c>
      <c r="AP53" s="59" t="str">
        <f t="shared" si="0"/>
        <v xml:space="preserve"> </v>
      </c>
      <c r="AQ53" s="59" t="str">
        <f t="shared" si="0"/>
        <v xml:space="preserve"> </v>
      </c>
      <c r="AR53" s="59" t="str">
        <f t="shared" si="0"/>
        <v xml:space="preserve"> </v>
      </c>
      <c r="AS53" s="59" t="str">
        <f t="shared" si="0"/>
        <v xml:space="preserve"> </v>
      </c>
      <c r="AT53" s="60" t="str">
        <f t="shared" si="0"/>
        <v xml:space="preserve"> </v>
      </c>
    </row>
    <row r="54" spans="2:68" s="56" customFormat="1" ht="15" customHeight="1">
      <c r="B54" s="61" t="s">
        <v>8</v>
      </c>
      <c r="C54" s="62">
        <f t="shared" ref="C54:AT54" si="2">MAX(C48:C52)-MIN(C48:C52)</f>
        <v>0</v>
      </c>
      <c r="D54" s="63">
        <f t="shared" si="2"/>
        <v>0</v>
      </c>
      <c r="E54" s="63">
        <f t="shared" si="2"/>
        <v>0</v>
      </c>
      <c r="F54" s="63">
        <f t="shared" si="2"/>
        <v>0</v>
      </c>
      <c r="G54" s="63">
        <f t="shared" si="2"/>
        <v>0</v>
      </c>
      <c r="H54" s="63">
        <f t="shared" si="2"/>
        <v>0</v>
      </c>
      <c r="I54" s="63">
        <f t="shared" si="2"/>
        <v>0</v>
      </c>
      <c r="J54" s="63">
        <f t="shared" si="2"/>
        <v>0</v>
      </c>
      <c r="K54" s="63">
        <f t="shared" si="2"/>
        <v>0</v>
      </c>
      <c r="L54" s="63">
        <f t="shared" si="2"/>
        <v>0</v>
      </c>
      <c r="M54" s="63">
        <f t="shared" si="2"/>
        <v>0</v>
      </c>
      <c r="N54" s="63">
        <f t="shared" si="2"/>
        <v>0</v>
      </c>
      <c r="O54" s="63">
        <f t="shared" si="2"/>
        <v>0</v>
      </c>
      <c r="P54" s="63">
        <f t="shared" si="2"/>
        <v>0</v>
      </c>
      <c r="Q54" s="63">
        <f t="shared" si="2"/>
        <v>0</v>
      </c>
      <c r="R54" s="109">
        <f t="shared" si="2"/>
        <v>0</v>
      </c>
      <c r="S54" s="109">
        <f t="shared" si="2"/>
        <v>0</v>
      </c>
      <c r="T54" s="109">
        <f t="shared" si="2"/>
        <v>0</v>
      </c>
      <c r="U54" s="109">
        <f t="shared" si="2"/>
        <v>0</v>
      </c>
      <c r="V54" s="109">
        <f t="shared" ref="V54:AH54" si="3">MAX(V48:V52)-MIN(V48:V52)</f>
        <v>0</v>
      </c>
      <c r="W54" s="109">
        <f t="shared" si="3"/>
        <v>0</v>
      </c>
      <c r="X54" s="109">
        <f t="shared" si="3"/>
        <v>0</v>
      </c>
      <c r="Y54" s="109">
        <f t="shared" si="3"/>
        <v>0</v>
      </c>
      <c r="Z54" s="109">
        <f t="shared" si="3"/>
        <v>0</v>
      </c>
      <c r="AA54" s="109">
        <f t="shared" si="3"/>
        <v>0</v>
      </c>
      <c r="AB54" s="109">
        <f t="shared" si="3"/>
        <v>0</v>
      </c>
      <c r="AC54" s="109">
        <f t="shared" si="3"/>
        <v>0</v>
      </c>
      <c r="AD54" s="109">
        <f t="shared" si="3"/>
        <v>0</v>
      </c>
      <c r="AE54" s="109">
        <f t="shared" si="3"/>
        <v>0</v>
      </c>
      <c r="AF54" s="109">
        <f t="shared" si="3"/>
        <v>0</v>
      </c>
      <c r="AG54" s="109">
        <f t="shared" si="3"/>
        <v>0</v>
      </c>
      <c r="AH54" s="109">
        <f t="shared" si="3"/>
        <v>0</v>
      </c>
      <c r="AI54" s="109">
        <f t="shared" si="2"/>
        <v>0</v>
      </c>
      <c r="AJ54" s="109">
        <f t="shared" si="2"/>
        <v>0</v>
      </c>
      <c r="AK54" s="109">
        <f t="shared" si="2"/>
        <v>0</v>
      </c>
      <c r="AL54" s="109">
        <f t="shared" si="2"/>
        <v>0</v>
      </c>
      <c r="AM54" s="109">
        <f t="shared" si="2"/>
        <v>0</v>
      </c>
      <c r="AN54" s="109">
        <f t="shared" si="2"/>
        <v>0</v>
      </c>
      <c r="AO54" s="109">
        <f t="shared" si="2"/>
        <v>0</v>
      </c>
      <c r="AP54" s="109">
        <f t="shared" si="2"/>
        <v>0</v>
      </c>
      <c r="AQ54" s="109">
        <f t="shared" si="2"/>
        <v>0</v>
      </c>
      <c r="AR54" s="109">
        <f t="shared" si="2"/>
        <v>0</v>
      </c>
      <c r="AS54" s="109">
        <f t="shared" si="2"/>
        <v>0</v>
      </c>
      <c r="AT54" s="110">
        <f t="shared" si="2"/>
        <v>0</v>
      </c>
    </row>
    <row r="55" spans="2:68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8"/>
    </row>
    <row r="56" spans="2:68" s="56" customFormat="1" ht="26.25" thickBot="1">
      <c r="B56" s="116" t="s">
        <v>57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1"/>
    </row>
    <row r="57" spans="2:68" s="42" customFormat="1" ht="20.100000000000001" customHeight="1">
      <c r="B57" s="151" t="s">
        <v>27</v>
      </c>
      <c r="C57" s="152"/>
      <c r="D57" s="152"/>
      <c r="E57" s="153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50"/>
    </row>
    <row r="58" spans="2:68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>
        <v>8.3800000000000008</v>
      </c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2"/>
    </row>
    <row r="59" spans="2:68" s="42" customFormat="1" ht="20.100000000000001" customHeight="1">
      <c r="B59" s="154" t="s">
        <v>28</v>
      </c>
      <c r="C59" s="155"/>
      <c r="D59" s="155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2"/>
    </row>
    <row r="60" spans="2:68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4"/>
    </row>
    <row r="61" spans="2:68" s="42" customFormat="1" ht="7.5" customHeight="1"/>
    <row r="62" spans="2:68" s="42" customFormat="1" ht="15.75">
      <c r="B62" s="156" t="s">
        <v>32</v>
      </c>
      <c r="C62" s="157"/>
      <c r="D62" s="157"/>
      <c r="E62" s="157"/>
      <c r="F62" s="157"/>
      <c r="G62" s="146" t="s">
        <v>16</v>
      </c>
      <c r="H62" s="146"/>
      <c r="I62" s="146"/>
      <c r="J62" s="146"/>
      <c r="K62" s="147"/>
      <c r="L62" s="146" t="s">
        <v>33</v>
      </c>
      <c r="M62" s="146"/>
      <c r="N62" s="146"/>
      <c r="O62" s="146"/>
      <c r="P62" s="146"/>
      <c r="Q62" s="146"/>
      <c r="R62" s="146"/>
      <c r="S62" s="157" t="s">
        <v>46</v>
      </c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60" t="s">
        <v>47</v>
      </c>
      <c r="AK62" s="157"/>
      <c r="AL62" s="157"/>
      <c r="AM62" s="157"/>
      <c r="AN62" s="157"/>
      <c r="AO62" s="157"/>
      <c r="AP62" s="157" t="s">
        <v>16</v>
      </c>
      <c r="AQ62" s="157"/>
      <c r="AR62" s="157"/>
      <c r="AS62" s="157"/>
      <c r="AT62" s="162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</row>
    <row r="63" spans="2:68" s="42" customFormat="1" ht="15.75">
      <c r="B63" s="158"/>
      <c r="C63" s="159"/>
      <c r="D63" s="159"/>
      <c r="E63" s="159"/>
      <c r="F63" s="159"/>
      <c r="G63" s="148"/>
      <c r="H63" s="148"/>
      <c r="I63" s="148"/>
      <c r="J63" s="148"/>
      <c r="K63" s="149"/>
      <c r="L63" s="148"/>
      <c r="M63" s="148"/>
      <c r="N63" s="148"/>
      <c r="O63" s="148"/>
      <c r="P63" s="148"/>
      <c r="Q63" s="148"/>
      <c r="R63" s="148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1"/>
      <c r="AK63" s="159"/>
      <c r="AL63" s="159"/>
      <c r="AM63" s="159"/>
      <c r="AN63" s="159"/>
      <c r="AO63" s="159"/>
      <c r="AP63" s="159"/>
      <c r="AQ63" s="159"/>
      <c r="AR63" s="159"/>
      <c r="AS63" s="159"/>
      <c r="AT63" s="163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</row>
    <row r="64" spans="2:68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0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</row>
    <row r="65" spans="2:5">
      <c r="B65" s="13" t="s">
        <v>19</v>
      </c>
    </row>
    <row r="66" spans="2:5">
      <c r="B66" s="13" t="s">
        <v>17</v>
      </c>
      <c r="C66" s="72" t="e">
        <f>AVERAGE(C53:AT53)+0.577*C69</f>
        <v>#DIV/0!</v>
      </c>
    </row>
    <row r="67" spans="2:5">
      <c r="B67" s="13" t="s">
        <v>2</v>
      </c>
      <c r="C67" s="72" t="e">
        <f>AVERAGE(C53:AT53)</f>
        <v>#DIV/0!</v>
      </c>
      <c r="D67" s="73" t="s">
        <v>23</v>
      </c>
      <c r="E67" s="13" t="e">
        <f>STDEV(C48:AS52)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2.115*(SUM(C54:AT54)/COUNTIF(C54:AT54,"&lt;&gt;0"))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COUNTIF(C10:AT10,"&gt;0")</f>
        <v>0</v>
      </c>
    </row>
  </sheetData>
  <sheetProtection algorithmName="SHA-512" hashValue="s8b5Mp28FCJC+0Mfk4cZcfnJFe7RUQGGOXRuFjs+c5j2zoqy0xTX0ADpC1aQ2hTLSddNm1cm9HkCxMU4B6xm1A==" saltValue="f0ZkBHwNy2IOgiRCU4Fifg==" spinCount="100000" sheet="1" objects="1" scenarios="1" selectLockedCells="1"/>
  <mergeCells count="29">
    <mergeCell ref="L62:R63"/>
    <mergeCell ref="S62:AI63"/>
    <mergeCell ref="AJ62:AO63"/>
    <mergeCell ref="AP62:AT63"/>
    <mergeCell ref="BF64:BP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Q4:AT5"/>
    <mergeCell ref="B13:B14"/>
    <mergeCell ref="B15:B16"/>
    <mergeCell ref="B17:B18"/>
    <mergeCell ref="B19:B20"/>
    <mergeCell ref="AM4:AP5"/>
    <mergeCell ref="B21:B22"/>
    <mergeCell ref="I2:J3"/>
    <mergeCell ref="K2:L3"/>
    <mergeCell ref="M2:Q3"/>
    <mergeCell ref="R2:T2"/>
    <mergeCell ref="R3:T3"/>
  </mergeCells>
  <conditionalFormatting sqref="AA48:AT52">
    <cfRule type="expression" dxfId="23" priority="11">
      <formula>(AA48&gt;$G$4)*(AA48&lt;&gt;0)</formula>
    </cfRule>
    <cfRule type="expression" dxfId="22" priority="12">
      <formula>(AA48&lt;$G$6)*(AA48&lt;&gt;0)</formula>
    </cfRule>
  </conditionalFormatting>
  <conditionalFormatting sqref="Z48:Z52 U48:X52 C48:S52">
    <cfRule type="expression" dxfId="21" priority="5">
      <formula>(C48&gt;$G$4)*(C48&lt;&gt;0)</formula>
    </cfRule>
    <cfRule type="expression" dxfId="20" priority="6">
      <formula>(C48&lt;$G$6)*(C48&lt;&gt;0)</formula>
    </cfRule>
  </conditionalFormatting>
  <conditionalFormatting sqref="Y48:Y52">
    <cfRule type="expression" dxfId="19" priority="3">
      <formula>(Y48&gt;$G$4)*(Y48&lt;&gt;0)</formula>
    </cfRule>
    <cfRule type="expression" dxfId="18" priority="4">
      <formula>(Y48&lt;$G$6)*(Y48&lt;&gt;0)</formula>
    </cfRule>
  </conditionalFormatting>
  <conditionalFormatting sqref="T48:T52">
    <cfRule type="expression" dxfId="17" priority="1">
      <formula>(T48&gt;$G$4)*(T48&lt;&gt;0)</formula>
    </cfRule>
    <cfRule type="expression" dxfId="16" priority="2">
      <formula>(T48&lt;$G$6)*(T48&lt;&gt;0)</formula>
    </cfRule>
  </conditionalFormatting>
  <dataValidations count="3">
    <dataValidation type="whole" showErrorMessage="1" errorTitle="Data" error="Digite apenas o dia entre 1 e 31" sqref="C10:D10" xr:uid="{00000000-0002-0000-0100-000000000000}">
      <formula1>1</formula1>
      <formula2>31</formula2>
    </dataValidation>
    <dataValidation type="list" showErrorMessage="1" promptTitle="Turno" prompt="Escolha" sqref="C11:AT11" xr:uid="{00000000-0002-0000-0100-000001000000}">
      <formula1>Turnos</formula1>
    </dataValidation>
    <dataValidation type="whole" showInputMessage="1" showErrorMessage="1" errorTitle="Data" error="Digite apenas o dia entre 1 e 31" sqref="E10:AT10" xr:uid="{00000000-0002-0000-01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16-303-02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  <pageSetUpPr fitToPage="1"/>
  </sheetPr>
  <dimension ref="B1:BP75"/>
  <sheetViews>
    <sheetView showZeros="0" topLeftCell="A2" zoomScaleNormal="100" workbookViewId="0">
      <selection activeCell="V55" sqref="V55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46" width="6.7109375" style="13" customWidth="1"/>
    <col min="47" max="47" width="3.140625" style="13" customWidth="1"/>
    <col min="48" max="68" width="6.7109375" style="13" customWidth="1"/>
    <col min="69" max="16384" width="10.28515625" style="13"/>
  </cols>
  <sheetData>
    <row r="1" spans="2:63" ht="21.75" thickBot="1">
      <c r="B1" s="99" t="s">
        <v>48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7"/>
      <c r="BK1" s="14"/>
    </row>
    <row r="2" spans="2:63" s="15" customFormat="1" ht="19.5" customHeight="1">
      <c r="B2" s="103" t="s">
        <v>49</v>
      </c>
      <c r="C2" s="104"/>
      <c r="D2" s="105"/>
      <c r="E2" s="105"/>
      <c r="F2" s="106"/>
      <c r="G2" s="106"/>
      <c r="H2" s="107"/>
      <c r="I2" s="119" t="s">
        <v>26</v>
      </c>
      <c r="J2" s="120"/>
      <c r="K2" s="123" t="str">
        <f>'SJCPIL-R 16-303-03 - T1'!K2:L3</f>
        <v>UM-3 L2</v>
      </c>
      <c r="L2" s="124"/>
      <c r="M2" s="127" t="s">
        <v>0</v>
      </c>
      <c r="N2" s="128"/>
      <c r="O2" s="128"/>
      <c r="P2" s="128"/>
      <c r="Q2" s="129"/>
      <c r="R2" s="133" t="s">
        <v>25</v>
      </c>
      <c r="S2" s="134"/>
      <c r="T2" s="135"/>
      <c r="U2" s="16" t="s">
        <v>45</v>
      </c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7"/>
      <c r="AJ2" s="17"/>
      <c r="AK2" s="17"/>
      <c r="AL2" s="17"/>
      <c r="AM2" s="18"/>
      <c r="AN2" s="18"/>
      <c r="AO2" s="18"/>
      <c r="AP2" s="18"/>
      <c r="AQ2" s="18"/>
      <c r="AR2" s="19"/>
      <c r="AS2" s="19"/>
      <c r="AT2" s="20"/>
    </row>
    <row r="3" spans="2:63" ht="16.899999999999999" customHeight="1" thickBot="1">
      <c r="B3" s="82"/>
      <c r="I3" s="121"/>
      <c r="J3" s="122"/>
      <c r="K3" s="125"/>
      <c r="L3" s="126"/>
      <c r="M3" s="130"/>
      <c r="N3" s="131"/>
      <c r="O3" s="131"/>
      <c r="P3" s="131"/>
      <c r="Q3" s="132"/>
      <c r="R3" s="136" t="s">
        <v>24</v>
      </c>
      <c r="S3" s="137"/>
      <c r="T3" s="138"/>
      <c r="U3" s="21" t="s">
        <v>36</v>
      </c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2"/>
      <c r="AJ3" s="22"/>
      <c r="AK3" s="22"/>
      <c r="AL3" s="22"/>
      <c r="AM3" s="22"/>
      <c r="AN3" s="22"/>
      <c r="AO3" s="22"/>
      <c r="AP3" s="22"/>
      <c r="AQ3" s="22"/>
      <c r="AR3" s="23"/>
      <c r="AS3" s="23"/>
      <c r="AT3" s="24"/>
    </row>
    <row r="4" spans="2:63" s="32" customFormat="1" ht="16.899999999999999" customHeight="1">
      <c r="B4" s="83" t="s">
        <v>13</v>
      </c>
      <c r="C4" s="25"/>
      <c r="D4" s="26" t="s">
        <v>1</v>
      </c>
      <c r="E4" s="27">
        <f>E5+E7/2</f>
        <v>8.43</v>
      </c>
      <c r="F4" s="28" t="s">
        <v>34</v>
      </c>
      <c r="G4" s="29">
        <f>G5+G7/2</f>
        <v>8.3800000000000008</v>
      </c>
      <c r="H4" s="30"/>
      <c r="I4" s="31"/>
      <c r="AM4" s="144" t="str">
        <f ca="1">'SJCPIL-R 16-303-03 - T1'!AM4</f>
        <v>MÊS: 03</v>
      </c>
      <c r="AN4" s="139"/>
      <c r="AO4" s="139"/>
      <c r="AP4" s="139"/>
      <c r="AQ4" s="139" t="str">
        <f ca="1">'SJCPIL-R 16-303-03 - T1'!AQ4</f>
        <v>ANO: 2022</v>
      </c>
      <c r="AR4" s="139"/>
      <c r="AS4" s="139"/>
      <c r="AT4" s="140"/>
    </row>
    <row r="5" spans="2:63" s="32" customFormat="1" ht="16.899999999999999" customHeight="1" thickBot="1">
      <c r="B5" s="84" t="s">
        <v>50</v>
      </c>
      <c r="C5" s="33" t="s">
        <v>2</v>
      </c>
      <c r="D5" s="34" t="s">
        <v>3</v>
      </c>
      <c r="E5" s="35">
        <f>'SJCPIL-R 16-303-03 - T1'!$E$5</f>
        <v>8.23</v>
      </c>
      <c r="F5" s="36" t="s">
        <v>3</v>
      </c>
      <c r="G5" s="37">
        <f>E5</f>
        <v>8.23</v>
      </c>
      <c r="H5" s="30"/>
      <c r="I5" s="32" t="s">
        <v>31</v>
      </c>
      <c r="R5" s="32" t="s">
        <v>4</v>
      </c>
      <c r="AM5" s="145"/>
      <c r="AN5" s="141"/>
      <c r="AO5" s="141"/>
      <c r="AP5" s="141"/>
      <c r="AQ5" s="141"/>
      <c r="AR5" s="141"/>
      <c r="AS5" s="141"/>
      <c r="AT5" s="142"/>
    </row>
    <row r="6" spans="2:63" s="32" customFormat="1" ht="16.899999999999999" customHeight="1">
      <c r="B6" s="85" t="s">
        <v>14</v>
      </c>
      <c r="C6" s="38"/>
      <c r="D6" s="34" t="s">
        <v>5</v>
      </c>
      <c r="E6" s="35">
        <f>E5-E7/2</f>
        <v>8.0300000000000011</v>
      </c>
      <c r="F6" s="36" t="s">
        <v>35</v>
      </c>
      <c r="G6" s="37">
        <f>G5-G7/2</f>
        <v>8.08</v>
      </c>
      <c r="H6" s="30"/>
      <c r="I6" s="32" t="s">
        <v>6</v>
      </c>
      <c r="R6" s="32" t="s">
        <v>7</v>
      </c>
      <c r="AP6" s="86"/>
      <c r="AQ6" s="86"/>
      <c r="AT6" s="87"/>
    </row>
    <row r="7" spans="2:63" s="32" customFormat="1" ht="16.899999999999999" customHeight="1" thickBot="1">
      <c r="B7" s="88"/>
      <c r="C7" s="89" t="s">
        <v>8</v>
      </c>
      <c r="D7" s="90" t="s">
        <v>1</v>
      </c>
      <c r="E7" s="91">
        <v>0.4</v>
      </c>
      <c r="F7" s="39" t="s">
        <v>34</v>
      </c>
      <c r="G7" s="40">
        <v>0.3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4"/>
      <c r="AQ7" s="94"/>
      <c r="AR7" s="93"/>
      <c r="AS7" s="93"/>
      <c r="AT7" s="95"/>
    </row>
    <row r="8" spans="2:63" s="32" customFormat="1" ht="4.5" customHeight="1" thickBot="1"/>
    <row r="9" spans="2:63" s="42" customFormat="1">
      <c r="B9" s="41" t="s">
        <v>10</v>
      </c>
      <c r="C9" s="74">
        <v>1</v>
      </c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9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4">
        <v>31</v>
      </c>
      <c r="AH9" s="74">
        <v>32</v>
      </c>
      <c r="AI9" s="74">
        <v>33</v>
      </c>
      <c r="AJ9" s="74">
        <v>34</v>
      </c>
      <c r="AK9" s="74">
        <v>35</v>
      </c>
      <c r="AL9" s="74">
        <v>36</v>
      </c>
      <c r="AM9" s="74">
        <v>37</v>
      </c>
      <c r="AN9" s="74">
        <v>38</v>
      </c>
      <c r="AO9" s="74">
        <v>39</v>
      </c>
      <c r="AP9" s="74">
        <v>40</v>
      </c>
      <c r="AQ9" s="74">
        <v>41</v>
      </c>
      <c r="AR9" s="74">
        <v>42</v>
      </c>
      <c r="AS9" s="74">
        <v>43</v>
      </c>
      <c r="AT9" s="75">
        <v>44</v>
      </c>
    </row>
    <row r="10" spans="2:63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0"/>
    </row>
    <row r="11" spans="2:63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10"/>
    </row>
    <row r="12" spans="2:63" s="42" customFormat="1" ht="12" customHeight="1">
      <c r="B12" s="45"/>
      <c r="AT12" s="46"/>
    </row>
    <row r="13" spans="2:63" s="42" customFormat="1" ht="12" customHeight="1">
      <c r="B13" s="143"/>
      <c r="AT13" s="46"/>
    </row>
    <row r="14" spans="2:63" s="42" customFormat="1" ht="12" customHeight="1">
      <c r="B14" s="143"/>
      <c r="AT14" s="46"/>
    </row>
    <row r="15" spans="2:63" s="42" customFormat="1" ht="12" customHeight="1">
      <c r="B15" s="118"/>
      <c r="AT15" s="46"/>
    </row>
    <row r="16" spans="2:63" s="42" customFormat="1" ht="12" customHeight="1">
      <c r="B16" s="118"/>
      <c r="AT16" s="46"/>
    </row>
    <row r="17" spans="2:46" s="42" customFormat="1" ht="12" customHeight="1">
      <c r="B17" s="118"/>
      <c r="AT17" s="46"/>
    </row>
    <row r="18" spans="2:46" s="42" customFormat="1" ht="12" customHeight="1">
      <c r="B18" s="118"/>
      <c r="AT18" s="46"/>
    </row>
    <row r="19" spans="2:46" s="42" customFormat="1" ht="12" customHeight="1">
      <c r="B19" s="118"/>
      <c r="AT19" s="46"/>
    </row>
    <row r="20" spans="2:46" s="42" customFormat="1" ht="12" customHeight="1">
      <c r="B20" s="118"/>
      <c r="AT20" s="46"/>
    </row>
    <row r="21" spans="2:46" s="42" customFormat="1" ht="12" customHeight="1">
      <c r="B21" s="118"/>
      <c r="AT21" s="46"/>
    </row>
    <row r="22" spans="2:46" s="42" customFormat="1" ht="12" customHeight="1">
      <c r="B22" s="118"/>
      <c r="AT22" s="46"/>
    </row>
    <row r="23" spans="2:46" s="42" customFormat="1" ht="12" customHeight="1">
      <c r="B23" s="143"/>
      <c r="AT23" s="46"/>
    </row>
    <row r="24" spans="2:46" s="42" customFormat="1" ht="12" customHeight="1">
      <c r="B24" s="143"/>
      <c r="AT24" s="46"/>
    </row>
    <row r="25" spans="2:46" s="42" customFormat="1" ht="12" customHeight="1">
      <c r="B25" s="118"/>
      <c r="AT25" s="46"/>
    </row>
    <row r="26" spans="2:46" s="42" customFormat="1" ht="12" customHeight="1">
      <c r="B26" s="118"/>
      <c r="AT26" s="46"/>
    </row>
    <row r="27" spans="2:46" s="42" customFormat="1" ht="12" customHeight="1">
      <c r="B27" s="118"/>
      <c r="AT27" s="46"/>
    </row>
    <row r="28" spans="2:46" s="42" customFormat="1" ht="12" customHeight="1">
      <c r="B28" s="118"/>
      <c r="AT28" s="46"/>
    </row>
    <row r="29" spans="2:46" s="42" customFormat="1" ht="12" customHeight="1">
      <c r="B29" s="118"/>
      <c r="AT29" s="46"/>
    </row>
    <row r="30" spans="2:46" s="42" customFormat="1" ht="12" customHeight="1">
      <c r="B30" s="118"/>
      <c r="AT30" s="46"/>
    </row>
    <row r="31" spans="2:46" s="42" customFormat="1" ht="12" customHeight="1">
      <c r="B31" s="118"/>
      <c r="AT31" s="46"/>
    </row>
    <row r="32" spans="2:46" s="42" customFormat="1" ht="12" customHeight="1">
      <c r="B32" s="118"/>
      <c r="AT32" s="46"/>
    </row>
    <row r="33" spans="2:46" s="42" customFormat="1" ht="12" customHeight="1">
      <c r="B33" s="143"/>
      <c r="AT33" s="46"/>
    </row>
    <row r="34" spans="2:46" s="42" customFormat="1" ht="12" customHeight="1">
      <c r="B34" s="143"/>
      <c r="AT34" s="46"/>
    </row>
    <row r="35" spans="2:46" s="42" customFormat="1" ht="12" customHeight="1" thickBot="1">
      <c r="B35" s="48"/>
      <c r="AT35" s="46"/>
    </row>
    <row r="36" spans="2:46" s="42" customFormat="1" ht="12" customHeight="1">
      <c r="B36" s="1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50"/>
    </row>
    <row r="37" spans="2:46" s="42" customFormat="1" ht="12" customHeight="1">
      <c r="B37" s="143"/>
      <c r="AT37" s="46"/>
    </row>
    <row r="38" spans="2:46" s="42" customFormat="1" ht="12" customHeight="1">
      <c r="B38" s="47"/>
      <c r="AT38" s="46"/>
    </row>
    <row r="39" spans="2:46" s="42" customFormat="1" ht="12" customHeight="1">
      <c r="B39" s="47"/>
      <c r="AT39" s="46"/>
    </row>
    <row r="40" spans="2:46" s="42" customFormat="1" ht="12" customHeight="1">
      <c r="B40" s="47"/>
      <c r="AT40" s="46"/>
    </row>
    <row r="41" spans="2:46" s="42" customFormat="1" ht="12" customHeight="1">
      <c r="B41" s="143"/>
      <c r="AT41" s="46"/>
    </row>
    <row r="42" spans="2:46" s="42" customFormat="1" ht="12" customHeight="1">
      <c r="B42" s="143"/>
      <c r="AT42" s="46"/>
    </row>
    <row r="43" spans="2:46" s="42" customFormat="1" ht="12" customHeight="1">
      <c r="B43" s="47"/>
      <c r="AT43" s="46"/>
    </row>
    <row r="44" spans="2:46" s="42" customFormat="1" ht="12" customHeight="1">
      <c r="B44" s="47"/>
      <c r="AT44" s="46"/>
    </row>
    <row r="45" spans="2:46" s="42" customFormat="1" ht="12" customHeight="1">
      <c r="B45" s="47"/>
      <c r="AT45" s="46"/>
    </row>
    <row r="46" spans="2:46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3"/>
    </row>
    <row r="47" spans="2:46" s="42" customFormat="1" ht="6" customHeight="1">
      <c r="B47" s="54"/>
      <c r="AT47" s="46"/>
    </row>
    <row r="48" spans="2:46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11"/>
    </row>
    <row r="49" spans="2:68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12"/>
    </row>
    <row r="50" spans="2:68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12"/>
    </row>
    <row r="51" spans="2:68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12"/>
    </row>
    <row r="52" spans="2:68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12"/>
    </row>
    <row r="53" spans="2:68" s="56" customFormat="1" ht="15" customHeight="1">
      <c r="B53" s="61" t="s">
        <v>15</v>
      </c>
      <c r="C53" s="58" t="str">
        <f t="shared" ref="C53:AT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ref="V53:AH53" si="1">IF(ISERR(AVERAGE(V48:V52))," ",AVERAGE(V48:V52))</f>
        <v xml:space="preserve"> </v>
      </c>
      <c r="W53" s="59" t="str">
        <f t="shared" si="1"/>
        <v xml:space="preserve"> </v>
      </c>
      <c r="X53" s="59" t="str">
        <f t="shared" si="1"/>
        <v xml:space="preserve"> </v>
      </c>
      <c r="Y53" s="59" t="str">
        <f t="shared" si="1"/>
        <v xml:space="preserve"> </v>
      </c>
      <c r="Z53" s="59" t="str">
        <f t="shared" si="1"/>
        <v xml:space="preserve"> </v>
      </c>
      <c r="AA53" s="59" t="str">
        <f t="shared" si="1"/>
        <v xml:space="preserve"> </v>
      </c>
      <c r="AB53" s="59" t="str">
        <f t="shared" si="1"/>
        <v xml:space="preserve"> </v>
      </c>
      <c r="AC53" s="59" t="str">
        <f t="shared" si="1"/>
        <v xml:space="preserve"> </v>
      </c>
      <c r="AD53" s="59" t="str">
        <f t="shared" si="1"/>
        <v xml:space="preserve"> </v>
      </c>
      <c r="AE53" s="59" t="str">
        <f t="shared" si="1"/>
        <v xml:space="preserve"> </v>
      </c>
      <c r="AF53" s="59" t="str">
        <f t="shared" si="1"/>
        <v xml:space="preserve"> </v>
      </c>
      <c r="AG53" s="59" t="str">
        <f t="shared" si="1"/>
        <v xml:space="preserve"> </v>
      </c>
      <c r="AH53" s="59" t="str">
        <f t="shared" si="1"/>
        <v xml:space="preserve"> </v>
      </c>
      <c r="AI53" s="59" t="str">
        <f t="shared" si="0"/>
        <v xml:space="preserve"> </v>
      </c>
      <c r="AJ53" s="59" t="str">
        <f t="shared" si="0"/>
        <v xml:space="preserve"> </v>
      </c>
      <c r="AK53" s="59" t="str">
        <f t="shared" si="0"/>
        <v xml:space="preserve"> </v>
      </c>
      <c r="AL53" s="59" t="str">
        <f t="shared" si="0"/>
        <v xml:space="preserve"> </v>
      </c>
      <c r="AM53" s="59" t="str">
        <f t="shared" si="0"/>
        <v xml:space="preserve"> </v>
      </c>
      <c r="AN53" s="59" t="str">
        <f t="shared" si="0"/>
        <v xml:space="preserve"> </v>
      </c>
      <c r="AO53" s="59" t="str">
        <f t="shared" si="0"/>
        <v xml:space="preserve"> </v>
      </c>
      <c r="AP53" s="59" t="str">
        <f t="shared" si="0"/>
        <v xml:space="preserve"> </v>
      </c>
      <c r="AQ53" s="59" t="str">
        <f t="shared" si="0"/>
        <v xml:space="preserve"> </v>
      </c>
      <c r="AR53" s="59" t="str">
        <f t="shared" si="0"/>
        <v xml:space="preserve"> </v>
      </c>
      <c r="AS53" s="59" t="str">
        <f t="shared" si="0"/>
        <v xml:space="preserve"> </v>
      </c>
      <c r="AT53" s="60" t="str">
        <f t="shared" si="0"/>
        <v xml:space="preserve"> </v>
      </c>
    </row>
    <row r="54" spans="2:68" s="56" customFormat="1" ht="15" customHeight="1">
      <c r="B54" s="61" t="s">
        <v>8</v>
      </c>
      <c r="C54" s="62">
        <f t="shared" ref="C54:AT54" si="2">MAX(C48:C52)-MIN(C48:C52)</f>
        <v>0</v>
      </c>
      <c r="D54" s="63">
        <f t="shared" si="2"/>
        <v>0</v>
      </c>
      <c r="E54" s="63">
        <f t="shared" si="2"/>
        <v>0</v>
      </c>
      <c r="F54" s="63">
        <f t="shared" si="2"/>
        <v>0</v>
      </c>
      <c r="G54" s="63">
        <f t="shared" si="2"/>
        <v>0</v>
      </c>
      <c r="H54" s="63">
        <f t="shared" si="2"/>
        <v>0</v>
      </c>
      <c r="I54" s="63">
        <f t="shared" si="2"/>
        <v>0</v>
      </c>
      <c r="J54" s="63">
        <f t="shared" si="2"/>
        <v>0</v>
      </c>
      <c r="K54" s="63">
        <f t="shared" si="2"/>
        <v>0</v>
      </c>
      <c r="L54" s="63">
        <f t="shared" si="2"/>
        <v>0</v>
      </c>
      <c r="M54" s="63">
        <f t="shared" si="2"/>
        <v>0</v>
      </c>
      <c r="N54" s="63">
        <f t="shared" si="2"/>
        <v>0</v>
      </c>
      <c r="O54" s="63">
        <f t="shared" si="2"/>
        <v>0</v>
      </c>
      <c r="P54" s="63">
        <f t="shared" si="2"/>
        <v>0</v>
      </c>
      <c r="Q54" s="63">
        <f t="shared" si="2"/>
        <v>0</v>
      </c>
      <c r="R54" s="109">
        <f t="shared" si="2"/>
        <v>0</v>
      </c>
      <c r="S54" s="109">
        <f t="shared" si="2"/>
        <v>0</v>
      </c>
      <c r="T54" s="109">
        <f t="shared" si="2"/>
        <v>0</v>
      </c>
      <c r="U54" s="109">
        <f t="shared" si="2"/>
        <v>0</v>
      </c>
      <c r="V54" s="109">
        <f t="shared" ref="V54:AH54" si="3">MAX(V48:V52)-MIN(V48:V52)</f>
        <v>0</v>
      </c>
      <c r="W54" s="109">
        <f t="shared" si="3"/>
        <v>0</v>
      </c>
      <c r="X54" s="109">
        <f t="shared" si="3"/>
        <v>0</v>
      </c>
      <c r="Y54" s="109">
        <f t="shared" si="3"/>
        <v>0</v>
      </c>
      <c r="Z54" s="109">
        <f t="shared" si="3"/>
        <v>0</v>
      </c>
      <c r="AA54" s="109">
        <f t="shared" si="3"/>
        <v>0</v>
      </c>
      <c r="AB54" s="109">
        <f t="shared" si="3"/>
        <v>0</v>
      </c>
      <c r="AC54" s="109">
        <f t="shared" si="3"/>
        <v>0</v>
      </c>
      <c r="AD54" s="109">
        <f t="shared" si="3"/>
        <v>0</v>
      </c>
      <c r="AE54" s="109">
        <f t="shared" si="3"/>
        <v>0</v>
      </c>
      <c r="AF54" s="109">
        <f t="shared" si="3"/>
        <v>0</v>
      </c>
      <c r="AG54" s="109">
        <f t="shared" si="3"/>
        <v>0</v>
      </c>
      <c r="AH54" s="109">
        <f t="shared" si="3"/>
        <v>0</v>
      </c>
      <c r="AI54" s="109">
        <f t="shared" si="2"/>
        <v>0</v>
      </c>
      <c r="AJ54" s="109">
        <f t="shared" si="2"/>
        <v>0</v>
      </c>
      <c r="AK54" s="109">
        <f t="shared" si="2"/>
        <v>0</v>
      </c>
      <c r="AL54" s="109">
        <f t="shared" si="2"/>
        <v>0</v>
      </c>
      <c r="AM54" s="109">
        <f t="shared" si="2"/>
        <v>0</v>
      </c>
      <c r="AN54" s="109">
        <f t="shared" si="2"/>
        <v>0</v>
      </c>
      <c r="AO54" s="109">
        <f t="shared" si="2"/>
        <v>0</v>
      </c>
      <c r="AP54" s="109">
        <f t="shared" si="2"/>
        <v>0</v>
      </c>
      <c r="AQ54" s="109">
        <f t="shared" si="2"/>
        <v>0</v>
      </c>
      <c r="AR54" s="109">
        <f t="shared" si="2"/>
        <v>0</v>
      </c>
      <c r="AS54" s="109">
        <f t="shared" si="2"/>
        <v>0</v>
      </c>
      <c r="AT54" s="110">
        <f t="shared" si="2"/>
        <v>0</v>
      </c>
    </row>
    <row r="55" spans="2:68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8"/>
    </row>
    <row r="56" spans="2:68" s="56" customFormat="1" ht="26.25" thickBot="1">
      <c r="B56" s="116" t="str">
        <f>'SJCPIL-R 16-303-03 - T1'!B56</f>
        <v>Visto do Líder / Sublíder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1"/>
    </row>
    <row r="57" spans="2:68" s="42" customFormat="1" ht="20.100000000000001" customHeight="1">
      <c r="B57" s="151" t="s">
        <v>27</v>
      </c>
      <c r="C57" s="152"/>
      <c r="D57" s="152"/>
      <c r="E57" s="153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50"/>
    </row>
    <row r="58" spans="2:68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2"/>
    </row>
    <row r="59" spans="2:68" s="42" customFormat="1" ht="20.100000000000001" customHeight="1">
      <c r="B59" s="154" t="s">
        <v>28</v>
      </c>
      <c r="C59" s="155"/>
      <c r="D59" s="155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2"/>
    </row>
    <row r="60" spans="2:68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4"/>
    </row>
    <row r="61" spans="2:68" s="42" customFormat="1" ht="7.5" customHeight="1"/>
    <row r="62" spans="2:68" s="42" customFormat="1" ht="15.75">
      <c r="B62" s="156" t="s">
        <v>32</v>
      </c>
      <c r="C62" s="157"/>
      <c r="D62" s="157"/>
      <c r="E62" s="157"/>
      <c r="F62" s="157"/>
      <c r="G62" s="146" t="s">
        <v>16</v>
      </c>
      <c r="H62" s="146"/>
      <c r="I62" s="146"/>
      <c r="J62" s="146"/>
      <c r="K62" s="147"/>
      <c r="L62" s="146" t="s">
        <v>33</v>
      </c>
      <c r="M62" s="146"/>
      <c r="N62" s="146"/>
      <c r="O62" s="146"/>
      <c r="P62" s="146"/>
      <c r="Q62" s="146"/>
      <c r="R62" s="146"/>
      <c r="S62" s="157" t="s">
        <v>46</v>
      </c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60" t="s">
        <v>47</v>
      </c>
      <c r="AK62" s="157"/>
      <c r="AL62" s="157"/>
      <c r="AM62" s="157"/>
      <c r="AN62" s="157"/>
      <c r="AO62" s="157"/>
      <c r="AP62" s="157" t="s">
        <v>16</v>
      </c>
      <c r="AQ62" s="157"/>
      <c r="AR62" s="157"/>
      <c r="AS62" s="157"/>
      <c r="AT62" s="162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</row>
    <row r="63" spans="2:68" s="42" customFormat="1" ht="15.75">
      <c r="B63" s="158"/>
      <c r="C63" s="159"/>
      <c r="D63" s="159"/>
      <c r="E63" s="159"/>
      <c r="F63" s="159"/>
      <c r="G63" s="148"/>
      <c r="H63" s="148"/>
      <c r="I63" s="148"/>
      <c r="J63" s="148"/>
      <c r="K63" s="149"/>
      <c r="L63" s="148"/>
      <c r="M63" s="148"/>
      <c r="N63" s="148"/>
      <c r="O63" s="148"/>
      <c r="P63" s="148"/>
      <c r="Q63" s="148"/>
      <c r="R63" s="148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1"/>
      <c r="AK63" s="159"/>
      <c r="AL63" s="159"/>
      <c r="AM63" s="159"/>
      <c r="AN63" s="159"/>
      <c r="AO63" s="159"/>
      <c r="AP63" s="159"/>
      <c r="AQ63" s="159"/>
      <c r="AR63" s="159"/>
      <c r="AS63" s="159"/>
      <c r="AT63" s="163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</row>
    <row r="64" spans="2:68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0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</row>
    <row r="65" spans="2:5">
      <c r="B65" s="13" t="s">
        <v>19</v>
      </c>
    </row>
    <row r="66" spans="2:5">
      <c r="B66" s="13" t="s">
        <v>17</v>
      </c>
      <c r="C66" s="72" t="e">
        <f>AVERAGE(C53:AT53)+0.577*C69</f>
        <v>#DIV/0!</v>
      </c>
    </row>
    <row r="67" spans="2:5">
      <c r="B67" s="13" t="s">
        <v>2</v>
      </c>
      <c r="C67" s="72" t="e">
        <f>AVERAGE(C53:AT53)</f>
        <v>#DIV/0!</v>
      </c>
      <c r="D67" s="73" t="s">
        <v>23</v>
      </c>
      <c r="E67" s="13" t="e">
        <f>STDEV(C48:AS52)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2.115*(SUM(C54:AT54)/COUNTIF(C54:AT54,"&lt;&gt;0"))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COUNTIF(C10:AT10,"&gt;0")</f>
        <v>0</v>
      </c>
    </row>
  </sheetData>
  <sheetProtection algorithmName="SHA-512" hashValue="BsdyI2XmL9bacfiv+UqnIpvWi42NF9htVCGFM6Fn3xEhXBLLZw3zy32YeWEOgUCU2nv7yhupOvpdSfygs2NtAQ==" saltValue="aeW8YDu6MTnvRplmyrHivA==" spinCount="100000" sheet="1" objects="1" scenarios="1" selectLockedCells="1"/>
  <mergeCells count="29">
    <mergeCell ref="L62:R63"/>
    <mergeCell ref="S62:AI63"/>
    <mergeCell ref="AJ62:AO63"/>
    <mergeCell ref="AP62:AT63"/>
    <mergeCell ref="BF64:BP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Q4:AT5"/>
    <mergeCell ref="B13:B14"/>
    <mergeCell ref="B15:B16"/>
    <mergeCell ref="B17:B18"/>
    <mergeCell ref="B19:B20"/>
    <mergeCell ref="AM4:AP5"/>
    <mergeCell ref="B21:B22"/>
    <mergeCell ref="I2:J3"/>
    <mergeCell ref="K2:L3"/>
    <mergeCell ref="M2:Q3"/>
    <mergeCell ref="R2:T2"/>
    <mergeCell ref="R3:T3"/>
  </mergeCells>
  <conditionalFormatting sqref="C48:N52 P48:AT52">
    <cfRule type="expression" dxfId="15" priority="3">
      <formula>(C48&gt;$G$4)*(C48&lt;&gt;0)</formula>
    </cfRule>
    <cfRule type="expression" dxfId="14" priority="4">
      <formula>(C48&lt;$G$6)*(C48&lt;&gt;0)</formula>
    </cfRule>
  </conditionalFormatting>
  <conditionalFormatting sqref="O48:O52">
    <cfRule type="expression" dxfId="13" priority="1">
      <formula>(O48&gt;$G$4)*(O48&lt;&gt;0)</formula>
    </cfRule>
    <cfRule type="expression" dxfId="12" priority="2">
      <formula>(O48&lt;$G$6)*(O48&lt;&gt;0)</formula>
    </cfRule>
  </conditionalFormatting>
  <dataValidations count="3">
    <dataValidation type="whole" showInputMessage="1" showErrorMessage="1" errorTitle="Data" error="Digite apenas o dia entre 1 e 31" sqref="E10:AT10" xr:uid="{00000000-0002-0000-0200-000000000000}">
      <formula1>1</formula1>
      <formula2>31</formula2>
    </dataValidation>
    <dataValidation type="whole" showErrorMessage="1" errorTitle="Data" error="Digite apenas o dia entre 1 e 31" sqref="C10:D10" xr:uid="{00000000-0002-0000-0200-000001000000}">
      <formula1>1</formula1>
      <formula2>31</formula2>
    </dataValidation>
    <dataValidation type="list" showErrorMessage="1" promptTitle="Turno" prompt="Escolha" sqref="C11:AT11" xr:uid="{00000000-0002-0000-02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16-303-02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indexed="47"/>
    <pageSetUpPr fitToPage="1"/>
  </sheetPr>
  <dimension ref="B1:BP75"/>
  <sheetViews>
    <sheetView showZeros="0" topLeftCell="A2" zoomScaleNormal="100" workbookViewId="0">
      <selection activeCell="V55" sqref="V55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46" width="6.7109375" style="13" customWidth="1"/>
    <col min="47" max="47" width="3.140625" style="13" customWidth="1"/>
    <col min="48" max="68" width="6.7109375" style="13" customWidth="1"/>
    <col min="69" max="16384" width="10.28515625" style="13"/>
  </cols>
  <sheetData>
    <row r="1" spans="2:63" ht="21.75" thickBot="1">
      <c r="B1" s="99" t="s">
        <v>48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7"/>
      <c r="BK1" s="14"/>
    </row>
    <row r="2" spans="2:63" s="15" customFormat="1" ht="19.5" customHeight="1">
      <c r="B2" s="103" t="s">
        <v>49</v>
      </c>
      <c r="C2" s="104"/>
      <c r="D2" s="105"/>
      <c r="E2" s="105"/>
      <c r="F2" s="106"/>
      <c r="G2" s="106"/>
      <c r="H2" s="107"/>
      <c r="I2" s="119" t="s">
        <v>26</v>
      </c>
      <c r="J2" s="120"/>
      <c r="K2" s="123" t="str">
        <f>'SJCPIL-R 16-303-03 - T1'!K2:L3</f>
        <v>UM-3 L2</v>
      </c>
      <c r="L2" s="124"/>
      <c r="M2" s="127" t="s">
        <v>0</v>
      </c>
      <c r="N2" s="128"/>
      <c r="O2" s="128"/>
      <c r="P2" s="128"/>
      <c r="Q2" s="129"/>
      <c r="R2" s="133" t="s">
        <v>25</v>
      </c>
      <c r="S2" s="134"/>
      <c r="T2" s="135"/>
      <c r="U2" s="16" t="s">
        <v>37</v>
      </c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7"/>
      <c r="AJ2" s="17"/>
      <c r="AK2" s="17"/>
      <c r="AL2" s="17"/>
      <c r="AM2" s="18"/>
      <c r="AN2" s="18"/>
      <c r="AO2" s="18"/>
      <c r="AP2" s="18"/>
      <c r="AQ2" s="18"/>
      <c r="AR2" s="19"/>
      <c r="AS2" s="19"/>
      <c r="AT2" s="20"/>
    </row>
    <row r="3" spans="2:63" ht="16.899999999999999" customHeight="1" thickBot="1">
      <c r="B3" s="82"/>
      <c r="I3" s="121"/>
      <c r="J3" s="122"/>
      <c r="K3" s="125"/>
      <c r="L3" s="126"/>
      <c r="M3" s="130"/>
      <c r="N3" s="131"/>
      <c r="O3" s="131"/>
      <c r="P3" s="131"/>
      <c r="Q3" s="132"/>
      <c r="R3" s="136" t="s">
        <v>24</v>
      </c>
      <c r="S3" s="137"/>
      <c r="T3" s="138"/>
      <c r="U3" s="21" t="s">
        <v>38</v>
      </c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2"/>
      <c r="AJ3" s="22"/>
      <c r="AK3" s="22"/>
      <c r="AL3" s="22"/>
      <c r="AM3" s="22"/>
      <c r="AN3" s="22"/>
      <c r="AO3" s="22"/>
      <c r="AP3" s="22"/>
      <c r="AQ3" s="22"/>
      <c r="AR3" s="23"/>
      <c r="AS3" s="23"/>
      <c r="AT3" s="24"/>
    </row>
    <row r="4" spans="2:63" s="32" customFormat="1" ht="16.899999999999999" customHeight="1">
      <c r="B4" s="83" t="s">
        <v>13</v>
      </c>
      <c r="C4" s="25"/>
      <c r="D4" s="26" t="s">
        <v>1</v>
      </c>
      <c r="E4" s="27">
        <f>E5+E7/2</f>
        <v>41</v>
      </c>
      <c r="F4" s="28" t="s">
        <v>34</v>
      </c>
      <c r="G4" s="29">
        <f>G5+G7/2</f>
        <v>40.799999999999997</v>
      </c>
      <c r="H4" s="30"/>
      <c r="I4" s="31"/>
      <c r="AM4" s="144" t="str">
        <f ca="1">'SJCPIL-R 16-303-03 - T1'!AM4</f>
        <v>MÊS: 03</v>
      </c>
      <c r="AN4" s="139"/>
      <c r="AO4" s="139"/>
      <c r="AP4" s="139"/>
      <c r="AQ4" s="139" t="str">
        <f ca="1">'SJCPIL-R 16-303-03 - T1'!AQ4</f>
        <v>ANO: 2022</v>
      </c>
      <c r="AR4" s="139"/>
      <c r="AS4" s="139"/>
      <c r="AT4" s="140"/>
    </row>
    <row r="5" spans="2:63" s="32" customFormat="1" ht="16.899999999999999" customHeight="1" thickBot="1">
      <c r="B5" s="84" t="s">
        <v>51</v>
      </c>
      <c r="C5" s="33" t="s">
        <v>2</v>
      </c>
      <c r="D5" s="34" t="s">
        <v>3</v>
      </c>
      <c r="E5" s="35">
        <v>40</v>
      </c>
      <c r="F5" s="36" t="s">
        <v>3</v>
      </c>
      <c r="G5" s="37">
        <f>E5</f>
        <v>40</v>
      </c>
      <c r="H5" s="30"/>
      <c r="I5" s="32" t="s">
        <v>31</v>
      </c>
      <c r="R5" s="32" t="s">
        <v>4</v>
      </c>
      <c r="AM5" s="145"/>
      <c r="AN5" s="141"/>
      <c r="AO5" s="141"/>
      <c r="AP5" s="141"/>
      <c r="AQ5" s="141"/>
      <c r="AR5" s="141"/>
      <c r="AS5" s="141"/>
      <c r="AT5" s="142"/>
    </row>
    <row r="6" spans="2:63" s="32" customFormat="1" ht="16.899999999999999" customHeight="1">
      <c r="B6" s="85" t="s">
        <v>14</v>
      </c>
      <c r="C6" s="38"/>
      <c r="D6" s="34" t="s">
        <v>5</v>
      </c>
      <c r="E6" s="35">
        <f>E5-E7/2</f>
        <v>39</v>
      </c>
      <c r="F6" s="36" t="s">
        <v>35</v>
      </c>
      <c r="G6" s="37">
        <f>G5-G7/2</f>
        <v>39.200000000000003</v>
      </c>
      <c r="H6" s="30"/>
      <c r="I6" s="32" t="s">
        <v>6</v>
      </c>
      <c r="R6" s="32" t="s">
        <v>7</v>
      </c>
      <c r="AP6" s="86"/>
      <c r="AQ6" s="86"/>
      <c r="AT6" s="87"/>
    </row>
    <row r="7" spans="2:63" s="32" customFormat="1" ht="16.899999999999999" customHeight="1" thickBot="1">
      <c r="B7" s="88"/>
      <c r="C7" s="89" t="s">
        <v>8</v>
      </c>
      <c r="D7" s="90" t="s">
        <v>1</v>
      </c>
      <c r="E7" s="91">
        <v>2</v>
      </c>
      <c r="F7" s="39" t="s">
        <v>34</v>
      </c>
      <c r="G7" s="40">
        <v>1.6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4"/>
      <c r="AQ7" s="94"/>
      <c r="AR7" s="93"/>
      <c r="AS7" s="93"/>
      <c r="AT7" s="95"/>
    </row>
    <row r="8" spans="2:63" s="32" customFormat="1" ht="4.5" customHeight="1" thickBot="1"/>
    <row r="9" spans="2:63" s="42" customFormat="1">
      <c r="B9" s="41" t="s">
        <v>10</v>
      </c>
      <c r="C9" s="74">
        <v>1</v>
      </c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4">
        <v>31</v>
      </c>
      <c r="AH9" s="74">
        <v>32</v>
      </c>
      <c r="AI9" s="74">
        <v>33</v>
      </c>
      <c r="AJ9" s="74">
        <v>34</v>
      </c>
      <c r="AK9" s="74">
        <v>35</v>
      </c>
      <c r="AL9" s="74">
        <v>36</v>
      </c>
      <c r="AM9" s="74">
        <v>37</v>
      </c>
      <c r="AN9" s="74">
        <v>38</v>
      </c>
      <c r="AO9" s="74">
        <v>39</v>
      </c>
      <c r="AP9" s="74">
        <v>40</v>
      </c>
      <c r="AQ9" s="74">
        <v>41</v>
      </c>
      <c r="AR9" s="74">
        <v>42</v>
      </c>
      <c r="AS9" s="74">
        <v>43</v>
      </c>
      <c r="AT9" s="75">
        <v>44</v>
      </c>
    </row>
    <row r="10" spans="2:63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10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0"/>
    </row>
    <row r="11" spans="2:63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10"/>
    </row>
    <row r="12" spans="2:63" s="42" customFormat="1" ht="12" customHeight="1">
      <c r="B12" s="45"/>
      <c r="AT12" s="46"/>
    </row>
    <row r="13" spans="2:63" s="42" customFormat="1" ht="12" customHeight="1">
      <c r="B13" s="143"/>
      <c r="AT13" s="46"/>
    </row>
    <row r="14" spans="2:63" s="42" customFormat="1" ht="12" customHeight="1">
      <c r="B14" s="143"/>
      <c r="AT14" s="46"/>
    </row>
    <row r="15" spans="2:63" s="42" customFormat="1" ht="12" customHeight="1">
      <c r="B15" s="118"/>
      <c r="AT15" s="46"/>
    </row>
    <row r="16" spans="2:63" s="42" customFormat="1" ht="12" customHeight="1">
      <c r="B16" s="118"/>
      <c r="AT16" s="46"/>
    </row>
    <row r="17" spans="2:46" s="42" customFormat="1" ht="12" customHeight="1">
      <c r="B17" s="118"/>
      <c r="AT17" s="46"/>
    </row>
    <row r="18" spans="2:46" s="42" customFormat="1" ht="12" customHeight="1">
      <c r="B18" s="118"/>
      <c r="AT18" s="46"/>
    </row>
    <row r="19" spans="2:46" s="42" customFormat="1" ht="12" customHeight="1">
      <c r="B19" s="118"/>
      <c r="AT19" s="46"/>
    </row>
    <row r="20" spans="2:46" s="42" customFormat="1" ht="12" customHeight="1">
      <c r="B20" s="118"/>
      <c r="AT20" s="46"/>
    </row>
    <row r="21" spans="2:46" s="42" customFormat="1" ht="12" customHeight="1">
      <c r="B21" s="118"/>
      <c r="AT21" s="46"/>
    </row>
    <row r="22" spans="2:46" s="42" customFormat="1" ht="12" customHeight="1">
      <c r="B22" s="118"/>
      <c r="AT22" s="46"/>
    </row>
    <row r="23" spans="2:46" s="42" customFormat="1" ht="12" customHeight="1">
      <c r="B23" s="143"/>
      <c r="AT23" s="46"/>
    </row>
    <row r="24" spans="2:46" s="42" customFormat="1" ht="12" customHeight="1">
      <c r="B24" s="143"/>
      <c r="AT24" s="46"/>
    </row>
    <row r="25" spans="2:46" s="42" customFormat="1" ht="12" customHeight="1">
      <c r="B25" s="118"/>
      <c r="AT25" s="46"/>
    </row>
    <row r="26" spans="2:46" s="42" customFormat="1" ht="12" customHeight="1">
      <c r="B26" s="118"/>
      <c r="AT26" s="46"/>
    </row>
    <row r="27" spans="2:46" s="42" customFormat="1" ht="12" customHeight="1">
      <c r="B27" s="118"/>
      <c r="AT27" s="46"/>
    </row>
    <row r="28" spans="2:46" s="42" customFormat="1" ht="12" customHeight="1">
      <c r="B28" s="118"/>
      <c r="AT28" s="46"/>
    </row>
    <row r="29" spans="2:46" s="42" customFormat="1" ht="12" customHeight="1">
      <c r="B29" s="118"/>
      <c r="AT29" s="46"/>
    </row>
    <row r="30" spans="2:46" s="42" customFormat="1" ht="12" customHeight="1">
      <c r="B30" s="118"/>
      <c r="AT30" s="46"/>
    </row>
    <row r="31" spans="2:46" s="42" customFormat="1" ht="12" customHeight="1">
      <c r="B31" s="118"/>
      <c r="AT31" s="46"/>
    </row>
    <row r="32" spans="2:46" s="42" customFormat="1" ht="12" customHeight="1">
      <c r="B32" s="118"/>
      <c r="AT32" s="46"/>
    </row>
    <row r="33" spans="2:46" s="42" customFormat="1" ht="12" customHeight="1">
      <c r="B33" s="143"/>
      <c r="AT33" s="46"/>
    </row>
    <row r="34" spans="2:46" s="42" customFormat="1" ht="12" customHeight="1">
      <c r="B34" s="143"/>
      <c r="AT34" s="46"/>
    </row>
    <row r="35" spans="2:46" s="42" customFormat="1" ht="12" customHeight="1" thickBot="1">
      <c r="B35" s="48"/>
      <c r="AT35" s="46"/>
    </row>
    <row r="36" spans="2:46" s="42" customFormat="1" ht="12" customHeight="1">
      <c r="B36" s="1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50"/>
    </row>
    <row r="37" spans="2:46" s="42" customFormat="1" ht="12" customHeight="1">
      <c r="B37" s="143"/>
      <c r="AT37" s="46"/>
    </row>
    <row r="38" spans="2:46" s="42" customFormat="1" ht="12" customHeight="1">
      <c r="B38" s="47"/>
      <c r="AT38" s="46"/>
    </row>
    <row r="39" spans="2:46" s="42" customFormat="1" ht="12" customHeight="1">
      <c r="B39" s="47"/>
      <c r="AT39" s="46"/>
    </row>
    <row r="40" spans="2:46" s="42" customFormat="1" ht="12" customHeight="1">
      <c r="B40" s="47"/>
      <c r="AT40" s="46"/>
    </row>
    <row r="41" spans="2:46" s="42" customFormat="1" ht="12" customHeight="1">
      <c r="B41" s="143"/>
      <c r="AT41" s="46"/>
    </row>
    <row r="42" spans="2:46" s="42" customFormat="1" ht="12" customHeight="1">
      <c r="B42" s="143"/>
      <c r="AT42" s="46"/>
    </row>
    <row r="43" spans="2:46" s="42" customFormat="1" ht="12" customHeight="1">
      <c r="B43" s="47"/>
      <c r="AT43" s="46"/>
    </row>
    <row r="44" spans="2:46" s="42" customFormat="1" ht="12" customHeight="1">
      <c r="B44" s="47"/>
      <c r="AT44" s="46"/>
    </row>
    <row r="45" spans="2:46" s="42" customFormat="1" ht="12" customHeight="1">
      <c r="B45" s="47"/>
      <c r="AT45" s="46"/>
    </row>
    <row r="46" spans="2:46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3"/>
    </row>
    <row r="47" spans="2:46" s="42" customFormat="1" ht="6" customHeight="1">
      <c r="B47" s="54"/>
      <c r="AT47" s="46"/>
    </row>
    <row r="48" spans="2:46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11"/>
    </row>
    <row r="49" spans="2:68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12"/>
    </row>
    <row r="50" spans="2:68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12"/>
    </row>
    <row r="51" spans="2:68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12"/>
    </row>
    <row r="52" spans="2:68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12"/>
    </row>
    <row r="53" spans="2:68" s="56" customFormat="1" ht="15" customHeight="1">
      <c r="B53" s="61" t="s">
        <v>15</v>
      </c>
      <c r="C53" s="58" t="str">
        <f t="shared" ref="C53:AT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ref="V53:AH53" si="1">IF(ISERR(AVERAGE(V48:V52))," ",AVERAGE(V48:V52))</f>
        <v xml:space="preserve"> </v>
      </c>
      <c r="W53" s="59" t="str">
        <f t="shared" si="1"/>
        <v xml:space="preserve"> </v>
      </c>
      <c r="X53" s="59" t="str">
        <f t="shared" si="1"/>
        <v xml:space="preserve"> </v>
      </c>
      <c r="Y53" s="59" t="str">
        <f t="shared" si="1"/>
        <v xml:space="preserve"> </v>
      </c>
      <c r="Z53" s="59" t="str">
        <f t="shared" si="1"/>
        <v xml:space="preserve"> </v>
      </c>
      <c r="AA53" s="59" t="str">
        <f t="shared" si="1"/>
        <v xml:space="preserve"> </v>
      </c>
      <c r="AB53" s="59" t="str">
        <f t="shared" si="1"/>
        <v xml:space="preserve"> </v>
      </c>
      <c r="AC53" s="59" t="str">
        <f t="shared" si="1"/>
        <v xml:space="preserve"> </v>
      </c>
      <c r="AD53" s="59" t="str">
        <f t="shared" si="1"/>
        <v xml:space="preserve"> </v>
      </c>
      <c r="AE53" s="59" t="str">
        <f t="shared" si="1"/>
        <v xml:space="preserve"> </v>
      </c>
      <c r="AF53" s="59" t="str">
        <f t="shared" si="1"/>
        <v xml:space="preserve"> </v>
      </c>
      <c r="AG53" s="59" t="str">
        <f t="shared" si="1"/>
        <v xml:space="preserve"> </v>
      </c>
      <c r="AH53" s="59" t="str">
        <f t="shared" si="1"/>
        <v xml:space="preserve"> </v>
      </c>
      <c r="AI53" s="59" t="str">
        <f t="shared" si="0"/>
        <v xml:space="preserve"> </v>
      </c>
      <c r="AJ53" s="59" t="str">
        <f t="shared" si="0"/>
        <v xml:space="preserve"> </v>
      </c>
      <c r="AK53" s="59" t="str">
        <f t="shared" si="0"/>
        <v xml:space="preserve"> </v>
      </c>
      <c r="AL53" s="59" t="str">
        <f t="shared" si="0"/>
        <v xml:space="preserve"> </v>
      </c>
      <c r="AM53" s="59" t="str">
        <f t="shared" si="0"/>
        <v xml:space="preserve"> </v>
      </c>
      <c r="AN53" s="59" t="str">
        <f t="shared" si="0"/>
        <v xml:space="preserve"> </v>
      </c>
      <c r="AO53" s="59" t="str">
        <f t="shared" si="0"/>
        <v xml:space="preserve"> </v>
      </c>
      <c r="AP53" s="59" t="str">
        <f t="shared" si="0"/>
        <v xml:space="preserve"> </v>
      </c>
      <c r="AQ53" s="59" t="str">
        <f t="shared" si="0"/>
        <v xml:space="preserve"> </v>
      </c>
      <c r="AR53" s="59" t="str">
        <f t="shared" si="0"/>
        <v xml:space="preserve"> </v>
      </c>
      <c r="AS53" s="59" t="str">
        <f t="shared" si="0"/>
        <v xml:space="preserve"> </v>
      </c>
      <c r="AT53" s="60" t="str">
        <f t="shared" si="0"/>
        <v xml:space="preserve"> </v>
      </c>
    </row>
    <row r="54" spans="2:68" s="56" customFormat="1" ht="15" customHeight="1">
      <c r="B54" s="61" t="s">
        <v>8</v>
      </c>
      <c r="C54" s="62">
        <f t="shared" ref="C54:AT54" si="2">MAX(C48:C52)-MIN(C48:C52)</f>
        <v>0</v>
      </c>
      <c r="D54" s="63">
        <f t="shared" si="2"/>
        <v>0</v>
      </c>
      <c r="E54" s="63">
        <f t="shared" si="2"/>
        <v>0</v>
      </c>
      <c r="F54" s="63">
        <f t="shared" si="2"/>
        <v>0</v>
      </c>
      <c r="G54" s="63">
        <f t="shared" si="2"/>
        <v>0</v>
      </c>
      <c r="H54" s="63">
        <f t="shared" si="2"/>
        <v>0</v>
      </c>
      <c r="I54" s="63">
        <f t="shared" si="2"/>
        <v>0</v>
      </c>
      <c r="J54" s="63">
        <f t="shared" si="2"/>
        <v>0</v>
      </c>
      <c r="K54" s="63">
        <f t="shared" si="2"/>
        <v>0</v>
      </c>
      <c r="L54" s="63">
        <f t="shared" si="2"/>
        <v>0</v>
      </c>
      <c r="M54" s="63">
        <f t="shared" si="2"/>
        <v>0</v>
      </c>
      <c r="N54" s="63">
        <f t="shared" si="2"/>
        <v>0</v>
      </c>
      <c r="O54" s="63">
        <f t="shared" si="2"/>
        <v>0</v>
      </c>
      <c r="P54" s="63">
        <f t="shared" si="2"/>
        <v>0</v>
      </c>
      <c r="Q54" s="63">
        <f t="shared" si="2"/>
        <v>0</v>
      </c>
      <c r="R54" s="109">
        <f t="shared" si="2"/>
        <v>0</v>
      </c>
      <c r="S54" s="109">
        <f t="shared" si="2"/>
        <v>0</v>
      </c>
      <c r="T54" s="109">
        <f t="shared" si="2"/>
        <v>0</v>
      </c>
      <c r="U54" s="109">
        <f t="shared" si="2"/>
        <v>0</v>
      </c>
      <c r="V54" s="109">
        <f t="shared" ref="V54:AH54" si="3">MAX(V48:V52)-MIN(V48:V52)</f>
        <v>0</v>
      </c>
      <c r="W54" s="109">
        <f t="shared" si="3"/>
        <v>0</v>
      </c>
      <c r="X54" s="109">
        <f t="shared" si="3"/>
        <v>0</v>
      </c>
      <c r="Y54" s="109">
        <f t="shared" si="3"/>
        <v>0</v>
      </c>
      <c r="Z54" s="109">
        <f t="shared" si="3"/>
        <v>0</v>
      </c>
      <c r="AA54" s="109">
        <f t="shared" si="3"/>
        <v>0</v>
      </c>
      <c r="AB54" s="109">
        <f t="shared" si="3"/>
        <v>0</v>
      </c>
      <c r="AC54" s="109">
        <f t="shared" si="3"/>
        <v>0</v>
      </c>
      <c r="AD54" s="109">
        <f t="shared" si="3"/>
        <v>0</v>
      </c>
      <c r="AE54" s="109">
        <f t="shared" si="3"/>
        <v>0</v>
      </c>
      <c r="AF54" s="109">
        <f t="shared" si="3"/>
        <v>0</v>
      </c>
      <c r="AG54" s="109">
        <f t="shared" si="3"/>
        <v>0</v>
      </c>
      <c r="AH54" s="109">
        <f t="shared" si="3"/>
        <v>0</v>
      </c>
      <c r="AI54" s="109">
        <f t="shared" si="2"/>
        <v>0</v>
      </c>
      <c r="AJ54" s="109">
        <f t="shared" si="2"/>
        <v>0</v>
      </c>
      <c r="AK54" s="109">
        <f t="shared" si="2"/>
        <v>0</v>
      </c>
      <c r="AL54" s="109">
        <f t="shared" si="2"/>
        <v>0</v>
      </c>
      <c r="AM54" s="109">
        <f t="shared" si="2"/>
        <v>0</v>
      </c>
      <c r="AN54" s="109">
        <f t="shared" si="2"/>
        <v>0</v>
      </c>
      <c r="AO54" s="109">
        <f t="shared" si="2"/>
        <v>0</v>
      </c>
      <c r="AP54" s="109">
        <f t="shared" si="2"/>
        <v>0</v>
      </c>
      <c r="AQ54" s="109">
        <f t="shared" si="2"/>
        <v>0</v>
      </c>
      <c r="AR54" s="109">
        <f t="shared" si="2"/>
        <v>0</v>
      </c>
      <c r="AS54" s="109">
        <f t="shared" si="2"/>
        <v>0</v>
      </c>
      <c r="AT54" s="110">
        <f t="shared" si="2"/>
        <v>0</v>
      </c>
    </row>
    <row r="55" spans="2:68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8"/>
    </row>
    <row r="56" spans="2:68" s="56" customFormat="1" ht="26.25" thickBot="1">
      <c r="B56" s="116" t="str">
        <f>'SJCPIL-R 16-303-03 - T1'!B56</f>
        <v>Visto do Líder / Sublíder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1"/>
    </row>
    <row r="57" spans="2:68" s="42" customFormat="1" ht="20.100000000000001" customHeight="1">
      <c r="B57" s="151" t="s">
        <v>27</v>
      </c>
      <c r="C57" s="152"/>
      <c r="D57" s="152"/>
      <c r="E57" s="153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50"/>
    </row>
    <row r="58" spans="2:68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2"/>
    </row>
    <row r="59" spans="2:68" s="42" customFormat="1" ht="20.100000000000001" customHeight="1">
      <c r="B59" s="154" t="s">
        <v>28</v>
      </c>
      <c r="C59" s="155"/>
      <c r="D59" s="155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2"/>
    </row>
    <row r="60" spans="2:68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4"/>
    </row>
    <row r="61" spans="2:68" s="42" customFormat="1" ht="7.5" customHeight="1"/>
    <row r="62" spans="2:68" s="42" customFormat="1" ht="15.75">
      <c r="B62" s="156" t="s">
        <v>32</v>
      </c>
      <c r="C62" s="157"/>
      <c r="D62" s="157"/>
      <c r="E62" s="157"/>
      <c r="F62" s="157"/>
      <c r="G62" s="146" t="s">
        <v>16</v>
      </c>
      <c r="H62" s="146"/>
      <c r="I62" s="146"/>
      <c r="J62" s="146"/>
      <c r="K62" s="147"/>
      <c r="L62" s="146" t="s">
        <v>33</v>
      </c>
      <c r="M62" s="146"/>
      <c r="N62" s="146"/>
      <c r="O62" s="146"/>
      <c r="P62" s="146"/>
      <c r="Q62" s="146"/>
      <c r="R62" s="146"/>
      <c r="S62" s="157" t="s">
        <v>46</v>
      </c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60" t="s">
        <v>47</v>
      </c>
      <c r="AK62" s="157"/>
      <c r="AL62" s="157"/>
      <c r="AM62" s="157"/>
      <c r="AN62" s="157"/>
      <c r="AO62" s="157"/>
      <c r="AP62" s="157" t="s">
        <v>16</v>
      </c>
      <c r="AQ62" s="157"/>
      <c r="AR62" s="157"/>
      <c r="AS62" s="157"/>
      <c r="AT62" s="162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</row>
    <row r="63" spans="2:68" s="42" customFormat="1" ht="15.75">
      <c r="B63" s="158"/>
      <c r="C63" s="159"/>
      <c r="D63" s="159"/>
      <c r="E63" s="159"/>
      <c r="F63" s="159"/>
      <c r="G63" s="148"/>
      <c r="H63" s="148"/>
      <c r="I63" s="148"/>
      <c r="J63" s="148"/>
      <c r="K63" s="149"/>
      <c r="L63" s="148"/>
      <c r="M63" s="148"/>
      <c r="N63" s="148"/>
      <c r="O63" s="148"/>
      <c r="P63" s="148"/>
      <c r="Q63" s="148"/>
      <c r="R63" s="148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1"/>
      <c r="AK63" s="159"/>
      <c r="AL63" s="159"/>
      <c r="AM63" s="159"/>
      <c r="AN63" s="159"/>
      <c r="AO63" s="159"/>
      <c r="AP63" s="159"/>
      <c r="AQ63" s="159"/>
      <c r="AR63" s="159"/>
      <c r="AS63" s="159"/>
      <c r="AT63" s="163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</row>
    <row r="64" spans="2:68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0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</row>
    <row r="65" spans="2:5">
      <c r="B65" s="13" t="s">
        <v>19</v>
      </c>
    </row>
    <row r="66" spans="2:5">
      <c r="B66" s="13" t="s">
        <v>17</v>
      </c>
      <c r="C66" s="72" t="e">
        <f>AVERAGE(C53:AT53)+0.577*C69</f>
        <v>#DIV/0!</v>
      </c>
    </row>
    <row r="67" spans="2:5">
      <c r="B67" s="13" t="s">
        <v>2</v>
      </c>
      <c r="C67" s="72" t="e">
        <f>AVERAGE(C53:AT53)</f>
        <v>#DIV/0!</v>
      </c>
      <c r="D67" s="73" t="s">
        <v>23</v>
      </c>
      <c r="E67" s="13" t="e">
        <f>STDEV(C48:AS52)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2.115*(SUM(C54:AT54)/COUNTIF(C54:AT54,"&lt;&gt;0"))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COUNTIF(C10:AT10,"&gt;0")</f>
        <v>0</v>
      </c>
    </row>
  </sheetData>
  <sheetProtection algorithmName="SHA-512" hashValue="l/bwQnT3FqiwN6AHlhPht3NibjwDhYE63ohIK5b5NS1thL+9rlSbWX7JulGOM2326N88mZW33fv0G/Ev6kPnmQ==" saltValue="0YYqA5RNqj5rMtrPsHbdgg==" spinCount="100000" sheet="1" objects="1" scenarios="1" selectLockedCells="1"/>
  <mergeCells count="29">
    <mergeCell ref="L62:R63"/>
    <mergeCell ref="S62:AI63"/>
    <mergeCell ref="AJ62:AO63"/>
    <mergeCell ref="AP62:AT63"/>
    <mergeCell ref="BF64:BP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Q4:AT5"/>
    <mergeCell ref="B13:B14"/>
    <mergeCell ref="B15:B16"/>
    <mergeCell ref="B17:B18"/>
    <mergeCell ref="B19:B20"/>
    <mergeCell ref="AM4:AP5"/>
    <mergeCell ref="B21:B22"/>
    <mergeCell ref="I2:J3"/>
    <mergeCell ref="K2:L3"/>
    <mergeCell ref="M2:Q3"/>
    <mergeCell ref="R2:T2"/>
    <mergeCell ref="R3:T3"/>
  </mergeCells>
  <conditionalFormatting sqref="AH48:AT52 C48:G52 I48:U52">
    <cfRule type="expression" dxfId="11" priority="7">
      <formula>(C48&gt;$G$4)*(C48&lt;&gt;0)</formula>
    </cfRule>
    <cfRule type="expression" dxfId="10" priority="8">
      <formula>(C48&lt;$G$6)*(C48&lt;&gt;0)</formula>
    </cfRule>
  </conditionalFormatting>
  <conditionalFormatting sqref="V48:AF52">
    <cfRule type="expression" dxfId="9" priority="5">
      <formula>(V48&gt;$G$4)*(V48&lt;&gt;0)</formula>
    </cfRule>
    <cfRule type="expression" dxfId="8" priority="6">
      <formula>(V48&lt;$G$6)*(V48&lt;&gt;0)</formula>
    </cfRule>
  </conditionalFormatting>
  <conditionalFormatting sqref="AG48:AG52">
    <cfRule type="expression" dxfId="7" priority="3">
      <formula>(AG48&gt;$G$4)*(AG48&lt;&gt;0)</formula>
    </cfRule>
    <cfRule type="expression" dxfId="6" priority="4">
      <formula>(AG48&lt;$G$6)*(AG48&lt;&gt;0)</formula>
    </cfRule>
  </conditionalFormatting>
  <conditionalFormatting sqref="H48:H52">
    <cfRule type="expression" dxfId="5" priority="1">
      <formula>(H48&gt;$G$4)*(H48&lt;&gt;0)</formula>
    </cfRule>
    <cfRule type="expression" dxfId="4" priority="2">
      <formula>(H48&lt;$G$6)*(H48&lt;&gt;0)</formula>
    </cfRule>
  </conditionalFormatting>
  <dataValidations count="3">
    <dataValidation type="whole" showErrorMessage="1" errorTitle="Data" error="Digite apenas o dia entre 1 e 31" sqref="C10:D10" xr:uid="{00000000-0002-0000-0300-000000000000}">
      <formula1>1</formula1>
      <formula2>31</formula2>
    </dataValidation>
    <dataValidation type="whole" showInputMessage="1" showErrorMessage="1" errorTitle="Data" error="Digite apenas o dia entre 1 e 31" sqref="E10:AT10" xr:uid="{00000000-0002-0000-0300-000001000000}">
      <formula1>1</formula1>
      <formula2>31</formula2>
    </dataValidation>
    <dataValidation type="list" showErrorMessage="1" promptTitle="Turno" prompt="Escolha" sqref="C11:AT11" xr:uid="{00000000-0002-0000-03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AA-XXX-RR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>
    <tabColor indexed="47"/>
    <pageSetUpPr fitToPage="1"/>
  </sheetPr>
  <dimension ref="B1:BP75"/>
  <sheetViews>
    <sheetView showZeros="0" tabSelected="1" topLeftCell="A2" zoomScaleNormal="100" workbookViewId="0">
      <selection activeCell="U55" sqref="U55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46" width="6.7109375" style="13" customWidth="1"/>
    <col min="47" max="47" width="3.140625" style="13" customWidth="1"/>
    <col min="48" max="68" width="6.7109375" style="13" customWidth="1"/>
    <col min="69" max="16384" width="10.28515625" style="13"/>
  </cols>
  <sheetData>
    <row r="1" spans="2:63" ht="21.75" thickBot="1">
      <c r="B1" s="99" t="s">
        <v>48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7"/>
      <c r="BK1" s="14"/>
    </row>
    <row r="2" spans="2:63" s="15" customFormat="1" ht="19.5" customHeight="1">
      <c r="B2" s="103" t="s">
        <v>49</v>
      </c>
      <c r="C2" s="104"/>
      <c r="D2" s="105"/>
      <c r="E2" s="105"/>
      <c r="F2" s="106"/>
      <c r="G2" s="106"/>
      <c r="H2" s="107"/>
      <c r="I2" s="119" t="s">
        <v>26</v>
      </c>
      <c r="J2" s="120"/>
      <c r="K2" s="123" t="str">
        <f>'SJCPIL-R 16-303-03 - T1'!K2:L3</f>
        <v>UM-3 L2</v>
      </c>
      <c r="L2" s="124"/>
      <c r="M2" s="127" t="s">
        <v>0</v>
      </c>
      <c r="N2" s="128"/>
      <c r="O2" s="128"/>
      <c r="P2" s="128"/>
      <c r="Q2" s="129"/>
      <c r="R2" s="133" t="s">
        <v>25</v>
      </c>
      <c r="S2" s="134"/>
      <c r="T2" s="135"/>
      <c r="U2" s="16" t="s">
        <v>39</v>
      </c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7"/>
      <c r="AJ2" s="17"/>
      <c r="AK2" s="17"/>
      <c r="AL2" s="17"/>
      <c r="AM2" s="18"/>
      <c r="AN2" s="18"/>
      <c r="AO2" s="18"/>
      <c r="AP2" s="18"/>
      <c r="AQ2" s="18"/>
      <c r="AR2" s="19"/>
      <c r="AS2" s="19"/>
      <c r="AT2" s="20"/>
    </row>
    <row r="3" spans="2:63" ht="16.899999999999999" customHeight="1" thickBot="1">
      <c r="B3" s="82"/>
      <c r="I3" s="121"/>
      <c r="J3" s="122"/>
      <c r="K3" s="125"/>
      <c r="L3" s="126"/>
      <c r="M3" s="130"/>
      <c r="N3" s="131"/>
      <c r="O3" s="131"/>
      <c r="P3" s="131"/>
      <c r="Q3" s="132"/>
      <c r="R3" s="136" t="s">
        <v>24</v>
      </c>
      <c r="S3" s="137"/>
      <c r="T3" s="138"/>
      <c r="U3" s="21" t="s">
        <v>40</v>
      </c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2"/>
      <c r="AJ3" s="22"/>
      <c r="AK3" s="22"/>
      <c r="AL3" s="22"/>
      <c r="AM3" s="22"/>
      <c r="AN3" s="22"/>
      <c r="AO3" s="22"/>
      <c r="AP3" s="22"/>
      <c r="AQ3" s="22"/>
      <c r="AR3" s="23"/>
      <c r="AS3" s="23"/>
      <c r="AT3" s="24"/>
    </row>
    <row r="4" spans="2:63" s="32" customFormat="1" ht="16.899999999999999" customHeight="1">
      <c r="B4" s="83" t="s">
        <v>13</v>
      </c>
      <c r="C4" s="25"/>
      <c r="D4" s="26" t="s">
        <v>1</v>
      </c>
      <c r="E4" s="27">
        <f>E5+E7/2</f>
        <v>47.7</v>
      </c>
      <c r="F4" s="28" t="s">
        <v>34</v>
      </c>
      <c r="G4" s="29">
        <f>G5+G7/2</f>
        <v>47.65</v>
      </c>
      <c r="H4" s="30"/>
      <c r="I4" s="31"/>
      <c r="AM4" s="144" t="str">
        <f ca="1">'SJCPIL-R 16-303-03 - T1'!AM4</f>
        <v>MÊS: 03</v>
      </c>
      <c r="AN4" s="139"/>
      <c r="AO4" s="139"/>
      <c r="AP4" s="139"/>
      <c r="AQ4" s="139" t="str">
        <f ca="1">'SJCPIL-R 16-303-03 - T1'!AQ4</f>
        <v>ANO: 2022</v>
      </c>
      <c r="AR4" s="139"/>
      <c r="AS4" s="139"/>
      <c r="AT4" s="140"/>
    </row>
    <row r="5" spans="2:63" s="32" customFormat="1" ht="16.899999999999999" customHeight="1" thickBot="1">
      <c r="B5" s="84" t="s">
        <v>52</v>
      </c>
      <c r="C5" s="33" t="s">
        <v>2</v>
      </c>
      <c r="D5" s="34" t="s">
        <v>3</v>
      </c>
      <c r="E5" s="35">
        <v>47.6</v>
      </c>
      <c r="F5" s="36" t="s">
        <v>3</v>
      </c>
      <c r="G5" s="37">
        <f>E5</f>
        <v>47.6</v>
      </c>
      <c r="H5" s="30"/>
      <c r="I5" s="32" t="s">
        <v>31</v>
      </c>
      <c r="R5" s="32" t="s">
        <v>4</v>
      </c>
      <c r="AM5" s="145"/>
      <c r="AN5" s="141"/>
      <c r="AO5" s="141"/>
      <c r="AP5" s="141"/>
      <c r="AQ5" s="141"/>
      <c r="AR5" s="141"/>
      <c r="AS5" s="141"/>
      <c r="AT5" s="142"/>
    </row>
    <row r="6" spans="2:63" s="32" customFormat="1" ht="16.899999999999999" customHeight="1">
      <c r="B6" s="85" t="s">
        <v>14</v>
      </c>
      <c r="C6" s="38"/>
      <c r="D6" s="34" t="s">
        <v>5</v>
      </c>
      <c r="E6" s="35">
        <f>E5-E7/2</f>
        <v>47.5</v>
      </c>
      <c r="F6" s="36" t="s">
        <v>35</v>
      </c>
      <c r="G6" s="37">
        <f>G5-G7/2</f>
        <v>47.550000000000004</v>
      </c>
      <c r="H6" s="30"/>
      <c r="I6" s="32" t="s">
        <v>6</v>
      </c>
      <c r="R6" s="32" t="s">
        <v>7</v>
      </c>
      <c r="AP6" s="86"/>
      <c r="AQ6" s="86"/>
      <c r="AT6" s="87"/>
    </row>
    <row r="7" spans="2:63" s="32" customFormat="1" ht="16.899999999999999" customHeight="1" thickBot="1">
      <c r="B7" s="88"/>
      <c r="C7" s="89" t="s">
        <v>8</v>
      </c>
      <c r="D7" s="90" t="s">
        <v>1</v>
      </c>
      <c r="E7" s="91">
        <v>0.2</v>
      </c>
      <c r="F7" s="39" t="s">
        <v>34</v>
      </c>
      <c r="G7" s="40">
        <v>0.1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4"/>
      <c r="AQ7" s="94"/>
      <c r="AR7" s="93"/>
      <c r="AS7" s="93"/>
      <c r="AT7" s="95"/>
    </row>
    <row r="8" spans="2:63" s="32" customFormat="1" ht="4.5" customHeight="1" thickBot="1"/>
    <row r="9" spans="2:63" s="42" customFormat="1">
      <c r="B9" s="41" t="s">
        <v>10</v>
      </c>
      <c r="C9" s="74"/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11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4">
        <v>31</v>
      </c>
      <c r="AH9" s="74">
        <v>32</v>
      </c>
      <c r="AI9" s="74">
        <v>33</v>
      </c>
      <c r="AJ9" s="74">
        <v>34</v>
      </c>
      <c r="AK9" s="74">
        <v>35</v>
      </c>
      <c r="AL9" s="74">
        <v>36</v>
      </c>
      <c r="AM9" s="74">
        <v>37</v>
      </c>
      <c r="AN9" s="74">
        <v>38</v>
      </c>
      <c r="AO9" s="74">
        <v>39</v>
      </c>
      <c r="AP9" s="74">
        <v>40</v>
      </c>
      <c r="AQ9" s="74">
        <v>41</v>
      </c>
      <c r="AR9" s="74">
        <v>42</v>
      </c>
      <c r="AS9" s="74">
        <v>43</v>
      </c>
      <c r="AT9" s="75">
        <v>44</v>
      </c>
    </row>
    <row r="10" spans="2:63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0"/>
    </row>
    <row r="11" spans="2:63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10"/>
    </row>
    <row r="12" spans="2:63" s="42" customFormat="1" ht="12" customHeight="1">
      <c r="B12" s="45"/>
      <c r="AT12" s="46"/>
    </row>
    <row r="13" spans="2:63" s="42" customFormat="1" ht="12" customHeight="1">
      <c r="B13" s="143"/>
      <c r="AT13" s="46"/>
    </row>
    <row r="14" spans="2:63" s="42" customFormat="1" ht="12" customHeight="1">
      <c r="B14" s="143"/>
      <c r="AT14" s="46"/>
    </row>
    <row r="15" spans="2:63" s="42" customFormat="1" ht="12" customHeight="1">
      <c r="B15" s="118"/>
      <c r="AT15" s="46"/>
    </row>
    <row r="16" spans="2:63" s="42" customFormat="1" ht="12" customHeight="1">
      <c r="B16" s="118"/>
      <c r="AT16" s="46"/>
    </row>
    <row r="17" spans="2:46" s="42" customFormat="1" ht="12" customHeight="1">
      <c r="B17" s="118"/>
      <c r="AT17" s="46"/>
    </row>
    <row r="18" spans="2:46" s="42" customFormat="1" ht="12" customHeight="1">
      <c r="B18" s="118"/>
      <c r="AT18" s="46"/>
    </row>
    <row r="19" spans="2:46" s="42" customFormat="1" ht="12" customHeight="1">
      <c r="B19" s="118"/>
      <c r="AT19" s="46"/>
    </row>
    <row r="20" spans="2:46" s="42" customFormat="1" ht="12" customHeight="1">
      <c r="B20" s="118"/>
      <c r="AT20" s="46"/>
    </row>
    <row r="21" spans="2:46" s="42" customFormat="1" ht="12" customHeight="1">
      <c r="B21" s="118"/>
      <c r="AT21" s="46"/>
    </row>
    <row r="22" spans="2:46" s="42" customFormat="1" ht="12" customHeight="1">
      <c r="B22" s="118"/>
      <c r="AT22" s="46"/>
    </row>
    <row r="23" spans="2:46" s="42" customFormat="1" ht="12" customHeight="1">
      <c r="B23" s="143"/>
      <c r="AT23" s="46"/>
    </row>
    <row r="24" spans="2:46" s="42" customFormat="1" ht="12" customHeight="1">
      <c r="B24" s="143"/>
      <c r="AT24" s="46"/>
    </row>
    <row r="25" spans="2:46" s="42" customFormat="1" ht="12" customHeight="1">
      <c r="B25" s="118"/>
      <c r="AT25" s="46"/>
    </row>
    <row r="26" spans="2:46" s="42" customFormat="1" ht="12" customHeight="1">
      <c r="B26" s="118"/>
      <c r="AT26" s="46"/>
    </row>
    <row r="27" spans="2:46" s="42" customFormat="1" ht="12" customHeight="1">
      <c r="B27" s="118"/>
      <c r="AT27" s="46"/>
    </row>
    <row r="28" spans="2:46" s="42" customFormat="1" ht="12" customHeight="1">
      <c r="B28" s="118"/>
      <c r="AT28" s="46"/>
    </row>
    <row r="29" spans="2:46" s="42" customFormat="1" ht="12" customHeight="1">
      <c r="B29" s="118"/>
      <c r="AT29" s="46"/>
    </row>
    <row r="30" spans="2:46" s="42" customFormat="1" ht="12" customHeight="1">
      <c r="B30" s="118"/>
      <c r="AT30" s="46"/>
    </row>
    <row r="31" spans="2:46" s="42" customFormat="1" ht="12" customHeight="1">
      <c r="B31" s="118"/>
      <c r="AT31" s="46"/>
    </row>
    <row r="32" spans="2:46" s="42" customFormat="1" ht="12" customHeight="1">
      <c r="B32" s="118"/>
      <c r="AT32" s="46"/>
    </row>
    <row r="33" spans="2:46" s="42" customFormat="1" ht="12" customHeight="1">
      <c r="B33" s="143"/>
      <c r="AT33" s="46"/>
    </row>
    <row r="34" spans="2:46" s="42" customFormat="1" ht="12" customHeight="1">
      <c r="B34" s="143"/>
      <c r="AT34" s="46"/>
    </row>
    <row r="35" spans="2:46" s="42" customFormat="1" ht="12" customHeight="1" thickBot="1">
      <c r="B35" s="48"/>
      <c r="AT35" s="46"/>
    </row>
    <row r="36" spans="2:46" s="42" customFormat="1" ht="12" customHeight="1">
      <c r="B36" s="1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50"/>
    </row>
    <row r="37" spans="2:46" s="42" customFormat="1" ht="12" customHeight="1">
      <c r="B37" s="143"/>
      <c r="AT37" s="46"/>
    </row>
    <row r="38" spans="2:46" s="42" customFormat="1" ht="12" customHeight="1">
      <c r="B38" s="47"/>
      <c r="AT38" s="46"/>
    </row>
    <row r="39" spans="2:46" s="42" customFormat="1" ht="12" customHeight="1">
      <c r="B39" s="47"/>
      <c r="AT39" s="46"/>
    </row>
    <row r="40" spans="2:46" s="42" customFormat="1" ht="12" customHeight="1">
      <c r="B40" s="47"/>
      <c r="AT40" s="46"/>
    </row>
    <row r="41" spans="2:46" s="42" customFormat="1" ht="12" customHeight="1">
      <c r="B41" s="143"/>
      <c r="AT41" s="46"/>
    </row>
    <row r="42" spans="2:46" s="42" customFormat="1" ht="12" customHeight="1">
      <c r="B42" s="143"/>
      <c r="AT42" s="46"/>
    </row>
    <row r="43" spans="2:46" s="42" customFormat="1" ht="12" customHeight="1">
      <c r="B43" s="47"/>
      <c r="AT43" s="46"/>
    </row>
    <row r="44" spans="2:46" s="42" customFormat="1" ht="12" customHeight="1">
      <c r="B44" s="47"/>
      <c r="AT44" s="46"/>
    </row>
    <row r="45" spans="2:46" s="42" customFormat="1" ht="12" customHeight="1">
      <c r="B45" s="47"/>
      <c r="AT45" s="46"/>
    </row>
    <row r="46" spans="2:46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3"/>
    </row>
    <row r="47" spans="2:46" s="42" customFormat="1" ht="6" customHeight="1">
      <c r="B47" s="54"/>
      <c r="AT47" s="46"/>
    </row>
    <row r="48" spans="2:46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11"/>
    </row>
    <row r="49" spans="2:68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12"/>
    </row>
    <row r="50" spans="2:68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12"/>
    </row>
    <row r="51" spans="2:68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12"/>
    </row>
    <row r="52" spans="2:68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12"/>
    </row>
    <row r="53" spans="2:68" s="56" customFormat="1" ht="15" customHeight="1">
      <c r="B53" s="61" t="s">
        <v>15</v>
      </c>
      <c r="C53" s="58" t="str">
        <f t="shared" ref="C53:AT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ref="V53:AH53" si="1">IF(ISERR(AVERAGE(V48:V52))," ",AVERAGE(V48:V52))</f>
        <v xml:space="preserve"> </v>
      </c>
      <c r="W53" s="59" t="str">
        <f t="shared" si="1"/>
        <v xml:space="preserve"> </v>
      </c>
      <c r="X53" s="59" t="str">
        <f t="shared" si="1"/>
        <v xml:space="preserve"> </v>
      </c>
      <c r="Y53" s="59" t="str">
        <f t="shared" si="1"/>
        <v xml:space="preserve"> </v>
      </c>
      <c r="Z53" s="59" t="str">
        <f t="shared" si="1"/>
        <v xml:space="preserve"> </v>
      </c>
      <c r="AA53" s="59" t="str">
        <f t="shared" si="1"/>
        <v xml:space="preserve"> </v>
      </c>
      <c r="AB53" s="59" t="str">
        <f t="shared" si="1"/>
        <v xml:space="preserve"> </v>
      </c>
      <c r="AC53" s="59" t="str">
        <f t="shared" si="1"/>
        <v xml:space="preserve"> </v>
      </c>
      <c r="AD53" s="59" t="str">
        <f t="shared" si="1"/>
        <v xml:space="preserve"> </v>
      </c>
      <c r="AE53" s="59" t="str">
        <f t="shared" si="1"/>
        <v xml:space="preserve"> </v>
      </c>
      <c r="AF53" s="59" t="str">
        <f t="shared" si="1"/>
        <v xml:space="preserve"> </v>
      </c>
      <c r="AG53" s="59" t="str">
        <f t="shared" si="1"/>
        <v xml:space="preserve"> </v>
      </c>
      <c r="AH53" s="59" t="str">
        <f t="shared" si="1"/>
        <v xml:space="preserve"> </v>
      </c>
      <c r="AI53" s="59" t="str">
        <f t="shared" si="0"/>
        <v xml:space="preserve"> </v>
      </c>
      <c r="AJ53" s="59" t="str">
        <f t="shared" si="0"/>
        <v xml:space="preserve"> </v>
      </c>
      <c r="AK53" s="59" t="str">
        <f t="shared" si="0"/>
        <v xml:space="preserve"> </v>
      </c>
      <c r="AL53" s="59" t="str">
        <f t="shared" si="0"/>
        <v xml:space="preserve"> </v>
      </c>
      <c r="AM53" s="59" t="str">
        <f t="shared" si="0"/>
        <v xml:space="preserve"> </v>
      </c>
      <c r="AN53" s="59" t="str">
        <f t="shared" si="0"/>
        <v xml:space="preserve"> </v>
      </c>
      <c r="AO53" s="59" t="str">
        <f t="shared" si="0"/>
        <v xml:space="preserve"> </v>
      </c>
      <c r="AP53" s="59" t="str">
        <f t="shared" si="0"/>
        <v xml:space="preserve"> </v>
      </c>
      <c r="AQ53" s="59" t="str">
        <f t="shared" si="0"/>
        <v xml:space="preserve"> </v>
      </c>
      <c r="AR53" s="59" t="str">
        <f t="shared" si="0"/>
        <v xml:space="preserve"> </v>
      </c>
      <c r="AS53" s="59" t="str">
        <f t="shared" si="0"/>
        <v xml:space="preserve"> </v>
      </c>
      <c r="AT53" s="60" t="str">
        <f t="shared" si="0"/>
        <v xml:space="preserve"> </v>
      </c>
    </row>
    <row r="54" spans="2:68" s="56" customFormat="1" ht="15" customHeight="1">
      <c r="B54" s="61" t="s">
        <v>8</v>
      </c>
      <c r="C54" s="62">
        <f t="shared" ref="C54:AT54" si="2">MAX(C48:C52)-MIN(C48:C52)</f>
        <v>0</v>
      </c>
      <c r="D54" s="63">
        <f t="shared" si="2"/>
        <v>0</v>
      </c>
      <c r="E54" s="63">
        <f t="shared" si="2"/>
        <v>0</v>
      </c>
      <c r="F54" s="63">
        <f t="shared" si="2"/>
        <v>0</v>
      </c>
      <c r="G54" s="63">
        <f t="shared" si="2"/>
        <v>0</v>
      </c>
      <c r="H54" s="63">
        <f t="shared" si="2"/>
        <v>0</v>
      </c>
      <c r="I54" s="63">
        <f t="shared" si="2"/>
        <v>0</v>
      </c>
      <c r="J54" s="63">
        <f t="shared" si="2"/>
        <v>0</v>
      </c>
      <c r="K54" s="63">
        <f t="shared" si="2"/>
        <v>0</v>
      </c>
      <c r="L54" s="63">
        <f t="shared" si="2"/>
        <v>0</v>
      </c>
      <c r="M54" s="63">
        <f t="shared" si="2"/>
        <v>0</v>
      </c>
      <c r="N54" s="63">
        <f t="shared" si="2"/>
        <v>0</v>
      </c>
      <c r="O54" s="63">
        <f t="shared" si="2"/>
        <v>0</v>
      </c>
      <c r="P54" s="63">
        <f t="shared" si="2"/>
        <v>0</v>
      </c>
      <c r="Q54" s="63">
        <f t="shared" si="2"/>
        <v>0</v>
      </c>
      <c r="R54" s="109">
        <f t="shared" si="2"/>
        <v>0</v>
      </c>
      <c r="S54" s="109">
        <f t="shared" si="2"/>
        <v>0</v>
      </c>
      <c r="T54" s="109">
        <f t="shared" si="2"/>
        <v>0</v>
      </c>
      <c r="U54" s="109">
        <f t="shared" si="2"/>
        <v>0</v>
      </c>
      <c r="V54" s="109">
        <f t="shared" ref="V54:AH54" si="3">MAX(V48:V52)-MIN(V48:V52)</f>
        <v>0</v>
      </c>
      <c r="W54" s="109">
        <f t="shared" si="3"/>
        <v>0</v>
      </c>
      <c r="X54" s="109">
        <f t="shared" si="3"/>
        <v>0</v>
      </c>
      <c r="Y54" s="109">
        <f t="shared" si="3"/>
        <v>0</v>
      </c>
      <c r="Z54" s="109">
        <f t="shared" si="3"/>
        <v>0</v>
      </c>
      <c r="AA54" s="109">
        <f t="shared" si="3"/>
        <v>0</v>
      </c>
      <c r="AB54" s="109">
        <f t="shared" si="3"/>
        <v>0</v>
      </c>
      <c r="AC54" s="109">
        <f t="shared" si="3"/>
        <v>0</v>
      </c>
      <c r="AD54" s="109">
        <f t="shared" si="3"/>
        <v>0</v>
      </c>
      <c r="AE54" s="109">
        <f t="shared" si="3"/>
        <v>0</v>
      </c>
      <c r="AF54" s="109">
        <f t="shared" si="3"/>
        <v>0</v>
      </c>
      <c r="AG54" s="109">
        <f t="shared" si="3"/>
        <v>0</v>
      </c>
      <c r="AH54" s="109">
        <f t="shared" si="3"/>
        <v>0</v>
      </c>
      <c r="AI54" s="109">
        <f t="shared" si="2"/>
        <v>0</v>
      </c>
      <c r="AJ54" s="109">
        <f t="shared" si="2"/>
        <v>0</v>
      </c>
      <c r="AK54" s="109">
        <f t="shared" si="2"/>
        <v>0</v>
      </c>
      <c r="AL54" s="109">
        <f t="shared" si="2"/>
        <v>0</v>
      </c>
      <c r="AM54" s="109">
        <f t="shared" si="2"/>
        <v>0</v>
      </c>
      <c r="AN54" s="109">
        <f t="shared" si="2"/>
        <v>0</v>
      </c>
      <c r="AO54" s="109">
        <f t="shared" si="2"/>
        <v>0</v>
      </c>
      <c r="AP54" s="109">
        <f t="shared" si="2"/>
        <v>0</v>
      </c>
      <c r="AQ54" s="109">
        <f t="shared" si="2"/>
        <v>0</v>
      </c>
      <c r="AR54" s="109">
        <f t="shared" si="2"/>
        <v>0</v>
      </c>
      <c r="AS54" s="109">
        <f t="shared" si="2"/>
        <v>0</v>
      </c>
      <c r="AT54" s="110">
        <f t="shared" si="2"/>
        <v>0</v>
      </c>
    </row>
    <row r="55" spans="2:68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8"/>
    </row>
    <row r="56" spans="2:68" s="56" customFormat="1" ht="26.25" thickBot="1">
      <c r="B56" s="116" t="str">
        <f>'SJCPIL-R 16-303-03 - T1'!B56</f>
        <v>Visto do Líder / Sublíder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1"/>
    </row>
    <row r="57" spans="2:68" s="42" customFormat="1" ht="20.100000000000001" customHeight="1">
      <c r="B57" s="151" t="s">
        <v>27</v>
      </c>
      <c r="C57" s="152"/>
      <c r="D57" s="152"/>
      <c r="E57" s="153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50"/>
    </row>
    <row r="58" spans="2:68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2"/>
    </row>
    <row r="59" spans="2:68" s="42" customFormat="1" ht="20.100000000000001" customHeight="1">
      <c r="B59" s="154" t="s">
        <v>28</v>
      </c>
      <c r="C59" s="155"/>
      <c r="D59" s="155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2"/>
    </row>
    <row r="60" spans="2:68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4"/>
    </row>
    <row r="61" spans="2:68" s="42" customFormat="1" ht="7.5" customHeight="1"/>
    <row r="62" spans="2:68" s="42" customFormat="1" ht="15.75">
      <c r="B62" s="156" t="s">
        <v>32</v>
      </c>
      <c r="C62" s="157"/>
      <c r="D62" s="157"/>
      <c r="E62" s="157"/>
      <c r="F62" s="157"/>
      <c r="G62" s="146" t="s">
        <v>16</v>
      </c>
      <c r="H62" s="146"/>
      <c r="I62" s="146"/>
      <c r="J62" s="146"/>
      <c r="K62" s="147"/>
      <c r="L62" s="146" t="s">
        <v>33</v>
      </c>
      <c r="M62" s="146"/>
      <c r="N62" s="146"/>
      <c r="O62" s="146"/>
      <c r="P62" s="146"/>
      <c r="Q62" s="146"/>
      <c r="R62" s="146"/>
      <c r="S62" s="157" t="s">
        <v>46</v>
      </c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60" t="s">
        <v>47</v>
      </c>
      <c r="AK62" s="157"/>
      <c r="AL62" s="157"/>
      <c r="AM62" s="157"/>
      <c r="AN62" s="157"/>
      <c r="AO62" s="157"/>
      <c r="AP62" s="157" t="s">
        <v>16</v>
      </c>
      <c r="AQ62" s="157"/>
      <c r="AR62" s="157"/>
      <c r="AS62" s="157"/>
      <c r="AT62" s="162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</row>
    <row r="63" spans="2:68" s="42" customFormat="1" ht="15.75">
      <c r="B63" s="158"/>
      <c r="C63" s="159"/>
      <c r="D63" s="159"/>
      <c r="E63" s="159"/>
      <c r="F63" s="159"/>
      <c r="G63" s="148"/>
      <c r="H63" s="148"/>
      <c r="I63" s="148"/>
      <c r="J63" s="148"/>
      <c r="K63" s="149"/>
      <c r="L63" s="148"/>
      <c r="M63" s="148"/>
      <c r="N63" s="148"/>
      <c r="O63" s="148"/>
      <c r="P63" s="148"/>
      <c r="Q63" s="148"/>
      <c r="R63" s="148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1"/>
      <c r="AK63" s="159"/>
      <c r="AL63" s="159"/>
      <c r="AM63" s="159"/>
      <c r="AN63" s="159"/>
      <c r="AO63" s="159"/>
      <c r="AP63" s="159"/>
      <c r="AQ63" s="159"/>
      <c r="AR63" s="159"/>
      <c r="AS63" s="159"/>
      <c r="AT63" s="163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</row>
    <row r="64" spans="2:68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0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</row>
    <row r="65" spans="2:5">
      <c r="B65" s="13" t="s">
        <v>19</v>
      </c>
    </row>
    <row r="66" spans="2:5">
      <c r="B66" s="13" t="s">
        <v>17</v>
      </c>
      <c r="C66" s="72" t="e">
        <f>AVERAGE(C53:AT53)+0.577*C69</f>
        <v>#DIV/0!</v>
      </c>
    </row>
    <row r="67" spans="2:5">
      <c r="B67" s="13" t="s">
        <v>2</v>
      </c>
      <c r="C67" s="72" t="e">
        <f>AVERAGE(C53:AT53)</f>
        <v>#DIV/0!</v>
      </c>
      <c r="D67" s="73" t="s">
        <v>23</v>
      </c>
      <c r="E67" s="13" t="e">
        <f>STDEV(C48:AS52)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2.115*(SUM(C54:AT54)/COUNTIF(C54:AT54,"&lt;&gt;0"))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COUNTIF(C10:AT10,"&gt;0")</f>
        <v>0</v>
      </c>
    </row>
  </sheetData>
  <sheetProtection algorithmName="SHA-512" hashValue="kGmSBWNnguSdIsWYkM509Nmc/ncZgQ1OIsuFWFSAH4JsjVfV6zjKEruRZngBPLSqB9ClOum1IC2sxcCVb4HZsw==" saltValue="IHB56THxQHQYhQAkbIHqRg==" spinCount="100000" sheet="1" objects="1" scenarios="1" selectLockedCells="1"/>
  <mergeCells count="29">
    <mergeCell ref="L62:R63"/>
    <mergeCell ref="S62:AI63"/>
    <mergeCell ref="AJ62:AO63"/>
    <mergeCell ref="AP62:AT63"/>
    <mergeCell ref="BF64:BP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Q4:AT5"/>
    <mergeCell ref="B13:B14"/>
    <mergeCell ref="B15:B16"/>
    <mergeCell ref="B17:B18"/>
    <mergeCell ref="B19:B20"/>
    <mergeCell ref="AM4:AP5"/>
    <mergeCell ref="B21:B22"/>
    <mergeCell ref="I2:J3"/>
    <mergeCell ref="K2:L3"/>
    <mergeCell ref="M2:Q3"/>
    <mergeCell ref="R2:T2"/>
    <mergeCell ref="R3:T3"/>
  </mergeCells>
  <conditionalFormatting sqref="AH48:AT52 C48:AF52">
    <cfRule type="expression" dxfId="3" priority="3">
      <formula>(C48&gt;$G$4)*(C48&lt;&gt;0)</formula>
    </cfRule>
    <cfRule type="expression" dxfId="2" priority="4">
      <formula>(C48&lt;$G$6)*(C48&lt;&gt;0)</formula>
    </cfRule>
  </conditionalFormatting>
  <conditionalFormatting sqref="AG48:AG52">
    <cfRule type="expression" dxfId="1" priority="1">
      <formula>(AG48&gt;$G$4)*(AG48&lt;&gt;0)</formula>
    </cfRule>
    <cfRule type="expression" dxfId="0" priority="2">
      <formula>(AG48&lt;$G$6)*(AG48&lt;&gt;0)</formula>
    </cfRule>
  </conditionalFormatting>
  <dataValidations count="3">
    <dataValidation type="whole" showErrorMessage="1" errorTitle="Data" error="Digite apenas o dia entre 1 e 31" sqref="C10:D10" xr:uid="{00000000-0002-0000-0400-000000000000}">
      <formula1>1</formula1>
      <formula2>31</formula2>
    </dataValidation>
    <dataValidation type="whole" showInputMessage="1" showErrorMessage="1" errorTitle="Data" error="Digite apenas o dia entre 1 e 31" sqref="E10:AT10" xr:uid="{00000000-0002-0000-0400-000001000000}">
      <formula1>1</formula1>
      <formula2>31</formula2>
    </dataValidation>
    <dataValidation type="list" showErrorMessage="1" promptTitle="Turno" prompt="Escolha" sqref="C11:AT11" xr:uid="{00000000-0002-0000-04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AA-XXX-RR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Configurações</vt:lpstr>
      <vt:lpstr>SJCPIL-R 16-303-03 - T1</vt:lpstr>
      <vt:lpstr>SJCPIL-R 16-303-03 - T2</vt:lpstr>
      <vt:lpstr>SJCPIL-R 16-304-03</vt:lpstr>
      <vt:lpstr>SJCPIL-R 16-308-02</vt:lpstr>
      <vt:lpstr>'SJCPIL-R 16-303-03 - T1'!Area_de_impressao</vt:lpstr>
      <vt:lpstr>'SJCPIL-R 16-303-03 - T2'!Area_de_impressao</vt:lpstr>
      <vt:lpstr>'SJCPIL-R 16-304-03'!Area_de_impressao</vt:lpstr>
      <vt:lpstr>'SJCPIL-R 16-308-02'!Area_de_impressao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TSAITO</dc:creator>
  <cp:lastModifiedBy>Osvaldo Martins Torquati</cp:lastModifiedBy>
  <cp:lastPrinted>2019-08-08T11:18:47Z</cp:lastPrinted>
  <dcterms:created xsi:type="dcterms:W3CDTF">2006-05-22T13:55:53Z</dcterms:created>
  <dcterms:modified xsi:type="dcterms:W3CDTF">2022-02-18T18:11:11Z</dcterms:modified>
</cp:coreProperties>
</file>