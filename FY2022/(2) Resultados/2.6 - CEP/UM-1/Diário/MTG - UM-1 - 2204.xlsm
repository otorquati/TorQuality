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DADOS\PIL\PUB\QUALIDADE\FY2021\(2) Resultados\2.6 - CEP\UM-1\Diário\"/>
    </mc:Choice>
  </mc:AlternateContent>
  <xr:revisionPtr revIDLastSave="0" documentId="13_ncr:1_{3458A049-635E-4B34-8D5A-F478B854621A}" xr6:coauthVersionLast="47" xr6:coauthVersionMax="47" xr10:uidLastSave="{00000000-0000-0000-0000-000000000000}"/>
  <workbookProtection workbookAlgorithmName="SHA-512" workbookHashValue="4d8RByFK0Kb3NvDjMvHTvS9Qbze3xw52m15T9DNN+ttkGSvIYwkG54ImZukTsI7OwT/gf5kLAip8SWAu0MPcvw==" workbookSaltValue="yEmvAIupbUPHTkhUHrqiMw==" workbookSpinCount="100000" lockStructure="1"/>
  <bookViews>
    <workbookView xWindow="-120" yWindow="-120" windowWidth="29040" windowHeight="16440" tabRatio="887" activeTab="3" xr2:uid="{00000000-000D-0000-FFFF-FFFF00000000}"/>
  </bookViews>
  <sheets>
    <sheet name="Configurações" sheetId="18" r:id="rId1"/>
    <sheet name="PESO BOBINA" sheetId="15" r:id="rId2"/>
    <sheet name="ALTURA A3" sheetId="16" r:id="rId3"/>
    <sheet name="OMBRO SHIMA" sheetId="17" r:id="rId4"/>
  </sheets>
  <definedNames>
    <definedName name="_xlnm.Print_Area" localSheetId="2">'ALTURA A3'!$A$1:$AH$63</definedName>
    <definedName name="_xlnm.Print_Area" localSheetId="3">'OMBRO SHIMA'!$A$1:$AH$63</definedName>
    <definedName name="_xlnm.Print_Area" localSheetId="1">'PESO BOBINA'!$A$1:$AH$63</definedName>
    <definedName name="Turnos">OFFSET(Configurações!$D$10,,,COUNTA(Configurações!$D$10:$D$16))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6" i="17" l="1"/>
  <c r="B56" i="16"/>
  <c r="AD4" i="15"/>
  <c r="AD4" i="17" s="1"/>
  <c r="Z4" i="15"/>
  <c r="E53" i="15" l="1"/>
  <c r="H54" i="15" l="1"/>
  <c r="AG54" i="15" l="1"/>
  <c r="AF54" i="15"/>
  <c r="AE54" i="15"/>
  <c r="AD54" i="15"/>
  <c r="AC54" i="15"/>
  <c r="AB54" i="15"/>
  <c r="AA54" i="15"/>
  <c r="Z54" i="15"/>
  <c r="Y54" i="15"/>
  <c r="X54" i="15"/>
  <c r="W54" i="15"/>
  <c r="V54" i="15"/>
  <c r="U54" i="15"/>
  <c r="T54" i="15"/>
  <c r="S54" i="15"/>
  <c r="R54" i="15"/>
  <c r="Q54" i="15"/>
  <c r="P54" i="15"/>
  <c r="O54" i="15"/>
  <c r="N54" i="15"/>
  <c r="M54" i="15"/>
  <c r="L54" i="15"/>
  <c r="K54" i="15"/>
  <c r="J54" i="15"/>
  <c r="I54" i="15"/>
  <c r="G54" i="15"/>
  <c r="F54" i="15"/>
  <c r="E54" i="15"/>
  <c r="D54" i="15"/>
  <c r="C54" i="15"/>
  <c r="AG53" i="15"/>
  <c r="AF53" i="15"/>
  <c r="AE53" i="15"/>
  <c r="AD53" i="15"/>
  <c r="AC53" i="15"/>
  <c r="AB53" i="15"/>
  <c r="AA53" i="15"/>
  <c r="Z53" i="15"/>
  <c r="Y53" i="15"/>
  <c r="X53" i="15"/>
  <c r="W53" i="15"/>
  <c r="V53" i="15"/>
  <c r="U53" i="15"/>
  <c r="T53" i="15"/>
  <c r="S53" i="15"/>
  <c r="R53" i="15"/>
  <c r="Q53" i="15"/>
  <c r="P53" i="15"/>
  <c r="O53" i="15"/>
  <c r="N53" i="15"/>
  <c r="M53" i="15"/>
  <c r="L53" i="15"/>
  <c r="K53" i="15"/>
  <c r="J53" i="15"/>
  <c r="I53" i="15"/>
  <c r="H53" i="15"/>
  <c r="G53" i="15"/>
  <c r="F53" i="15"/>
  <c r="D53" i="15"/>
  <c r="C53" i="15"/>
  <c r="Z4" i="17" l="1"/>
  <c r="E6" i="17" l="1"/>
  <c r="G5" i="17"/>
  <c r="G4" i="17" s="1"/>
  <c r="E4" i="17"/>
  <c r="AD4" i="16"/>
  <c r="Z4" i="16"/>
  <c r="G6" i="16"/>
  <c r="E6" i="16"/>
  <c r="G4" i="16"/>
  <c r="E4" i="16"/>
  <c r="E6" i="15"/>
  <c r="G5" i="15"/>
  <c r="G4" i="15" s="1"/>
  <c r="E4" i="15"/>
  <c r="G6" i="17" l="1"/>
  <c r="G6" i="15"/>
  <c r="C75" i="17" l="1"/>
  <c r="E67" i="17"/>
  <c r="C73" i="17" s="1"/>
  <c r="AG54" i="17"/>
  <c r="AF54" i="17"/>
  <c r="AE54" i="17"/>
  <c r="AD54" i="17"/>
  <c r="AC54" i="17"/>
  <c r="AB54" i="17"/>
  <c r="AA54" i="17"/>
  <c r="Z54" i="17"/>
  <c r="Y54" i="17"/>
  <c r="X54" i="17"/>
  <c r="W54" i="17"/>
  <c r="V54" i="17"/>
  <c r="U54" i="17"/>
  <c r="T54" i="17"/>
  <c r="S54" i="17"/>
  <c r="R54" i="17"/>
  <c r="Q54" i="17"/>
  <c r="P54" i="17"/>
  <c r="O54" i="17"/>
  <c r="N54" i="17"/>
  <c r="M54" i="17"/>
  <c r="L54" i="17"/>
  <c r="K54" i="17"/>
  <c r="J54" i="17"/>
  <c r="I54" i="17"/>
  <c r="H54" i="17"/>
  <c r="G54" i="17"/>
  <c r="F54" i="17"/>
  <c r="E54" i="17"/>
  <c r="D54" i="17"/>
  <c r="C54" i="17"/>
  <c r="AG53" i="17"/>
  <c r="AF53" i="17"/>
  <c r="AE53" i="17"/>
  <c r="AD53" i="17"/>
  <c r="AC53" i="17"/>
  <c r="AB53" i="17"/>
  <c r="AA53" i="17"/>
  <c r="Z53" i="17"/>
  <c r="Y53" i="17"/>
  <c r="X53" i="17"/>
  <c r="W53" i="17"/>
  <c r="V53" i="17"/>
  <c r="U53" i="17"/>
  <c r="T53" i="17"/>
  <c r="S53" i="17"/>
  <c r="R53" i="17"/>
  <c r="Q53" i="17"/>
  <c r="P53" i="17"/>
  <c r="O53" i="17"/>
  <c r="N53" i="17"/>
  <c r="M53" i="17"/>
  <c r="L53" i="17"/>
  <c r="K53" i="17"/>
  <c r="J53" i="17"/>
  <c r="I53" i="17"/>
  <c r="H53" i="17"/>
  <c r="G53" i="17"/>
  <c r="F53" i="17"/>
  <c r="E53" i="17"/>
  <c r="D53" i="17"/>
  <c r="C53" i="17"/>
  <c r="C75" i="16"/>
  <c r="E67" i="16"/>
  <c r="C73" i="16" s="1"/>
  <c r="AG54" i="16"/>
  <c r="AF54" i="16"/>
  <c r="AE54" i="16"/>
  <c r="AD54" i="16"/>
  <c r="AC54" i="16"/>
  <c r="AB54" i="16"/>
  <c r="AA54" i="16"/>
  <c r="Z54" i="16"/>
  <c r="Y54" i="16"/>
  <c r="X54" i="16"/>
  <c r="W54" i="16"/>
  <c r="V54" i="16"/>
  <c r="U54" i="16"/>
  <c r="T54" i="16"/>
  <c r="S54" i="16"/>
  <c r="R54" i="16"/>
  <c r="Q54" i="16"/>
  <c r="P54" i="16"/>
  <c r="O54" i="16"/>
  <c r="N54" i="16"/>
  <c r="M54" i="16"/>
  <c r="L54" i="16"/>
  <c r="K54" i="16"/>
  <c r="J54" i="16"/>
  <c r="I54" i="16"/>
  <c r="H54" i="16"/>
  <c r="G54" i="16"/>
  <c r="F54" i="16"/>
  <c r="E54" i="16"/>
  <c r="D54" i="16"/>
  <c r="C54" i="16"/>
  <c r="AG53" i="16"/>
  <c r="AF53" i="16"/>
  <c r="AE53" i="16"/>
  <c r="AD53" i="16"/>
  <c r="AC53" i="16"/>
  <c r="AB53" i="16"/>
  <c r="AA53" i="16"/>
  <c r="Z53" i="16"/>
  <c r="Y53" i="16"/>
  <c r="X53" i="16"/>
  <c r="W53" i="16"/>
  <c r="V53" i="16"/>
  <c r="U53" i="16"/>
  <c r="T53" i="16"/>
  <c r="S53" i="16"/>
  <c r="R53" i="16"/>
  <c r="Q53" i="16"/>
  <c r="P53" i="16"/>
  <c r="O53" i="16"/>
  <c r="N53" i="16"/>
  <c r="M53" i="16"/>
  <c r="L53" i="16"/>
  <c r="K53" i="16"/>
  <c r="J53" i="16"/>
  <c r="I53" i="16"/>
  <c r="H53" i="16"/>
  <c r="G53" i="16"/>
  <c r="F53" i="16"/>
  <c r="E53" i="16"/>
  <c r="D53" i="16"/>
  <c r="C53" i="16"/>
  <c r="C75" i="15"/>
  <c r="E67" i="15"/>
  <c r="C73" i="15" s="1"/>
  <c r="C69" i="15" l="1"/>
  <c r="C66" i="15" s="1"/>
  <c r="C67" i="17"/>
  <c r="C74" i="17" s="1"/>
  <c r="C69" i="17"/>
  <c r="C66" i="17" s="1"/>
  <c r="C69" i="16"/>
  <c r="C66" i="16" s="1"/>
  <c r="C67" i="16"/>
  <c r="C74" i="16" s="1"/>
  <c r="C67" i="15"/>
  <c r="C68" i="15" l="1"/>
  <c r="C74" i="15"/>
  <c r="C68" i="17"/>
  <c r="C68" i="16"/>
</calcChain>
</file>

<file path=xl/sharedStrings.xml><?xml version="1.0" encoding="utf-8"?>
<sst xmlns="http://schemas.openxmlformats.org/spreadsheetml/2006/main" count="168" uniqueCount="58">
  <si>
    <t>SETOR:  MONTAGEM</t>
  </si>
  <si>
    <t>LSE=</t>
  </si>
  <si>
    <t>X</t>
  </si>
  <si>
    <t xml:space="preserve"> LC=</t>
  </si>
  <si>
    <t>D=diurno</t>
  </si>
  <si>
    <t>LIE=</t>
  </si>
  <si>
    <t>1 vez / turno</t>
  </si>
  <si>
    <t>N=noturno</t>
  </si>
  <si>
    <t>R</t>
  </si>
  <si>
    <t>Medida: unid.(mm)</t>
  </si>
  <si>
    <t>Grupo</t>
  </si>
  <si>
    <t>Data</t>
  </si>
  <si>
    <t>Visto do operador</t>
  </si>
  <si>
    <t>Especificação</t>
  </si>
  <si>
    <t>Visto:</t>
  </si>
  <si>
    <t>Média</t>
  </si>
  <si>
    <t>Data:</t>
  </si>
  <si>
    <t>LSC</t>
  </si>
  <si>
    <t>LIC</t>
  </si>
  <si>
    <t>Limites Calculados</t>
  </si>
  <si>
    <t>Cálculo de Cp e Cpk</t>
  </si>
  <si>
    <t>Cp</t>
  </si>
  <si>
    <t>Cpk</t>
  </si>
  <si>
    <t>S</t>
  </si>
  <si>
    <t>Característica:</t>
  </si>
  <si>
    <t>Máquina:</t>
  </si>
  <si>
    <t>Modelo:</t>
  </si>
  <si>
    <t>UM-1</t>
  </si>
  <si>
    <t>Legenda:</t>
  </si>
  <si>
    <t>Limites de Controle</t>
  </si>
  <si>
    <t>Limites de Especificação</t>
  </si>
  <si>
    <t>Diário de Bordo:</t>
  </si>
  <si>
    <t>Amostra n= 5</t>
  </si>
  <si>
    <t>Produção:</t>
  </si>
  <si>
    <t>Controle da Qualidade:</t>
  </si>
  <si>
    <t>LSC=</t>
  </si>
  <si>
    <t>LIC=</t>
  </si>
  <si>
    <t>Shima</t>
  </si>
  <si>
    <t>Altura ombro após Shima</t>
  </si>
  <si>
    <t>Turno</t>
  </si>
  <si>
    <t>CONTROLE ESTATÍSTICO DO PROCESSO (CEP)</t>
  </si>
  <si>
    <t>Sistema de Gestão Integrado</t>
  </si>
  <si>
    <t>Panasonic do Brasil Limitada</t>
  </si>
  <si>
    <t>Tampão</t>
  </si>
  <si>
    <t>Peso da Bobina</t>
  </si>
  <si>
    <t xml:space="preserve">Data: </t>
  </si>
  <si>
    <t>Gerência</t>
  </si>
  <si>
    <t>Máquina de Carvão</t>
  </si>
  <si>
    <t>Altura ombro da bobina (A3)</t>
  </si>
  <si>
    <t>SJCPIL-I 14-103-XX</t>
  </si>
  <si>
    <t>SJCPIL-I 15-107-XX</t>
  </si>
  <si>
    <t>SJCPIL-R 16-117-XX</t>
  </si>
  <si>
    <t>Configurações</t>
  </si>
  <si>
    <t>Responsável</t>
  </si>
  <si>
    <t>D</t>
  </si>
  <si>
    <t>N</t>
  </si>
  <si>
    <t>Turnos</t>
  </si>
  <si>
    <t>Visto do Lider / Sublíder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</si>
</sst>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_);_(* \(#,##0\);_(* &quot;-&quot;_);_(@_)"/>
    <numFmt numFmtId="165" formatCode="_(* #,##0.00_);_(* \(#,##0.00\);_(* &quot;-&quot;??_);_(@_)"/>
    <numFmt numFmtId="166" formatCode="&quot;W&quot;#,##0;[Red]\-&quot;W&quot;#,##0"/>
    <numFmt numFmtId="167" formatCode="&quot;W&quot;#,##0.00;[Red]\-&quot;W&quot;#,##0.00"/>
    <numFmt numFmtId="168" formatCode="0.00_)"/>
  </numFmts>
  <fonts count="26">
    <font>
      <sz val="10"/>
      <name val="Arial"/>
    </font>
    <font>
      <sz val="8"/>
      <name val="Arial"/>
      <family val="2"/>
    </font>
    <font>
      <b/>
      <i/>
      <sz val="16"/>
      <name val="Helv"/>
      <family val="2"/>
    </font>
    <font>
      <sz val="11"/>
      <name val="明朝"/>
      <family val="1"/>
      <charset val="128"/>
    </font>
    <font>
      <sz val="10"/>
      <name val="Arial"/>
      <family val="2"/>
    </font>
    <font>
      <sz val="12"/>
      <name val="ＭＳ ゴシック"/>
      <family val="3"/>
      <charset val="128"/>
    </font>
    <font>
      <sz val="10"/>
      <name val="Times New Roman"/>
      <family val="1"/>
    </font>
    <font>
      <sz val="9"/>
      <name val="Times New Roman"/>
      <family val="1"/>
    </font>
    <font>
      <sz val="12"/>
      <name val="Times New Roman"/>
      <family val="1"/>
    </font>
    <font>
      <b/>
      <u/>
      <sz val="16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name val="Arial Narrow"/>
      <family val="2"/>
    </font>
    <font>
      <sz val="14"/>
      <name val="Arial Narrow"/>
      <family val="2"/>
    </font>
    <font>
      <sz val="11"/>
      <name val="Arial Narrow"/>
      <family val="2"/>
    </font>
    <font>
      <sz val="8"/>
      <name val="Arial Narrow"/>
      <family val="2"/>
    </font>
    <font>
      <sz val="12"/>
      <name val="Arial Narrow"/>
      <family val="2"/>
    </font>
    <font>
      <sz val="11"/>
      <name val="Arial"/>
      <family val="2"/>
    </font>
    <font>
      <sz val="16"/>
      <name val="SwitzerlandBlack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color indexed="8"/>
      <name val="Arial Narrow"/>
      <family val="2"/>
    </font>
    <font>
      <sz val="16"/>
      <name val="Franklin Gothic Book"/>
      <family val="2"/>
    </font>
    <font>
      <b/>
      <sz val="16"/>
      <name val="Arial"/>
      <family val="2"/>
    </font>
    <font>
      <sz val="16"/>
      <name val="Arial"/>
      <family val="2"/>
    </font>
    <font>
      <sz val="20"/>
      <color rgb="FF0070C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9" tint="0.79998168889431442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</borders>
  <cellStyleXfs count="12">
    <xf numFmtId="0" fontId="0" fillId="0" borderId="0"/>
    <xf numFmtId="38" fontId="1" fillId="2" borderId="0" applyNumberFormat="0" applyBorder="0" applyAlignment="0" applyProtection="0"/>
    <xf numFmtId="10" fontId="1" fillId="3" borderId="1" applyNumberFormat="0" applyBorder="0" applyAlignment="0" applyProtection="0"/>
    <xf numFmtId="168" fontId="2" fillId="0" borderId="0"/>
    <xf numFmtId="0" fontId="3" fillId="0" borderId="0"/>
    <xf numFmtId="10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37" fontId="5" fillId="0" borderId="0"/>
    <xf numFmtId="167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4" fillId="0" borderId="0"/>
  </cellStyleXfs>
  <cellXfs count="168">
    <xf numFmtId="0" fontId="0" fillId="0" borderId="0" xfId="0"/>
    <xf numFmtId="0" fontId="12" fillId="0" borderId="0" xfId="4" applyFont="1" applyProtection="1">
      <protection locked="0"/>
    </xf>
    <xf numFmtId="0" fontId="12" fillId="0" borderId="2" xfId="4" applyFont="1" applyBorder="1" applyProtection="1">
      <protection locked="0"/>
    </xf>
    <xf numFmtId="0" fontId="12" fillId="0" borderId="3" xfId="4" applyFont="1" applyBorder="1" applyProtection="1">
      <protection locked="0"/>
    </xf>
    <xf numFmtId="0" fontId="12" fillId="0" borderId="4" xfId="4" applyFont="1" applyBorder="1" applyProtection="1">
      <protection locked="0"/>
    </xf>
    <xf numFmtId="0" fontId="12" fillId="0" borderId="1" xfId="4" applyFont="1" applyBorder="1" applyAlignment="1" applyProtection="1">
      <alignment horizontal="center"/>
      <protection locked="0"/>
    </xf>
    <xf numFmtId="0" fontId="12" fillId="0" borderId="5" xfId="4" applyFont="1" applyBorder="1" applyAlignment="1" applyProtection="1">
      <alignment horizontal="center"/>
      <protection locked="0"/>
    </xf>
    <xf numFmtId="0" fontId="6" fillId="0" borderId="0" xfId="4" applyFont="1"/>
    <xf numFmtId="0" fontId="7" fillId="0" borderId="0" xfId="4" applyFont="1"/>
    <xf numFmtId="0" fontId="8" fillId="0" borderId="0" xfId="4" applyFont="1"/>
    <xf numFmtId="2" fontId="10" fillId="0" borderId="6" xfId="0" applyNumberFormat="1" applyFont="1" applyBorder="1" applyAlignment="1">
      <alignment vertical="center"/>
    </xf>
    <xf numFmtId="2" fontId="9" fillId="0" borderId="6" xfId="0" applyNumberFormat="1" applyFont="1" applyBorder="1" applyAlignment="1">
      <alignment vertical="center"/>
    </xf>
    <xf numFmtId="0" fontId="8" fillId="0" borderId="6" xfId="4" applyFont="1" applyBorder="1"/>
    <xf numFmtId="0" fontId="11" fillId="0" borderId="6" xfId="0" applyFont="1" applyBorder="1" applyAlignment="1">
      <alignment vertical="center"/>
    </xf>
    <xf numFmtId="0" fontId="11" fillId="0" borderId="7" xfId="0" applyFont="1" applyBorder="1" applyAlignment="1">
      <alignment vertical="center"/>
    </xf>
    <xf numFmtId="0" fontId="10" fillId="0" borderId="8" xfId="4" applyFont="1" applyBorder="1"/>
    <xf numFmtId="0" fontId="6" fillId="0" borderId="8" xfId="4" applyFont="1" applyBorder="1"/>
    <xf numFmtId="0" fontId="11" fillId="0" borderId="3" xfId="0" applyFont="1" applyBorder="1" applyAlignment="1">
      <alignment vertical="center"/>
    </xf>
    <xf numFmtId="0" fontId="11" fillId="0" borderId="4" xfId="0" applyFont="1" applyBorder="1" applyAlignment="1">
      <alignment vertical="center"/>
    </xf>
    <xf numFmtId="0" fontId="12" fillId="0" borderId="9" xfId="4" applyFont="1" applyBorder="1"/>
    <xf numFmtId="0" fontId="12" fillId="0" borderId="10" xfId="0" applyFont="1" applyBorder="1" applyAlignment="1">
      <alignment horizontal="left" vertical="center"/>
    </xf>
    <xf numFmtId="2" fontId="12" fillId="0" borderId="11" xfId="4" applyNumberFormat="1" applyFont="1" applyBorder="1" applyAlignment="1">
      <alignment horizontal="center"/>
    </xf>
    <xf numFmtId="0" fontId="12" fillId="4" borderId="12" xfId="0" applyFont="1" applyFill="1" applyBorder="1" applyAlignment="1">
      <alignment horizontal="left" vertical="center"/>
    </xf>
    <xf numFmtId="2" fontId="12" fillId="4" borderId="7" xfId="4" applyNumberFormat="1" applyFont="1" applyFill="1" applyBorder="1" applyAlignment="1">
      <alignment horizontal="center"/>
    </xf>
    <xf numFmtId="0" fontId="12" fillId="0" borderId="0" xfId="0" applyFont="1" applyAlignment="1">
      <alignment vertical="center"/>
    </xf>
    <xf numFmtId="2" fontId="12" fillId="0" borderId="0" xfId="4" applyNumberFormat="1" applyFont="1"/>
    <xf numFmtId="0" fontId="12" fillId="0" borderId="0" xfId="4" applyFont="1" applyAlignment="1">
      <alignment vertical="center"/>
    </xf>
    <xf numFmtId="0" fontId="12" fillId="0" borderId="0" xfId="4" applyFont="1" applyAlignment="1">
      <alignment horizontal="center" vertical="center"/>
    </xf>
    <xf numFmtId="0" fontId="12" fillId="0" borderId="13" xfId="0" applyFont="1" applyBorder="1" applyAlignment="1">
      <alignment horizontal="left" vertical="center"/>
    </xf>
    <xf numFmtId="2" fontId="12" fillId="0" borderId="14" xfId="4" applyNumberFormat="1" applyFont="1" applyBorder="1" applyAlignment="1">
      <alignment horizontal="center" vertical="center"/>
    </xf>
    <xf numFmtId="0" fontId="12" fillId="4" borderId="15" xfId="0" applyFont="1" applyFill="1" applyBorder="1" applyAlignment="1">
      <alignment horizontal="left" vertical="center"/>
    </xf>
    <xf numFmtId="2" fontId="21" fillId="4" borderId="16" xfId="4" applyNumberFormat="1" applyFont="1" applyFill="1" applyBorder="1" applyAlignment="1">
      <alignment horizontal="center" vertical="center"/>
    </xf>
    <xf numFmtId="0" fontId="12" fillId="0" borderId="17" xfId="4" applyFont="1" applyBorder="1" applyAlignment="1">
      <alignment vertical="center"/>
    </xf>
    <xf numFmtId="0" fontId="12" fillId="4" borderId="19" xfId="0" applyFont="1" applyFill="1" applyBorder="1" applyAlignment="1">
      <alignment horizontal="left" vertical="center"/>
    </xf>
    <xf numFmtId="2" fontId="12" fillId="4" borderId="20" xfId="4" applyNumberFormat="1" applyFont="1" applyFill="1" applyBorder="1" applyAlignment="1">
      <alignment horizontal="center" vertical="center"/>
    </xf>
    <xf numFmtId="0" fontId="12" fillId="0" borderId="12" xfId="4" applyFont="1" applyBorder="1" applyAlignment="1">
      <alignment horizontal="center"/>
    </xf>
    <xf numFmtId="0" fontId="12" fillId="0" borderId="0" xfId="4" applyFont="1"/>
    <xf numFmtId="0" fontId="12" fillId="0" borderId="15" xfId="4" applyFont="1" applyBorder="1" applyAlignment="1">
      <alignment horizontal="center"/>
    </xf>
    <xf numFmtId="0" fontId="12" fillId="0" borderId="21" xfId="4" applyFont="1" applyBorder="1" applyAlignment="1">
      <alignment horizontal="center"/>
    </xf>
    <xf numFmtId="0" fontId="12" fillId="0" borderId="21" xfId="4" applyFont="1" applyBorder="1"/>
    <xf numFmtId="0" fontId="12" fillId="0" borderId="2" xfId="4" applyFont="1" applyBorder="1"/>
    <xf numFmtId="2" fontId="12" fillId="0" borderId="22" xfId="4" applyNumberFormat="1" applyFont="1" applyBorder="1" applyAlignment="1">
      <alignment horizontal="right" vertical="center"/>
    </xf>
    <xf numFmtId="0" fontId="15" fillId="0" borderId="22" xfId="4" applyFont="1" applyBorder="1" applyAlignment="1">
      <alignment horizontal="right" vertical="center"/>
    </xf>
    <xf numFmtId="0" fontId="12" fillId="0" borderId="23" xfId="4" applyFont="1" applyBorder="1"/>
    <xf numFmtId="0" fontId="12" fillId="0" borderId="24" xfId="4" applyFont="1" applyBorder="1"/>
    <xf numFmtId="0" fontId="15" fillId="0" borderId="25" xfId="4" applyFont="1" applyBorder="1" applyAlignment="1">
      <alignment horizontal="right" vertical="center"/>
    </xf>
    <xf numFmtId="0" fontId="12" fillId="0" borderId="3" xfId="4" applyFont="1" applyBorder="1"/>
    <xf numFmtId="0" fontId="12" fillId="0" borderId="4" xfId="4" applyFont="1" applyBorder="1"/>
    <xf numFmtId="0" fontId="12" fillId="0" borderId="22" xfId="4" applyFont="1" applyBorder="1" applyAlignment="1">
      <alignment vertical="center"/>
    </xf>
    <xf numFmtId="0" fontId="12" fillId="0" borderId="26" xfId="4" applyFont="1" applyBorder="1" applyAlignment="1">
      <alignment horizontal="center" vertical="center"/>
    </xf>
    <xf numFmtId="0" fontId="14" fillId="0" borderId="0" xfId="4" applyFont="1"/>
    <xf numFmtId="0" fontId="12" fillId="0" borderId="15" xfId="4" quotePrefix="1" applyFont="1" applyBorder="1" applyAlignment="1">
      <alignment horizontal="center" vertical="center"/>
    </xf>
    <xf numFmtId="2" fontId="14" fillId="0" borderId="27" xfId="4" applyNumberFormat="1" applyFont="1" applyBorder="1"/>
    <xf numFmtId="2" fontId="14" fillId="0" borderId="28" xfId="4" applyNumberFormat="1" applyFont="1" applyBorder="1"/>
    <xf numFmtId="2" fontId="14" fillId="0" borderId="29" xfId="4" applyNumberFormat="1" applyFont="1" applyBorder="1"/>
    <xf numFmtId="0" fontId="12" fillId="0" borderId="15" xfId="4" applyFont="1" applyBorder="1" applyAlignment="1">
      <alignment horizontal="center" vertical="center"/>
    </xf>
    <xf numFmtId="2" fontId="14" fillId="0" borderId="30" xfId="4" applyNumberFormat="1" applyFont="1" applyBorder="1"/>
    <xf numFmtId="2" fontId="14" fillId="0" borderId="31" xfId="4" applyNumberFormat="1" applyFont="1" applyBorder="1"/>
    <xf numFmtId="0" fontId="4" fillId="0" borderId="33" xfId="0" applyFont="1" applyBorder="1" applyAlignment="1">
      <alignment horizontal="center" vertical="center"/>
    </xf>
    <xf numFmtId="0" fontId="12" fillId="0" borderId="23" xfId="4" applyFont="1" applyBorder="1" applyAlignment="1">
      <alignment vertical="top"/>
    </xf>
    <xf numFmtId="0" fontId="12" fillId="0" borderId="22" xfId="4" applyFont="1" applyBorder="1"/>
    <xf numFmtId="0" fontId="12" fillId="0" borderId="25" xfId="4" applyFont="1" applyBorder="1" applyAlignment="1">
      <alignment horizontal="center" vertical="top"/>
    </xf>
    <xf numFmtId="0" fontId="12" fillId="0" borderId="3" xfId="4" applyFont="1" applyBorder="1" applyAlignment="1">
      <alignment horizontal="left" vertical="top"/>
    </xf>
    <xf numFmtId="0" fontId="16" fillId="0" borderId="0" xfId="0" applyFont="1" applyAlignment="1">
      <alignment horizontal="left"/>
    </xf>
    <xf numFmtId="0" fontId="1" fillId="0" borderId="0" xfId="0" applyFont="1"/>
    <xf numFmtId="0" fontId="17" fillId="0" borderId="0" xfId="0" applyFont="1"/>
    <xf numFmtId="2" fontId="6" fillId="0" borderId="0" xfId="4" applyNumberFormat="1" applyFont="1"/>
    <xf numFmtId="0" fontId="6" fillId="0" borderId="0" xfId="4" applyFont="1" applyAlignment="1">
      <alignment horizontal="center"/>
    </xf>
    <xf numFmtId="0" fontId="12" fillId="0" borderId="36" xfId="4" applyFont="1" applyBorder="1" applyProtection="1">
      <protection locked="0"/>
    </xf>
    <xf numFmtId="0" fontId="12" fillId="0" borderId="37" xfId="4" applyFont="1" applyBorder="1" applyProtection="1">
      <protection locked="0"/>
    </xf>
    <xf numFmtId="0" fontId="14" fillId="0" borderId="38" xfId="4" applyFont="1" applyBorder="1" applyProtection="1">
      <protection locked="0"/>
    </xf>
    <xf numFmtId="0" fontId="14" fillId="0" borderId="39" xfId="4" applyFont="1" applyBorder="1" applyProtection="1">
      <protection locked="0"/>
    </xf>
    <xf numFmtId="0" fontId="14" fillId="0" borderId="40" xfId="4" applyFont="1" applyBorder="1" applyProtection="1">
      <protection locked="0"/>
    </xf>
    <xf numFmtId="0" fontId="14" fillId="0" borderId="41" xfId="4" applyFont="1" applyBorder="1" applyProtection="1">
      <protection locked="0"/>
    </xf>
    <xf numFmtId="0" fontId="14" fillId="0" borderId="42" xfId="4" applyFont="1" applyBorder="1" applyProtection="1">
      <protection locked="0"/>
    </xf>
    <xf numFmtId="0" fontId="14" fillId="0" borderId="43" xfId="4" applyFont="1" applyBorder="1" applyProtection="1">
      <protection locked="0"/>
    </xf>
    <xf numFmtId="1" fontId="12" fillId="0" borderId="1" xfId="4" applyNumberFormat="1" applyFont="1" applyBorder="1" applyAlignment="1" applyProtection="1">
      <alignment horizontal="center"/>
      <protection locked="0"/>
    </xf>
    <xf numFmtId="2" fontId="14" fillId="0" borderId="44" xfId="4" applyNumberFormat="1" applyFont="1" applyBorder="1" applyProtection="1">
      <protection locked="0"/>
    </xf>
    <xf numFmtId="2" fontId="14" fillId="0" borderId="45" xfId="4" applyNumberFormat="1" applyFont="1" applyBorder="1" applyProtection="1">
      <protection locked="0"/>
    </xf>
    <xf numFmtId="2" fontId="14" fillId="0" borderId="46" xfId="4" applyNumberFormat="1" applyFont="1" applyBorder="1" applyProtection="1">
      <protection locked="0"/>
    </xf>
    <xf numFmtId="2" fontId="14" fillId="0" borderId="27" xfId="4" applyNumberFormat="1" applyFont="1" applyBorder="1" applyProtection="1">
      <protection locked="0"/>
    </xf>
    <xf numFmtId="2" fontId="14" fillId="0" borderId="28" xfId="4" applyNumberFormat="1" applyFont="1" applyBorder="1" applyProtection="1">
      <protection locked="0"/>
    </xf>
    <xf numFmtId="2" fontId="14" fillId="0" borderId="29" xfId="4" applyNumberFormat="1" applyFont="1" applyBorder="1" applyProtection="1">
      <protection locked="0"/>
    </xf>
    <xf numFmtId="0" fontId="15" fillId="0" borderId="57" xfId="4" applyFont="1" applyBorder="1" applyAlignment="1">
      <alignment horizontal="center" vertical="center"/>
    </xf>
    <xf numFmtId="0" fontId="15" fillId="0" borderId="58" xfId="4" applyFont="1" applyBorder="1" applyAlignment="1">
      <alignment horizontal="center" vertical="center"/>
    </xf>
    <xf numFmtId="0" fontId="15" fillId="0" borderId="57" xfId="4" applyFont="1" applyBorder="1" applyAlignment="1">
      <alignment horizontal="left" vertical="center"/>
    </xf>
    <xf numFmtId="0" fontId="12" fillId="0" borderId="0" xfId="4" applyFont="1" applyAlignment="1">
      <alignment vertical="center" wrapText="1"/>
    </xf>
    <xf numFmtId="0" fontId="12" fillId="0" borderId="2" xfId="4" applyFont="1" applyBorder="1" applyAlignment="1">
      <alignment vertical="center"/>
    </xf>
    <xf numFmtId="0" fontId="12" fillId="0" borderId="59" xfId="4" applyFont="1" applyBorder="1" applyAlignment="1">
      <alignment vertical="center"/>
    </xf>
    <xf numFmtId="0" fontId="12" fillId="0" borderId="3" xfId="4" applyFont="1" applyBorder="1" applyAlignment="1">
      <alignment horizontal="center" vertical="center"/>
    </xf>
    <xf numFmtId="0" fontId="12" fillId="0" borderId="60" xfId="0" applyFont="1" applyBorder="1" applyAlignment="1">
      <alignment horizontal="left" vertical="center"/>
    </xf>
    <xf numFmtId="2" fontId="12" fillId="0" borderId="8" xfId="4" applyNumberFormat="1" applyFont="1" applyBorder="1" applyAlignment="1">
      <alignment horizontal="center" vertical="center"/>
    </xf>
    <xf numFmtId="0" fontId="12" fillId="0" borderId="3" xfId="0" applyFont="1" applyBorder="1" applyAlignment="1">
      <alignment vertical="center"/>
    </xf>
    <xf numFmtId="0" fontId="12" fillId="0" borderId="3" xfId="4" applyFont="1" applyBorder="1" applyAlignment="1">
      <alignment vertical="center"/>
    </xf>
    <xf numFmtId="0" fontId="12" fillId="0" borderId="3" xfId="4" applyFont="1" applyBorder="1" applyAlignment="1">
      <alignment vertical="center" wrapText="1"/>
    </xf>
    <xf numFmtId="0" fontId="12" fillId="0" borderId="4" xfId="4" applyFont="1" applyBorder="1" applyAlignment="1">
      <alignment vertical="center"/>
    </xf>
    <xf numFmtId="0" fontId="6" fillId="0" borderId="22" xfId="4" applyFont="1" applyBorder="1"/>
    <xf numFmtId="0" fontId="6" fillId="0" borderId="62" xfId="4" applyFont="1" applyBorder="1"/>
    <xf numFmtId="0" fontId="6" fillId="0" borderId="63" xfId="4" applyFont="1" applyBorder="1"/>
    <xf numFmtId="0" fontId="17" fillId="0" borderId="49" xfId="0" applyFont="1" applyBorder="1" applyAlignment="1">
      <alignment horizontal="centerContinuous" vertical="center"/>
    </xf>
    <xf numFmtId="0" fontId="17" fillId="0" borderId="23" xfId="0" applyFont="1" applyBorder="1" applyAlignment="1">
      <alignment horizontal="centerContinuous" vertical="center"/>
    </xf>
    <xf numFmtId="0" fontId="17" fillId="0" borderId="23" xfId="0" applyFont="1" applyBorder="1" applyAlignment="1">
      <alignment horizontal="centerContinuous"/>
    </xf>
    <xf numFmtId="0" fontId="17" fillId="0" borderId="23" xfId="4" applyFont="1" applyBorder="1" applyAlignment="1">
      <alignment horizontal="centerContinuous"/>
    </xf>
    <xf numFmtId="0" fontId="22" fillId="0" borderId="61" xfId="4" quotePrefix="1" applyFont="1" applyBorder="1" applyAlignment="1">
      <alignment horizontal="left"/>
    </xf>
    <xf numFmtId="0" fontId="23" fillId="0" borderId="22" xfId="0" applyFont="1" applyBorder="1" applyAlignment="1">
      <alignment horizontal="centerContinuous" vertical="center"/>
    </xf>
    <xf numFmtId="0" fontId="23" fillId="0" borderId="0" xfId="0" applyFont="1" applyAlignment="1">
      <alignment horizontal="centerContinuous" vertical="center"/>
    </xf>
    <xf numFmtId="0" fontId="24" fillId="0" borderId="0" xfId="0" applyFont="1" applyAlignment="1">
      <alignment horizontal="centerContinuous" vertical="center"/>
    </xf>
    <xf numFmtId="0" fontId="24" fillId="0" borderId="0" xfId="0" applyFont="1" applyAlignment="1">
      <alignment horizontal="centerContinuous"/>
    </xf>
    <xf numFmtId="0" fontId="24" fillId="0" borderId="0" xfId="4" applyFont="1" applyAlignment="1">
      <alignment horizontal="centerContinuous"/>
    </xf>
    <xf numFmtId="0" fontId="14" fillId="0" borderId="31" xfId="4" applyFont="1" applyBorder="1"/>
    <xf numFmtId="0" fontId="14" fillId="0" borderId="32" xfId="4" applyFont="1" applyBorder="1"/>
    <xf numFmtId="14" fontId="12" fillId="0" borderId="0" xfId="4" applyNumberFormat="1" applyFont="1" applyProtection="1">
      <protection locked="0"/>
    </xf>
    <xf numFmtId="2" fontId="14" fillId="0" borderId="13" xfId="4" applyNumberFormat="1" applyFont="1" applyBorder="1"/>
    <xf numFmtId="2" fontId="14" fillId="0" borderId="64" xfId="4" applyNumberFormat="1" applyFont="1" applyBorder="1"/>
    <xf numFmtId="0" fontId="25" fillId="0" borderId="0" xfId="11" applyFont="1"/>
    <xf numFmtId="0" fontId="4" fillId="0" borderId="0" xfId="11"/>
    <xf numFmtId="0" fontId="4" fillId="5" borderId="0" xfId="11" applyFill="1" applyProtection="1">
      <protection locked="0"/>
    </xf>
    <xf numFmtId="0" fontId="19" fillId="0" borderId="0" xfId="11" applyFont="1"/>
    <xf numFmtId="2" fontId="14" fillId="0" borderId="31" xfId="4" applyNumberFormat="1" applyFont="1" applyBorder="1" applyProtection="1">
      <protection locked="0"/>
    </xf>
    <xf numFmtId="0" fontId="4" fillId="0" borderId="34" xfId="0" applyFont="1" applyBorder="1" applyAlignment="1">
      <alignment horizontal="center" vertical="center" wrapText="1"/>
    </xf>
    <xf numFmtId="0" fontId="19" fillId="0" borderId="0" xfId="11" applyFont="1" applyAlignment="1">
      <alignment horizontal="right"/>
    </xf>
    <xf numFmtId="0" fontId="0" fillId="0" borderId="35" xfId="0" applyBorder="1" applyAlignment="1">
      <alignment horizontal="left" vertical="center"/>
    </xf>
    <xf numFmtId="0" fontId="0" fillId="0" borderId="18" xfId="0" applyBorder="1" applyAlignment="1">
      <alignment horizontal="left" vertical="center"/>
    </xf>
    <xf numFmtId="0" fontId="16" fillId="0" borderId="35" xfId="0" applyFont="1" applyBorder="1" applyAlignment="1">
      <alignment horizontal="left" vertical="center"/>
    </xf>
    <xf numFmtId="0" fontId="16" fillId="0" borderId="18" xfId="0" applyFont="1" applyBorder="1" applyAlignment="1">
      <alignment horizontal="left" vertical="center"/>
    </xf>
    <xf numFmtId="0" fontId="16" fillId="0" borderId="53" xfId="0" applyFont="1" applyBorder="1" applyAlignment="1">
      <alignment horizontal="left" vertical="center"/>
    </xf>
    <xf numFmtId="0" fontId="16" fillId="0" borderId="54" xfId="0" applyFont="1" applyBorder="1" applyAlignment="1">
      <alignment horizontal="left" vertical="center"/>
    </xf>
    <xf numFmtId="0" fontId="16" fillId="0" borderId="55" xfId="0" applyFont="1" applyBorder="1" applyAlignment="1">
      <alignment horizontal="left" vertical="center"/>
    </xf>
    <xf numFmtId="0" fontId="16" fillId="0" borderId="56" xfId="0" applyFont="1" applyBorder="1" applyAlignment="1">
      <alignment horizontal="left" vertical="center"/>
    </xf>
    <xf numFmtId="0" fontId="1" fillId="0" borderId="0" xfId="0" applyFont="1" applyAlignment="1">
      <alignment horizontal="right"/>
    </xf>
    <xf numFmtId="0" fontId="0" fillId="0" borderId="47" xfId="0" applyBorder="1" applyAlignment="1">
      <alignment horizontal="left" vertical="center"/>
    </xf>
    <xf numFmtId="0" fontId="0" fillId="0" borderId="48" xfId="0" applyBorder="1" applyAlignment="1">
      <alignment horizontal="left" vertical="center"/>
    </xf>
    <xf numFmtId="2" fontId="12" fillId="0" borderId="22" xfId="4" applyNumberFormat="1" applyFont="1" applyBorder="1" applyAlignment="1">
      <alignment horizontal="right" vertical="center"/>
    </xf>
    <xf numFmtId="49" fontId="12" fillId="0" borderId="22" xfId="4" applyNumberFormat="1" applyFont="1" applyBorder="1" applyAlignment="1">
      <alignment horizontal="right" vertical="center"/>
    </xf>
    <xf numFmtId="2" fontId="12" fillId="0" borderId="49" xfId="4" applyNumberFormat="1" applyFont="1" applyBorder="1" applyAlignment="1">
      <alignment horizontal="right" vertical="center"/>
    </xf>
    <xf numFmtId="0" fontId="12" fillId="0" borderId="49" xfId="4" applyFont="1" applyBorder="1" applyAlignment="1">
      <alignment horizontal="center" vertical="top"/>
    </xf>
    <xf numFmtId="0" fontId="12" fillId="0" borderId="23" xfId="4" applyFont="1" applyBorder="1" applyAlignment="1">
      <alignment horizontal="center" vertical="top"/>
    </xf>
    <xf numFmtId="0" fontId="12" fillId="0" borderId="24" xfId="4" applyFont="1" applyBorder="1" applyAlignment="1">
      <alignment horizontal="center" vertical="top"/>
    </xf>
    <xf numFmtId="0" fontId="12" fillId="0" borderId="22" xfId="4" applyFont="1" applyBorder="1" applyAlignment="1">
      <alignment horizontal="right" vertical="center"/>
    </xf>
    <xf numFmtId="0" fontId="12" fillId="0" borderId="0" xfId="4" applyFont="1" applyAlignment="1">
      <alignment horizontal="right" vertical="center"/>
    </xf>
    <xf numFmtId="0" fontId="16" fillId="0" borderId="9" xfId="0" applyFont="1" applyBorder="1" applyAlignment="1">
      <alignment horizontal="left" vertical="center"/>
    </xf>
    <xf numFmtId="0" fontId="16" fillId="0" borderId="50" xfId="0" applyFont="1" applyBorder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3" fillId="0" borderId="25" xfId="0" applyFont="1" applyBorder="1" applyAlignment="1">
      <alignment horizontal="center" vertical="center"/>
    </xf>
    <xf numFmtId="0" fontId="19" fillId="0" borderId="49" xfId="4" applyFont="1" applyBorder="1" applyAlignment="1">
      <alignment horizontal="center" vertical="center"/>
    </xf>
    <xf numFmtId="0" fontId="19" fillId="0" borderId="23" xfId="4" applyFont="1" applyBorder="1" applyAlignment="1">
      <alignment horizontal="center" vertical="center"/>
    </xf>
    <xf numFmtId="0" fontId="19" fillId="0" borderId="25" xfId="4" applyFont="1" applyBorder="1" applyAlignment="1">
      <alignment horizontal="center" vertical="center"/>
    </xf>
    <xf numFmtId="0" fontId="19" fillId="0" borderId="3" xfId="4" applyFont="1" applyBorder="1" applyAlignment="1">
      <alignment horizontal="center" vertical="center"/>
    </xf>
    <xf numFmtId="0" fontId="18" fillId="0" borderId="23" xfId="4" applyFont="1" applyBorder="1" applyAlignment="1">
      <alignment horizontal="center" vertical="center"/>
    </xf>
    <xf numFmtId="0" fontId="18" fillId="0" borderId="24" xfId="4" applyFont="1" applyBorder="1" applyAlignment="1">
      <alignment horizontal="center" vertical="center"/>
    </xf>
    <xf numFmtId="0" fontId="18" fillId="0" borderId="3" xfId="4" applyFont="1" applyBorder="1" applyAlignment="1">
      <alignment horizontal="center" vertical="center"/>
    </xf>
    <xf numFmtId="0" fontId="18" fillId="0" borderId="4" xfId="4" applyFont="1" applyBorder="1" applyAlignment="1">
      <alignment horizontal="center" vertical="center"/>
    </xf>
    <xf numFmtId="0" fontId="20" fillId="0" borderId="49" xfId="0" applyFont="1" applyBorder="1" applyAlignment="1">
      <alignment horizontal="center" vertical="center"/>
    </xf>
    <xf numFmtId="0" fontId="20" fillId="0" borderId="23" xfId="0" applyFont="1" applyBorder="1" applyAlignment="1">
      <alignment horizontal="center" vertical="center"/>
    </xf>
    <xf numFmtId="0" fontId="20" fillId="0" borderId="24" xfId="0" applyFont="1" applyBorder="1" applyAlignment="1">
      <alignment horizontal="center" vertical="center"/>
    </xf>
    <xf numFmtId="0" fontId="20" fillId="0" borderId="25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2" fontId="10" fillId="0" borderId="12" xfId="0" applyNumberFormat="1" applyFont="1" applyBorder="1" applyAlignment="1">
      <alignment horizontal="center" vertical="center"/>
    </xf>
    <xf numFmtId="2" fontId="10" fillId="0" borderId="6" xfId="0" applyNumberFormat="1" applyFont="1" applyBorder="1" applyAlignment="1">
      <alignment horizontal="center" vertical="center"/>
    </xf>
    <xf numFmtId="2" fontId="10" fillId="0" borderId="51" xfId="0" applyNumberFormat="1" applyFont="1" applyBorder="1" applyAlignment="1">
      <alignment horizontal="center" vertical="center"/>
    </xf>
    <xf numFmtId="0" fontId="10" fillId="0" borderId="19" xfId="4" applyFont="1" applyBorder="1" applyAlignment="1">
      <alignment horizontal="center"/>
    </xf>
    <xf numFmtId="0" fontId="10" fillId="0" borderId="8" xfId="4" applyFont="1" applyBorder="1" applyAlignment="1">
      <alignment horizontal="center"/>
    </xf>
    <xf numFmtId="0" fontId="10" fillId="0" borderId="52" xfId="4" applyFont="1" applyBorder="1" applyAlignment="1">
      <alignment horizontal="center"/>
    </xf>
  </cellXfs>
  <cellStyles count="12">
    <cellStyle name="Grey" xfId="1" xr:uid="{00000000-0005-0000-0000-000000000000}"/>
    <cellStyle name="Input [yellow]" xfId="2" xr:uid="{00000000-0005-0000-0000-000001000000}"/>
    <cellStyle name="Normal" xfId="0" builtinId="0"/>
    <cellStyle name="Normal - Style1" xfId="3" xr:uid="{00000000-0005-0000-0000-000003000000}"/>
    <cellStyle name="Normal 2" xfId="11" xr:uid="{00000000-0005-0000-0000-000004000000}"/>
    <cellStyle name="Normal_FA" xfId="4" xr:uid="{00000000-0005-0000-0000-000005000000}"/>
    <cellStyle name="Percent [2]" xfId="5" xr:uid="{00000000-0005-0000-0000-000006000000}"/>
    <cellStyle name="桁区切り [0.00]_laroux" xfId="6" xr:uid="{00000000-0005-0000-0000-000007000000}"/>
    <cellStyle name="桁区切り_laroux" xfId="7" xr:uid="{00000000-0005-0000-0000-000008000000}"/>
    <cellStyle name="標準_22生産1" xfId="8" xr:uid="{00000000-0005-0000-0000-000009000000}"/>
    <cellStyle name="通貨 [0.00]_９７上" xfId="9" xr:uid="{00000000-0005-0000-0000-00000A000000}"/>
    <cellStyle name="通貨_９７上" xfId="10" xr:uid="{00000000-0005-0000-0000-00000B000000}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989616444161893E-2"/>
          <c:y val="2.1701388888888888E-2"/>
          <c:w val="0.9281630344593812"/>
          <c:h val="0.9423385826771653"/>
        </c:manualLayout>
      </c:layout>
      <c:lineChart>
        <c:grouping val="standard"/>
        <c:varyColors val="0"/>
        <c:ser>
          <c:idx val="0"/>
          <c:order val="0"/>
          <c:tx>
            <c:strRef>
              <c:f>'PESO BOBINA'!$B$53</c:f>
              <c:strCache>
                <c:ptCount val="1"/>
                <c:pt idx="0">
                  <c:v>Média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'PESO BOBINA'!$C$9:$AG$9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'PESO BOBINA'!$C$53:$AG$53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7E-42E4-8E35-B4057064C1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063216"/>
        <c:axId val="365063608"/>
      </c:lineChart>
      <c:scatterChart>
        <c:scatterStyle val="lineMarker"/>
        <c:varyColors val="0"/>
        <c:ser>
          <c:idx val="1"/>
          <c:order val="1"/>
          <c:tx>
            <c:v>LSE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'PESO BOBINA'!$E$4</c:f>
              <c:numCache>
                <c:formatCode>0.00</c:formatCode>
                <c:ptCount val="1"/>
                <c:pt idx="0">
                  <c:v>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7E-42E4-8E35-B4057064C1BE}"/>
            </c:ext>
          </c:extLst>
        </c:ser>
        <c:ser>
          <c:idx val="2"/>
          <c:order val="2"/>
          <c:tx>
            <c:v>LSC</c:v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4925">
                <a:solidFill>
                  <a:schemeClr val="accent6">
                    <a:lumMod val="75000"/>
                  </a:schemeClr>
                </a:solidFill>
              </a:ln>
            </c:spPr>
          </c:errBars>
          <c:yVal>
            <c:numRef>
              <c:f>'PESO BOBINA'!$G$4</c:f>
              <c:numCache>
                <c:formatCode>0.00</c:formatCode>
                <c:ptCount val="1"/>
                <c:pt idx="0">
                  <c:v>52.8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7E-42E4-8E35-B4057064C1BE}"/>
            </c:ext>
          </c:extLst>
        </c:ser>
        <c:ser>
          <c:idx val="3"/>
          <c:order val="3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chemeClr val="accent6">
                    <a:lumMod val="75000"/>
                  </a:schemeClr>
                </a:solidFill>
                <a:prstDash val="lgDashDotDot"/>
              </a:ln>
            </c:spPr>
          </c:errBars>
          <c:yVal>
            <c:numRef>
              <c:f>'PESO BOBINA'!$G$5</c:f>
              <c:numCache>
                <c:formatCode>0.00</c:formatCode>
                <c:ptCount val="1"/>
                <c:pt idx="0">
                  <c:v>52.5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7E-42E4-8E35-B4057064C1BE}"/>
            </c:ext>
          </c:extLst>
        </c:ser>
        <c:ser>
          <c:idx val="5"/>
          <c:order val="4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chemeClr val="accent6">
                    <a:lumMod val="75000"/>
                  </a:schemeClr>
                </a:solidFill>
              </a:ln>
            </c:spPr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'PESO BOBINA'!$G$6</c:f>
              <c:numCache>
                <c:formatCode>0.00</c:formatCode>
                <c:ptCount val="1"/>
                <c:pt idx="0">
                  <c:v>52.2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17E-42E4-8E35-B4057064C1BE}"/>
            </c:ext>
          </c:extLst>
        </c:ser>
        <c:ser>
          <c:idx val="4"/>
          <c:order val="5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rgbClr val="FF0000"/>
                </a:solidFill>
              </a:ln>
            </c:spPr>
          </c:errBars>
          <c:yVal>
            <c:numRef>
              <c:f>'PESO BOBINA'!$E$6</c:f>
              <c:numCache>
                <c:formatCode>0.00</c:formatCode>
                <c:ptCount val="1"/>
                <c:pt idx="0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17E-42E4-8E35-B4057064C1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066352"/>
        <c:axId val="365060864"/>
      </c:scatterChart>
      <c:catAx>
        <c:axId val="36506321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365063608"/>
        <c:crosses val="autoZero"/>
        <c:auto val="1"/>
        <c:lblAlgn val="ctr"/>
        <c:lblOffset val="100"/>
        <c:tickMarkSkip val="1"/>
        <c:noMultiLvlLbl val="0"/>
      </c:catAx>
      <c:valAx>
        <c:axId val="365063608"/>
        <c:scaling>
          <c:orientation val="minMax"/>
          <c:max val="53.2"/>
          <c:min val="51.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365063216"/>
        <c:crosses val="autoZero"/>
        <c:crossBetween val="between"/>
        <c:majorUnit val="0.1"/>
        <c:minorUnit val="5.000000000000001E-2"/>
      </c:valAx>
      <c:valAx>
        <c:axId val="365060864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365066352"/>
        <c:crosses val="max"/>
        <c:crossBetween val="midCat"/>
      </c:valAx>
      <c:valAx>
        <c:axId val="365066352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365060864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77249315030825E-2"/>
          <c:y val="5.6677495575681358E-2"/>
          <c:w val="0.96659832231918197"/>
          <c:h val="0.88902903778050368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'PESO BOBINA'!$C$54:$AG$54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  <c:pt idx="30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AA-44BD-AE34-F6FF4F50F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067528"/>
        <c:axId val="365064000"/>
      </c:lineChart>
      <c:scatterChart>
        <c:scatterStyle val="lineMarker"/>
        <c:varyColors val="0"/>
        <c:ser>
          <c:idx val="1"/>
          <c:order val="1"/>
          <c:tx>
            <c:v>R</c:v>
          </c:tx>
          <c:spPr>
            <a:ln w="2540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'PESO BOBINA'!$G$7</c:f>
              <c:numCache>
                <c:formatCode>0.00</c:formatCode>
                <c:ptCount val="1"/>
                <c:pt idx="0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AA-44BD-AE34-F6FF4F50F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064784"/>
        <c:axId val="365064392"/>
      </c:scatterChart>
      <c:catAx>
        <c:axId val="365067528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crossAx val="365064000"/>
        <c:crosses val="autoZero"/>
        <c:auto val="1"/>
        <c:lblAlgn val="ctr"/>
        <c:lblOffset val="100"/>
        <c:noMultiLvlLbl val="0"/>
      </c:catAx>
      <c:valAx>
        <c:axId val="3650640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365067528"/>
        <c:crosses val="autoZero"/>
        <c:crossBetween val="between"/>
        <c:majorUnit val="0.2"/>
        <c:minorUnit val="0.05"/>
      </c:valAx>
      <c:valAx>
        <c:axId val="365064392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365064784"/>
        <c:crosses val="max"/>
        <c:crossBetween val="midCat"/>
      </c:valAx>
      <c:valAx>
        <c:axId val="365064784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365064392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989616444161893E-2"/>
          <c:y val="2.1701388888888888E-2"/>
          <c:w val="0.9281630344593812"/>
          <c:h val="0.9423385826771653"/>
        </c:manualLayout>
      </c:layout>
      <c:lineChart>
        <c:grouping val="standard"/>
        <c:varyColors val="0"/>
        <c:ser>
          <c:idx val="0"/>
          <c:order val="0"/>
          <c:tx>
            <c:strRef>
              <c:f>'ALTURA A3'!$B$53</c:f>
              <c:strCache>
                <c:ptCount val="1"/>
                <c:pt idx="0">
                  <c:v>Média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'ALTURA A3'!$C$9:$AG$9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'ALTURA A3'!$C$53:$AG$53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21-4F77-8987-866EEA611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065568"/>
        <c:axId val="365067920"/>
      </c:lineChart>
      <c:scatterChart>
        <c:scatterStyle val="lineMarker"/>
        <c:varyColors val="0"/>
        <c:ser>
          <c:idx val="1"/>
          <c:order val="1"/>
          <c:tx>
            <c:v>LSE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'ALTURA A3'!$E$4</c:f>
              <c:numCache>
                <c:formatCode>0.00</c:formatCode>
                <c:ptCount val="1"/>
                <c:pt idx="0">
                  <c:v>48.9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21-4F77-8987-866EEA611067}"/>
            </c:ext>
          </c:extLst>
        </c:ser>
        <c:ser>
          <c:idx val="2"/>
          <c:order val="2"/>
          <c:tx>
            <c:v>LSC</c:v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4925">
                <a:solidFill>
                  <a:schemeClr val="accent6">
                    <a:lumMod val="75000"/>
                  </a:schemeClr>
                </a:solidFill>
              </a:ln>
            </c:spPr>
          </c:errBars>
          <c:yVal>
            <c:numRef>
              <c:f>'ALTURA A3'!$G$4</c:f>
              <c:numCache>
                <c:formatCode>0.00</c:formatCode>
                <c:ptCount val="1"/>
                <c:pt idx="0">
                  <c:v>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921-4F77-8987-866EEA611067}"/>
            </c:ext>
          </c:extLst>
        </c:ser>
        <c:ser>
          <c:idx val="3"/>
          <c:order val="3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chemeClr val="accent6">
                    <a:lumMod val="75000"/>
                  </a:schemeClr>
                </a:solidFill>
                <a:prstDash val="lgDashDotDot"/>
              </a:ln>
            </c:spPr>
          </c:errBars>
          <c:yVal>
            <c:numRef>
              <c:f>'ALTURA A3'!$G$5</c:f>
              <c:numCache>
                <c:formatCode>0.00</c:formatCode>
                <c:ptCount val="1"/>
                <c:pt idx="0">
                  <c:v>47.4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921-4F77-8987-866EEA611067}"/>
            </c:ext>
          </c:extLst>
        </c:ser>
        <c:ser>
          <c:idx val="5"/>
          <c:order val="4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chemeClr val="accent6">
                    <a:lumMod val="75000"/>
                  </a:schemeClr>
                </a:solidFill>
              </a:ln>
            </c:spPr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'ALTURA A3'!$G$6</c:f>
              <c:numCache>
                <c:formatCode>0.00</c:formatCode>
                <c:ptCount val="1"/>
                <c:pt idx="0">
                  <c:v>46.9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921-4F77-8987-866EEA611067}"/>
            </c:ext>
          </c:extLst>
        </c:ser>
        <c:ser>
          <c:idx val="4"/>
          <c:order val="5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rgbClr val="FF0000"/>
                </a:solidFill>
              </a:ln>
            </c:spPr>
          </c:errBars>
          <c:yVal>
            <c:numRef>
              <c:f>'ALTURA A3'!$E$6</c:f>
              <c:numCache>
                <c:formatCode>0.00</c:formatCode>
                <c:ptCount val="1"/>
                <c:pt idx="0">
                  <c:v>45.9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921-4F77-8987-866EEA611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066744"/>
        <c:axId val="365065960"/>
      </c:scatterChart>
      <c:catAx>
        <c:axId val="3650655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365067920"/>
        <c:crosses val="autoZero"/>
        <c:auto val="1"/>
        <c:lblAlgn val="ctr"/>
        <c:lblOffset val="100"/>
        <c:tickMarkSkip val="1"/>
        <c:noMultiLvlLbl val="0"/>
      </c:catAx>
      <c:valAx>
        <c:axId val="365067920"/>
        <c:scaling>
          <c:orientation val="minMax"/>
          <c:max val="49.1"/>
          <c:min val="45.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365065568"/>
        <c:crosses val="autoZero"/>
        <c:crossBetween val="between"/>
        <c:majorUnit val="0.2"/>
        <c:minorUnit val="0.1"/>
      </c:valAx>
      <c:valAx>
        <c:axId val="365065960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365066744"/>
        <c:crosses val="max"/>
        <c:crossBetween val="midCat"/>
      </c:valAx>
      <c:valAx>
        <c:axId val="365066744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365065960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77249315030825E-2"/>
          <c:y val="5.6677495575681358E-2"/>
          <c:w val="0.96659832231918197"/>
          <c:h val="0.88902903778050368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'ALTURA A3'!$C$54:$AG$54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  <c:pt idx="30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AA-4C51-8F2C-53D03BE360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471088"/>
        <c:axId val="365467168"/>
      </c:lineChart>
      <c:scatterChart>
        <c:scatterStyle val="lineMarker"/>
        <c:varyColors val="0"/>
        <c:ser>
          <c:idx val="1"/>
          <c:order val="1"/>
          <c:tx>
            <c:v>R</c:v>
          </c:tx>
          <c:spPr>
            <a:ln w="2540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'ALTURA A3'!$G$7</c:f>
              <c:numCache>
                <c:formatCode>0.00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AA-4C51-8F2C-53D03BE360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467560"/>
        <c:axId val="365470304"/>
      </c:scatterChart>
      <c:catAx>
        <c:axId val="365471088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crossAx val="365467168"/>
        <c:crosses val="autoZero"/>
        <c:auto val="1"/>
        <c:lblAlgn val="ctr"/>
        <c:lblOffset val="100"/>
        <c:noMultiLvlLbl val="0"/>
      </c:catAx>
      <c:valAx>
        <c:axId val="365467168"/>
        <c:scaling>
          <c:orientation val="minMax"/>
          <c:max val="1.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365471088"/>
        <c:crosses val="autoZero"/>
        <c:crossBetween val="between"/>
        <c:majorUnit val="0.2"/>
        <c:minorUnit val="0.1"/>
      </c:valAx>
      <c:valAx>
        <c:axId val="365470304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365467560"/>
        <c:crosses val="max"/>
        <c:crossBetween val="midCat"/>
      </c:valAx>
      <c:valAx>
        <c:axId val="365467560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365470304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989616444161893E-2"/>
          <c:y val="2.1701388888888888E-2"/>
          <c:w val="0.9281630344593812"/>
          <c:h val="0.9423385826771653"/>
        </c:manualLayout>
      </c:layout>
      <c:lineChart>
        <c:grouping val="standard"/>
        <c:varyColors val="0"/>
        <c:ser>
          <c:idx val="0"/>
          <c:order val="0"/>
          <c:tx>
            <c:strRef>
              <c:f>'OMBRO SHIMA'!$B$53</c:f>
              <c:strCache>
                <c:ptCount val="1"/>
                <c:pt idx="0">
                  <c:v>Média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'OMBRO SHIMA'!$C$9:$AG$9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'OMBRO SHIMA'!$C$53:$AG$53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C8-44C7-B1EC-7CB3DDE2E8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466776"/>
        <c:axId val="365472264"/>
      </c:lineChart>
      <c:scatterChart>
        <c:scatterStyle val="lineMarker"/>
        <c:varyColors val="0"/>
        <c:ser>
          <c:idx val="1"/>
          <c:order val="1"/>
          <c:tx>
            <c:v>LSE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'OMBRO SHIMA'!$E$4</c:f>
              <c:numCache>
                <c:formatCode>0.00</c:formatCode>
                <c:ptCount val="1"/>
                <c:pt idx="0">
                  <c:v>57.55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C8-44C7-B1EC-7CB3DDE2E837}"/>
            </c:ext>
          </c:extLst>
        </c:ser>
        <c:ser>
          <c:idx val="2"/>
          <c:order val="2"/>
          <c:tx>
            <c:v>LSC</c:v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4925">
                <a:solidFill>
                  <a:schemeClr val="accent6">
                    <a:lumMod val="75000"/>
                  </a:schemeClr>
                </a:solidFill>
              </a:ln>
            </c:spPr>
          </c:errBars>
          <c:yVal>
            <c:numRef>
              <c:f>'OMBRO SHIMA'!$G$4</c:f>
              <c:numCache>
                <c:formatCode>0.00</c:formatCode>
                <c:ptCount val="1"/>
                <c:pt idx="0">
                  <c:v>57.5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C8-44C7-B1EC-7CB3DDE2E837}"/>
            </c:ext>
          </c:extLst>
        </c:ser>
        <c:ser>
          <c:idx val="3"/>
          <c:order val="3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chemeClr val="accent6">
                    <a:lumMod val="75000"/>
                  </a:schemeClr>
                </a:solidFill>
                <a:prstDash val="lgDashDotDot"/>
              </a:ln>
            </c:spPr>
          </c:errBars>
          <c:yVal>
            <c:numRef>
              <c:f>'OMBRO SHIMA'!$G$5</c:f>
              <c:numCache>
                <c:formatCode>0.00</c:formatCode>
                <c:ptCount val="1"/>
                <c:pt idx="0">
                  <c:v>57.4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CC8-44C7-B1EC-7CB3DDE2E837}"/>
            </c:ext>
          </c:extLst>
        </c:ser>
        <c:ser>
          <c:idx val="5"/>
          <c:order val="4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chemeClr val="accent6">
                    <a:lumMod val="75000"/>
                  </a:schemeClr>
                </a:solidFill>
              </a:ln>
            </c:spPr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'OMBRO SHIMA'!$G$6</c:f>
              <c:numCache>
                <c:formatCode>0.00</c:formatCode>
                <c:ptCount val="1"/>
                <c:pt idx="0">
                  <c:v>57.3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CC8-44C7-B1EC-7CB3DDE2E837}"/>
            </c:ext>
          </c:extLst>
        </c:ser>
        <c:ser>
          <c:idx val="4"/>
          <c:order val="5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rgbClr val="FF0000"/>
                </a:solidFill>
              </a:ln>
            </c:spPr>
          </c:errBars>
          <c:yVal>
            <c:numRef>
              <c:f>'OMBRO SHIMA'!$E$6</c:f>
              <c:numCache>
                <c:formatCode>0.00</c:formatCode>
                <c:ptCount val="1"/>
                <c:pt idx="0">
                  <c:v>57.25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CC8-44C7-B1EC-7CB3DDE2E8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471872"/>
        <c:axId val="365471480"/>
      </c:scatterChart>
      <c:catAx>
        <c:axId val="36546677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365472264"/>
        <c:crosses val="autoZero"/>
        <c:auto val="1"/>
        <c:lblAlgn val="ctr"/>
        <c:lblOffset val="100"/>
        <c:tickMarkSkip val="1"/>
        <c:noMultiLvlLbl val="0"/>
      </c:catAx>
      <c:valAx>
        <c:axId val="365472264"/>
        <c:scaling>
          <c:orientation val="minMax"/>
          <c:min val="57.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365466776"/>
        <c:crosses val="autoZero"/>
        <c:crossBetween val="between"/>
        <c:majorUnit val="0.1"/>
        <c:minorUnit val="2.0000000000000004E-2"/>
      </c:valAx>
      <c:valAx>
        <c:axId val="365471480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365471872"/>
        <c:crosses val="max"/>
        <c:crossBetween val="midCat"/>
      </c:valAx>
      <c:valAx>
        <c:axId val="365471872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365471480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77249315030825E-2"/>
          <c:y val="5.6677495575681358E-2"/>
          <c:w val="0.96659832231918197"/>
          <c:h val="0.88902903778050368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'OMBRO SHIMA'!$C$54:$AG$54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  <c:pt idx="30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51-46B5-9857-EA1F83B44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467952"/>
        <c:axId val="365470696"/>
      </c:lineChart>
      <c:scatterChart>
        <c:scatterStyle val="lineMarker"/>
        <c:varyColors val="0"/>
        <c:ser>
          <c:idx val="1"/>
          <c:order val="1"/>
          <c:tx>
            <c:v>R</c:v>
          </c:tx>
          <c:spPr>
            <a:ln w="2540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'OMBRO SHIMA'!$G$7</c:f>
              <c:numCache>
                <c:formatCode>0.00</c:formatCode>
                <c:ptCount val="1"/>
                <c:pt idx="0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51-46B5-9857-EA1F83B44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465992"/>
        <c:axId val="365468344"/>
      </c:scatterChart>
      <c:catAx>
        <c:axId val="365467952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crossAx val="365470696"/>
        <c:crosses val="autoZero"/>
        <c:auto val="1"/>
        <c:lblAlgn val="ctr"/>
        <c:lblOffset val="100"/>
        <c:noMultiLvlLbl val="0"/>
      </c:catAx>
      <c:valAx>
        <c:axId val="365470696"/>
        <c:scaling>
          <c:orientation val="minMax"/>
          <c:max val="0.5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365467952"/>
        <c:crosses val="autoZero"/>
        <c:crossBetween val="between"/>
        <c:majorUnit val="0.1"/>
        <c:minorUnit val="0.05"/>
      </c:valAx>
      <c:valAx>
        <c:axId val="365468344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365465992"/>
        <c:crosses val="max"/>
        <c:crossBetween val="midCat"/>
      </c:valAx>
      <c:valAx>
        <c:axId val="365465992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365468344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37</xdr:row>
      <xdr:rowOff>66675</xdr:rowOff>
    </xdr:from>
    <xdr:to>
      <xdr:col>2</xdr:col>
      <xdr:colOff>0</xdr:colOff>
      <xdr:row>37</xdr:row>
      <xdr:rowOff>66675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B1D19BF6-ED0A-4643-A1F3-E3486087F2F6}"/>
            </a:ext>
          </a:extLst>
        </xdr:cNvPr>
        <xdr:cNvSpPr>
          <a:spLocks noChangeShapeType="1"/>
        </xdr:cNvSpPr>
      </xdr:nvSpPr>
      <xdr:spPr bwMode="auto">
        <a:xfrm>
          <a:off x="1181100" y="6162675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FF00" mc:Ignorable="a14" a14:legacySpreadsheetColorIndex="11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28575</xdr:colOff>
      <xdr:row>20</xdr:row>
      <xdr:rowOff>0</xdr:rowOff>
    </xdr:from>
    <xdr:to>
      <xdr:col>1</xdr:col>
      <xdr:colOff>238125</xdr:colOff>
      <xdr:row>23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A4AAD5B-32D6-4A28-9F4E-C2CD29255BAA}"/>
            </a:ext>
          </a:extLst>
        </xdr:cNvPr>
        <xdr:cNvGrpSpPr>
          <a:grpSpLocks/>
        </xdr:cNvGrpSpPr>
      </xdr:nvGrpSpPr>
      <xdr:grpSpPr bwMode="auto">
        <a:xfrm>
          <a:off x="133350" y="3505200"/>
          <a:ext cx="209550" cy="466725"/>
          <a:chOff x="14" y="324"/>
          <a:chExt cx="22" cy="37"/>
        </a:xfrm>
      </xdr:grpSpPr>
      <xdr:sp macro="" textlink="">
        <xdr:nvSpPr>
          <xdr:cNvPr id="4" name="Text Box 3">
            <a:extLst>
              <a:ext uri="{FF2B5EF4-FFF2-40B4-BE49-F238E27FC236}">
                <a16:creationId xmlns:a16="http://schemas.microsoft.com/office/drawing/2014/main" id="{CD47FCCC-9CAA-4E60-BC14-DDB316613152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" y="333"/>
            <a:ext cx="22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pt-BR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X</a:t>
            </a:r>
          </a:p>
        </xdr:txBody>
      </xdr:sp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96C986B6-872B-4909-BB23-47A3ED71FD63}"/>
              </a:ext>
            </a:extLst>
          </xdr:cNvPr>
          <xdr:cNvSpPr>
            <a:spLocks noChangeShapeType="1"/>
          </xdr:cNvSpPr>
        </xdr:nvSpPr>
        <xdr:spPr bwMode="auto">
          <a:xfrm>
            <a:off x="18" y="324"/>
            <a:ext cx="11" cy="0"/>
          </a:xfrm>
          <a:prstGeom prst="line">
            <a:avLst/>
          </a:prstGeom>
          <a:noFill/>
          <a:ln w="2857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</xdr:col>
      <xdr:colOff>47625</xdr:colOff>
      <xdr:row>39</xdr:row>
      <xdr:rowOff>104775</xdr:rowOff>
    </xdr:from>
    <xdr:to>
      <xdr:col>1</xdr:col>
      <xdr:colOff>333375</xdr:colOff>
      <xdr:row>42</xdr:row>
      <xdr:rowOff>76200</xdr:rowOff>
    </xdr:to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87491A7E-C09D-438A-A623-54C8B6A42C5D}"/>
            </a:ext>
          </a:extLst>
        </xdr:cNvPr>
        <xdr:cNvSpPr txBox="1">
          <a:spLocks noChangeArrowheads="1"/>
        </xdr:cNvSpPr>
      </xdr:nvSpPr>
      <xdr:spPr bwMode="auto">
        <a:xfrm>
          <a:off x="152400" y="6505575"/>
          <a:ext cx="2857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t-B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R</a:t>
          </a:r>
        </a:p>
      </xdr:txBody>
    </xdr:sp>
    <xdr:clientData/>
  </xdr:twoCellAnchor>
  <xdr:twoCellAnchor>
    <xdr:from>
      <xdr:col>25</xdr:col>
      <xdr:colOff>0</xdr:colOff>
      <xdr:row>1</xdr:row>
      <xdr:rowOff>9525</xdr:rowOff>
    </xdr:from>
    <xdr:to>
      <xdr:col>25</xdr:col>
      <xdr:colOff>0</xdr:colOff>
      <xdr:row>1</xdr:row>
      <xdr:rowOff>9525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392520DE-E8C6-4823-AB73-4DF84A41C76A}"/>
            </a:ext>
          </a:extLst>
        </xdr:cNvPr>
        <xdr:cNvSpPr>
          <a:spLocks noChangeShapeType="1"/>
        </xdr:cNvSpPr>
      </xdr:nvSpPr>
      <xdr:spPr bwMode="auto">
        <a:xfrm>
          <a:off x="11477625" y="285750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11</xdr:row>
      <xdr:rowOff>85725</xdr:rowOff>
    </xdr:from>
    <xdr:to>
      <xdr:col>2</xdr:col>
      <xdr:colOff>0</xdr:colOff>
      <xdr:row>13</xdr:row>
      <xdr:rowOff>9525</xdr:rowOff>
    </xdr:to>
    <xdr:sp macro="" textlink="">
      <xdr:nvSpPr>
        <xdr:cNvPr id="8" name="Text Box 7">
          <a:extLst>
            <a:ext uri="{FF2B5EF4-FFF2-40B4-BE49-F238E27FC236}">
              <a16:creationId xmlns:a16="http://schemas.microsoft.com/office/drawing/2014/main" id="{0541C502-0C79-4D6F-9311-38213FD3961A}"/>
            </a:ext>
          </a:extLst>
        </xdr:cNvPr>
        <xdr:cNvSpPr txBox="1">
          <a:spLocks noChangeArrowheads="1"/>
        </xdr:cNvSpPr>
      </xdr:nvSpPr>
      <xdr:spPr bwMode="auto">
        <a:xfrm>
          <a:off x="1181100" y="2219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16</xdr:row>
      <xdr:rowOff>85725</xdr:rowOff>
    </xdr:from>
    <xdr:to>
      <xdr:col>2</xdr:col>
      <xdr:colOff>0</xdr:colOff>
      <xdr:row>18</xdr:row>
      <xdr:rowOff>9525</xdr:rowOff>
    </xdr:to>
    <xdr:sp macro="" textlink="">
      <xdr:nvSpPr>
        <xdr:cNvPr id="9" name="Text Box 8">
          <a:extLst>
            <a:ext uri="{FF2B5EF4-FFF2-40B4-BE49-F238E27FC236}">
              <a16:creationId xmlns:a16="http://schemas.microsoft.com/office/drawing/2014/main" id="{D7E3FAC1-122B-4B9A-9AF7-80D68EF2FC21}"/>
            </a:ext>
          </a:extLst>
        </xdr:cNvPr>
        <xdr:cNvSpPr txBox="1">
          <a:spLocks noChangeArrowheads="1"/>
        </xdr:cNvSpPr>
      </xdr:nvSpPr>
      <xdr:spPr bwMode="auto">
        <a:xfrm>
          <a:off x="1181100" y="2981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2</xdr:col>
      <xdr:colOff>0</xdr:colOff>
      <xdr:row>26</xdr:row>
      <xdr:rowOff>76200</xdr:rowOff>
    </xdr:from>
    <xdr:to>
      <xdr:col>2</xdr:col>
      <xdr:colOff>0</xdr:colOff>
      <xdr:row>28</xdr:row>
      <xdr:rowOff>0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2F291675-029D-4997-8677-306C37859D90}"/>
            </a:ext>
          </a:extLst>
        </xdr:cNvPr>
        <xdr:cNvSpPr txBox="1">
          <a:spLocks noChangeArrowheads="1"/>
        </xdr:cNvSpPr>
      </xdr:nvSpPr>
      <xdr:spPr bwMode="auto">
        <a:xfrm>
          <a:off x="1181100" y="4495800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LIC-VERDE</a:t>
          </a:r>
        </a:p>
      </xdr:txBody>
    </xdr:sp>
    <xdr:clientData/>
  </xdr:twoCellAnchor>
  <xdr:twoCellAnchor>
    <xdr:from>
      <xdr:col>2</xdr:col>
      <xdr:colOff>0</xdr:colOff>
      <xdr:row>31</xdr:row>
      <xdr:rowOff>85725</xdr:rowOff>
    </xdr:from>
    <xdr:to>
      <xdr:col>2</xdr:col>
      <xdr:colOff>0</xdr:colOff>
      <xdr:row>33</xdr:row>
      <xdr:rowOff>9525</xdr:rowOff>
    </xdr:to>
    <xdr:sp macro="" textlink="">
      <xdr:nvSpPr>
        <xdr:cNvPr id="11" name="Text Box 10">
          <a:extLst>
            <a:ext uri="{FF2B5EF4-FFF2-40B4-BE49-F238E27FC236}">
              <a16:creationId xmlns:a16="http://schemas.microsoft.com/office/drawing/2014/main" id="{4F7A8D5A-4F06-4775-A3A2-97FD318743E2}"/>
            </a:ext>
          </a:extLst>
        </xdr:cNvPr>
        <xdr:cNvSpPr txBox="1">
          <a:spLocks noChangeArrowheads="1"/>
        </xdr:cNvSpPr>
      </xdr:nvSpPr>
      <xdr:spPr bwMode="auto">
        <a:xfrm>
          <a:off x="1181100" y="5267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LIE-VERMELHO</a:t>
          </a:r>
        </a:p>
      </xdr:txBody>
    </xdr:sp>
    <xdr:clientData/>
  </xdr:twoCellAnchor>
  <xdr:twoCellAnchor>
    <xdr:from>
      <xdr:col>2</xdr:col>
      <xdr:colOff>0</xdr:colOff>
      <xdr:row>34</xdr:row>
      <xdr:rowOff>114300</xdr:rowOff>
    </xdr:from>
    <xdr:to>
      <xdr:col>2</xdr:col>
      <xdr:colOff>0</xdr:colOff>
      <xdr:row>36</xdr:row>
      <xdr:rowOff>0</xdr:rowOff>
    </xdr:to>
    <xdr:sp macro="" textlink="">
      <xdr:nvSpPr>
        <xdr:cNvPr id="12" name="Text Box 11">
          <a:extLst>
            <a:ext uri="{FF2B5EF4-FFF2-40B4-BE49-F238E27FC236}">
              <a16:creationId xmlns:a16="http://schemas.microsoft.com/office/drawing/2014/main" id="{CEF4BED8-1220-44FD-BCCF-1E5131A23F6F}"/>
            </a:ext>
          </a:extLst>
        </xdr:cNvPr>
        <xdr:cNvSpPr txBox="1">
          <a:spLocks noChangeArrowheads="1"/>
        </xdr:cNvSpPr>
      </xdr:nvSpPr>
      <xdr:spPr bwMode="auto">
        <a:xfrm>
          <a:off x="1181100" y="57531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36</xdr:row>
      <xdr:rowOff>38100</xdr:rowOff>
    </xdr:from>
    <xdr:to>
      <xdr:col>2</xdr:col>
      <xdr:colOff>0</xdr:colOff>
      <xdr:row>37</xdr:row>
      <xdr:rowOff>66675</xdr:rowOff>
    </xdr:to>
    <xdr:sp macro="" textlink="">
      <xdr:nvSpPr>
        <xdr:cNvPr id="13" name="Text Box 12">
          <a:extLst>
            <a:ext uri="{FF2B5EF4-FFF2-40B4-BE49-F238E27FC236}">
              <a16:creationId xmlns:a16="http://schemas.microsoft.com/office/drawing/2014/main" id="{7A8C88F5-C1FB-4E50-94F8-2ED7DAECD17D}"/>
            </a:ext>
          </a:extLst>
        </xdr:cNvPr>
        <xdr:cNvSpPr txBox="1">
          <a:spLocks noChangeArrowheads="1"/>
        </xdr:cNvSpPr>
      </xdr:nvSpPr>
      <xdr:spPr bwMode="auto">
        <a:xfrm>
          <a:off x="1181100" y="598170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1</xdr:col>
      <xdr:colOff>19051</xdr:colOff>
      <xdr:row>11</xdr:row>
      <xdr:rowOff>0</xdr:rowOff>
    </xdr:from>
    <xdr:to>
      <xdr:col>33</xdr:col>
      <xdr:colOff>0</xdr:colOff>
      <xdr:row>35</xdr:row>
      <xdr:rowOff>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1B7AECF9-C627-41D5-9923-8BAB6D47AE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613833</xdr:colOff>
      <xdr:row>35</xdr:row>
      <xdr:rowOff>19050</xdr:rowOff>
    </xdr:from>
    <xdr:to>
      <xdr:col>33</xdr:col>
      <xdr:colOff>10584</xdr:colOff>
      <xdr:row>45</xdr:row>
      <xdr:rowOff>95250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97DB1D21-F295-49F8-9162-B9BFDF4E4E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133350</xdr:colOff>
      <xdr:row>57</xdr:row>
      <xdr:rowOff>152400</xdr:rowOff>
    </xdr:from>
    <xdr:to>
      <xdr:col>1</xdr:col>
      <xdr:colOff>885825</xdr:colOff>
      <xdr:row>57</xdr:row>
      <xdr:rowOff>152400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03B6FE24-0AE4-48F1-85C2-2B22BDBF2A27}"/>
            </a:ext>
          </a:extLst>
        </xdr:cNvPr>
        <xdr:cNvSpPr>
          <a:spLocks noChangeShapeType="1"/>
        </xdr:cNvSpPr>
      </xdr:nvSpPr>
      <xdr:spPr bwMode="auto">
        <a:xfrm>
          <a:off x="238125" y="9772650"/>
          <a:ext cx="752475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58</xdr:row>
      <xdr:rowOff>142875</xdr:rowOff>
    </xdr:from>
    <xdr:to>
      <xdr:col>1</xdr:col>
      <xdr:colOff>876300</xdr:colOff>
      <xdr:row>58</xdr:row>
      <xdr:rowOff>142875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E77EBCDD-8977-4CEB-A3F5-5955E26159A7}"/>
            </a:ext>
          </a:extLst>
        </xdr:cNvPr>
        <xdr:cNvSpPr>
          <a:spLocks noChangeShapeType="1"/>
        </xdr:cNvSpPr>
      </xdr:nvSpPr>
      <xdr:spPr bwMode="auto">
        <a:xfrm>
          <a:off x="247650" y="1001077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59</xdr:row>
      <xdr:rowOff>104775</xdr:rowOff>
    </xdr:from>
    <xdr:to>
      <xdr:col>1</xdr:col>
      <xdr:colOff>876300</xdr:colOff>
      <xdr:row>59</xdr:row>
      <xdr:rowOff>104775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CD0354C4-3239-471F-96C4-B0DE591F1318}"/>
            </a:ext>
          </a:extLst>
        </xdr:cNvPr>
        <xdr:cNvSpPr>
          <a:spLocks noChangeShapeType="1"/>
        </xdr:cNvSpPr>
      </xdr:nvSpPr>
      <xdr:spPr bwMode="auto">
        <a:xfrm>
          <a:off x="247650" y="1022032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805CAE7C-FAF9-4A5A-B060-BD9EAC7C0610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20" name="Line 18">
          <a:extLst>
            <a:ext uri="{FF2B5EF4-FFF2-40B4-BE49-F238E27FC236}">
              <a16:creationId xmlns:a16="http://schemas.microsoft.com/office/drawing/2014/main" id="{1F00806E-AE6C-4968-B583-907FED93A0BF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37</xdr:row>
      <xdr:rowOff>66675</xdr:rowOff>
    </xdr:from>
    <xdr:to>
      <xdr:col>2</xdr:col>
      <xdr:colOff>0</xdr:colOff>
      <xdr:row>37</xdr:row>
      <xdr:rowOff>66675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678F2FB6-01A0-4F16-BCC0-31DDF9771C98}"/>
            </a:ext>
          </a:extLst>
        </xdr:cNvPr>
        <xdr:cNvSpPr>
          <a:spLocks noChangeShapeType="1"/>
        </xdr:cNvSpPr>
      </xdr:nvSpPr>
      <xdr:spPr bwMode="auto">
        <a:xfrm>
          <a:off x="1181100" y="6162675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FF00" mc:Ignorable="a14" a14:legacySpreadsheetColorIndex="11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28575</xdr:colOff>
      <xdr:row>20</xdr:row>
      <xdr:rowOff>0</xdr:rowOff>
    </xdr:from>
    <xdr:to>
      <xdr:col>1</xdr:col>
      <xdr:colOff>238125</xdr:colOff>
      <xdr:row>23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B483976B-0084-4EC1-B64A-19C7A1173646}"/>
            </a:ext>
          </a:extLst>
        </xdr:cNvPr>
        <xdr:cNvGrpSpPr>
          <a:grpSpLocks/>
        </xdr:cNvGrpSpPr>
      </xdr:nvGrpSpPr>
      <xdr:grpSpPr bwMode="auto">
        <a:xfrm>
          <a:off x="133350" y="3505200"/>
          <a:ext cx="209550" cy="466725"/>
          <a:chOff x="14" y="324"/>
          <a:chExt cx="22" cy="37"/>
        </a:xfrm>
      </xdr:grpSpPr>
      <xdr:sp macro="" textlink="">
        <xdr:nvSpPr>
          <xdr:cNvPr id="4" name="Text Box 3">
            <a:extLst>
              <a:ext uri="{FF2B5EF4-FFF2-40B4-BE49-F238E27FC236}">
                <a16:creationId xmlns:a16="http://schemas.microsoft.com/office/drawing/2014/main" id="{86F0589A-2AF1-4B5F-B6EC-A0A96A9F9C28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" y="333"/>
            <a:ext cx="22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pt-BR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X</a:t>
            </a:r>
          </a:p>
        </xdr:txBody>
      </xdr:sp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122894ED-5A4C-4A10-8114-F494C7A03FC8}"/>
              </a:ext>
            </a:extLst>
          </xdr:cNvPr>
          <xdr:cNvSpPr>
            <a:spLocks noChangeShapeType="1"/>
          </xdr:cNvSpPr>
        </xdr:nvSpPr>
        <xdr:spPr bwMode="auto">
          <a:xfrm>
            <a:off x="18" y="324"/>
            <a:ext cx="11" cy="0"/>
          </a:xfrm>
          <a:prstGeom prst="line">
            <a:avLst/>
          </a:prstGeom>
          <a:noFill/>
          <a:ln w="2857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</xdr:col>
      <xdr:colOff>47625</xdr:colOff>
      <xdr:row>39</xdr:row>
      <xdr:rowOff>104775</xdr:rowOff>
    </xdr:from>
    <xdr:to>
      <xdr:col>1</xdr:col>
      <xdr:colOff>333375</xdr:colOff>
      <xdr:row>42</xdr:row>
      <xdr:rowOff>76200</xdr:rowOff>
    </xdr:to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3D137EC3-5828-4D24-BB08-48D586C2E072}"/>
            </a:ext>
          </a:extLst>
        </xdr:cNvPr>
        <xdr:cNvSpPr txBox="1">
          <a:spLocks noChangeArrowheads="1"/>
        </xdr:cNvSpPr>
      </xdr:nvSpPr>
      <xdr:spPr bwMode="auto">
        <a:xfrm>
          <a:off x="152400" y="6505575"/>
          <a:ext cx="2857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t-B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R</a:t>
          </a:r>
        </a:p>
      </xdr:txBody>
    </xdr:sp>
    <xdr:clientData/>
  </xdr:twoCellAnchor>
  <xdr:twoCellAnchor>
    <xdr:from>
      <xdr:col>25</xdr:col>
      <xdr:colOff>0</xdr:colOff>
      <xdr:row>1</xdr:row>
      <xdr:rowOff>9525</xdr:rowOff>
    </xdr:from>
    <xdr:to>
      <xdr:col>25</xdr:col>
      <xdr:colOff>0</xdr:colOff>
      <xdr:row>1</xdr:row>
      <xdr:rowOff>9525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7AF90DB6-13F0-45EC-8CE0-093BDCB7D989}"/>
            </a:ext>
          </a:extLst>
        </xdr:cNvPr>
        <xdr:cNvSpPr>
          <a:spLocks noChangeShapeType="1"/>
        </xdr:cNvSpPr>
      </xdr:nvSpPr>
      <xdr:spPr bwMode="auto">
        <a:xfrm>
          <a:off x="11477625" y="285750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11</xdr:row>
      <xdr:rowOff>85725</xdr:rowOff>
    </xdr:from>
    <xdr:to>
      <xdr:col>2</xdr:col>
      <xdr:colOff>0</xdr:colOff>
      <xdr:row>13</xdr:row>
      <xdr:rowOff>9525</xdr:rowOff>
    </xdr:to>
    <xdr:sp macro="" textlink="">
      <xdr:nvSpPr>
        <xdr:cNvPr id="8" name="Text Box 7">
          <a:extLst>
            <a:ext uri="{FF2B5EF4-FFF2-40B4-BE49-F238E27FC236}">
              <a16:creationId xmlns:a16="http://schemas.microsoft.com/office/drawing/2014/main" id="{4D3FCC32-3104-4218-B797-19544AE4D714}"/>
            </a:ext>
          </a:extLst>
        </xdr:cNvPr>
        <xdr:cNvSpPr txBox="1">
          <a:spLocks noChangeArrowheads="1"/>
        </xdr:cNvSpPr>
      </xdr:nvSpPr>
      <xdr:spPr bwMode="auto">
        <a:xfrm>
          <a:off x="1181100" y="2219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16</xdr:row>
      <xdr:rowOff>85725</xdr:rowOff>
    </xdr:from>
    <xdr:to>
      <xdr:col>2</xdr:col>
      <xdr:colOff>0</xdr:colOff>
      <xdr:row>18</xdr:row>
      <xdr:rowOff>9525</xdr:rowOff>
    </xdr:to>
    <xdr:sp macro="" textlink="">
      <xdr:nvSpPr>
        <xdr:cNvPr id="9" name="Text Box 8">
          <a:extLst>
            <a:ext uri="{FF2B5EF4-FFF2-40B4-BE49-F238E27FC236}">
              <a16:creationId xmlns:a16="http://schemas.microsoft.com/office/drawing/2014/main" id="{CF442684-9FA5-457B-82A7-CC0F8F0CD864}"/>
            </a:ext>
          </a:extLst>
        </xdr:cNvPr>
        <xdr:cNvSpPr txBox="1">
          <a:spLocks noChangeArrowheads="1"/>
        </xdr:cNvSpPr>
      </xdr:nvSpPr>
      <xdr:spPr bwMode="auto">
        <a:xfrm>
          <a:off x="1181100" y="2981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2</xdr:col>
      <xdr:colOff>0</xdr:colOff>
      <xdr:row>26</xdr:row>
      <xdr:rowOff>76200</xdr:rowOff>
    </xdr:from>
    <xdr:to>
      <xdr:col>2</xdr:col>
      <xdr:colOff>0</xdr:colOff>
      <xdr:row>28</xdr:row>
      <xdr:rowOff>0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66509A26-F812-4A2C-B695-208A885215B6}"/>
            </a:ext>
          </a:extLst>
        </xdr:cNvPr>
        <xdr:cNvSpPr txBox="1">
          <a:spLocks noChangeArrowheads="1"/>
        </xdr:cNvSpPr>
      </xdr:nvSpPr>
      <xdr:spPr bwMode="auto">
        <a:xfrm>
          <a:off x="1181100" y="4495800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LIC-VERDE</a:t>
          </a:r>
        </a:p>
      </xdr:txBody>
    </xdr:sp>
    <xdr:clientData/>
  </xdr:twoCellAnchor>
  <xdr:twoCellAnchor>
    <xdr:from>
      <xdr:col>2</xdr:col>
      <xdr:colOff>0</xdr:colOff>
      <xdr:row>31</xdr:row>
      <xdr:rowOff>85725</xdr:rowOff>
    </xdr:from>
    <xdr:to>
      <xdr:col>2</xdr:col>
      <xdr:colOff>0</xdr:colOff>
      <xdr:row>33</xdr:row>
      <xdr:rowOff>9525</xdr:rowOff>
    </xdr:to>
    <xdr:sp macro="" textlink="">
      <xdr:nvSpPr>
        <xdr:cNvPr id="11" name="Text Box 10">
          <a:extLst>
            <a:ext uri="{FF2B5EF4-FFF2-40B4-BE49-F238E27FC236}">
              <a16:creationId xmlns:a16="http://schemas.microsoft.com/office/drawing/2014/main" id="{DB0C296F-433E-4FDA-AFA2-FE62F306778E}"/>
            </a:ext>
          </a:extLst>
        </xdr:cNvPr>
        <xdr:cNvSpPr txBox="1">
          <a:spLocks noChangeArrowheads="1"/>
        </xdr:cNvSpPr>
      </xdr:nvSpPr>
      <xdr:spPr bwMode="auto">
        <a:xfrm>
          <a:off x="1181100" y="5267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LIE-VERMELHO</a:t>
          </a:r>
        </a:p>
      </xdr:txBody>
    </xdr:sp>
    <xdr:clientData/>
  </xdr:twoCellAnchor>
  <xdr:twoCellAnchor>
    <xdr:from>
      <xdr:col>2</xdr:col>
      <xdr:colOff>0</xdr:colOff>
      <xdr:row>34</xdr:row>
      <xdr:rowOff>114300</xdr:rowOff>
    </xdr:from>
    <xdr:to>
      <xdr:col>2</xdr:col>
      <xdr:colOff>0</xdr:colOff>
      <xdr:row>36</xdr:row>
      <xdr:rowOff>0</xdr:rowOff>
    </xdr:to>
    <xdr:sp macro="" textlink="">
      <xdr:nvSpPr>
        <xdr:cNvPr id="12" name="Text Box 11">
          <a:extLst>
            <a:ext uri="{FF2B5EF4-FFF2-40B4-BE49-F238E27FC236}">
              <a16:creationId xmlns:a16="http://schemas.microsoft.com/office/drawing/2014/main" id="{64782F23-CBE0-49FD-B673-40AC6039CF8E}"/>
            </a:ext>
          </a:extLst>
        </xdr:cNvPr>
        <xdr:cNvSpPr txBox="1">
          <a:spLocks noChangeArrowheads="1"/>
        </xdr:cNvSpPr>
      </xdr:nvSpPr>
      <xdr:spPr bwMode="auto">
        <a:xfrm>
          <a:off x="1181100" y="57531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36</xdr:row>
      <xdr:rowOff>38100</xdr:rowOff>
    </xdr:from>
    <xdr:to>
      <xdr:col>2</xdr:col>
      <xdr:colOff>0</xdr:colOff>
      <xdr:row>37</xdr:row>
      <xdr:rowOff>66675</xdr:rowOff>
    </xdr:to>
    <xdr:sp macro="" textlink="">
      <xdr:nvSpPr>
        <xdr:cNvPr id="13" name="Text Box 12">
          <a:extLst>
            <a:ext uri="{FF2B5EF4-FFF2-40B4-BE49-F238E27FC236}">
              <a16:creationId xmlns:a16="http://schemas.microsoft.com/office/drawing/2014/main" id="{A3D95F95-D6F5-4E4A-999A-88C320626BFF}"/>
            </a:ext>
          </a:extLst>
        </xdr:cNvPr>
        <xdr:cNvSpPr txBox="1">
          <a:spLocks noChangeArrowheads="1"/>
        </xdr:cNvSpPr>
      </xdr:nvSpPr>
      <xdr:spPr bwMode="auto">
        <a:xfrm>
          <a:off x="1181100" y="598170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1</xdr:col>
      <xdr:colOff>19051</xdr:colOff>
      <xdr:row>11</xdr:row>
      <xdr:rowOff>0</xdr:rowOff>
    </xdr:from>
    <xdr:to>
      <xdr:col>33</xdr:col>
      <xdr:colOff>0</xdr:colOff>
      <xdr:row>35</xdr:row>
      <xdr:rowOff>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F31F064-7A95-4BB7-A244-8E572492E1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613833</xdr:colOff>
      <xdr:row>35</xdr:row>
      <xdr:rowOff>19050</xdr:rowOff>
    </xdr:from>
    <xdr:to>
      <xdr:col>33</xdr:col>
      <xdr:colOff>10584</xdr:colOff>
      <xdr:row>45</xdr:row>
      <xdr:rowOff>95250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799B79D6-0CE9-4E25-81A1-47D7F9589A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133350</xdr:colOff>
      <xdr:row>57</xdr:row>
      <xdr:rowOff>152400</xdr:rowOff>
    </xdr:from>
    <xdr:to>
      <xdr:col>1</xdr:col>
      <xdr:colOff>885825</xdr:colOff>
      <xdr:row>57</xdr:row>
      <xdr:rowOff>152400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97FFC2CB-540B-42B6-BA3F-33C23D2D9B81}"/>
            </a:ext>
          </a:extLst>
        </xdr:cNvPr>
        <xdr:cNvSpPr>
          <a:spLocks noChangeShapeType="1"/>
        </xdr:cNvSpPr>
      </xdr:nvSpPr>
      <xdr:spPr bwMode="auto">
        <a:xfrm>
          <a:off x="238125" y="9772650"/>
          <a:ext cx="752475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58</xdr:row>
      <xdr:rowOff>142875</xdr:rowOff>
    </xdr:from>
    <xdr:to>
      <xdr:col>1</xdr:col>
      <xdr:colOff>876300</xdr:colOff>
      <xdr:row>58</xdr:row>
      <xdr:rowOff>142875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C406FF1F-39FA-453D-99E1-04F19870F8D7}"/>
            </a:ext>
          </a:extLst>
        </xdr:cNvPr>
        <xdr:cNvSpPr>
          <a:spLocks noChangeShapeType="1"/>
        </xdr:cNvSpPr>
      </xdr:nvSpPr>
      <xdr:spPr bwMode="auto">
        <a:xfrm>
          <a:off x="247650" y="1001077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59</xdr:row>
      <xdr:rowOff>104775</xdr:rowOff>
    </xdr:from>
    <xdr:to>
      <xdr:col>1</xdr:col>
      <xdr:colOff>876300</xdr:colOff>
      <xdr:row>59</xdr:row>
      <xdr:rowOff>104775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07F17AD7-3602-40CC-9178-2ADDF07473A9}"/>
            </a:ext>
          </a:extLst>
        </xdr:cNvPr>
        <xdr:cNvSpPr>
          <a:spLocks noChangeShapeType="1"/>
        </xdr:cNvSpPr>
      </xdr:nvSpPr>
      <xdr:spPr bwMode="auto">
        <a:xfrm>
          <a:off x="247650" y="1022032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D1553C6F-E92C-4049-BE86-3B24AF158BD5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20" name="Line 18">
          <a:extLst>
            <a:ext uri="{FF2B5EF4-FFF2-40B4-BE49-F238E27FC236}">
              <a16:creationId xmlns:a16="http://schemas.microsoft.com/office/drawing/2014/main" id="{8CA2A53B-4104-4EC6-8BE8-73C4C32EFD1E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37</xdr:row>
      <xdr:rowOff>66675</xdr:rowOff>
    </xdr:from>
    <xdr:to>
      <xdr:col>2</xdr:col>
      <xdr:colOff>0</xdr:colOff>
      <xdr:row>37</xdr:row>
      <xdr:rowOff>66675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4C687F01-DC48-446C-A116-8787CD80A1E2}"/>
            </a:ext>
          </a:extLst>
        </xdr:cNvPr>
        <xdr:cNvSpPr>
          <a:spLocks noChangeShapeType="1"/>
        </xdr:cNvSpPr>
      </xdr:nvSpPr>
      <xdr:spPr bwMode="auto">
        <a:xfrm>
          <a:off x="1181100" y="6162675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FF00" mc:Ignorable="a14" a14:legacySpreadsheetColorIndex="11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28575</xdr:colOff>
      <xdr:row>20</xdr:row>
      <xdr:rowOff>0</xdr:rowOff>
    </xdr:from>
    <xdr:to>
      <xdr:col>1</xdr:col>
      <xdr:colOff>238125</xdr:colOff>
      <xdr:row>23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B04268D2-A383-4500-ADFD-5E54B1CBE60D}"/>
            </a:ext>
          </a:extLst>
        </xdr:cNvPr>
        <xdr:cNvGrpSpPr>
          <a:grpSpLocks/>
        </xdr:cNvGrpSpPr>
      </xdr:nvGrpSpPr>
      <xdr:grpSpPr bwMode="auto">
        <a:xfrm>
          <a:off x="133350" y="3505200"/>
          <a:ext cx="209550" cy="466725"/>
          <a:chOff x="14" y="324"/>
          <a:chExt cx="22" cy="37"/>
        </a:xfrm>
      </xdr:grpSpPr>
      <xdr:sp macro="" textlink="">
        <xdr:nvSpPr>
          <xdr:cNvPr id="4" name="Text Box 3">
            <a:extLst>
              <a:ext uri="{FF2B5EF4-FFF2-40B4-BE49-F238E27FC236}">
                <a16:creationId xmlns:a16="http://schemas.microsoft.com/office/drawing/2014/main" id="{CCB179A4-6A62-4111-A0DA-180A81E047E8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" y="333"/>
            <a:ext cx="22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pt-BR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X</a:t>
            </a:r>
          </a:p>
        </xdr:txBody>
      </xdr:sp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4657AA26-9B3A-4AC2-83AD-357F5640592C}"/>
              </a:ext>
            </a:extLst>
          </xdr:cNvPr>
          <xdr:cNvSpPr>
            <a:spLocks noChangeShapeType="1"/>
          </xdr:cNvSpPr>
        </xdr:nvSpPr>
        <xdr:spPr bwMode="auto">
          <a:xfrm>
            <a:off x="18" y="324"/>
            <a:ext cx="11" cy="0"/>
          </a:xfrm>
          <a:prstGeom prst="line">
            <a:avLst/>
          </a:prstGeom>
          <a:noFill/>
          <a:ln w="2857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</xdr:col>
      <xdr:colOff>47625</xdr:colOff>
      <xdr:row>39</xdr:row>
      <xdr:rowOff>104775</xdr:rowOff>
    </xdr:from>
    <xdr:to>
      <xdr:col>1</xdr:col>
      <xdr:colOff>333375</xdr:colOff>
      <xdr:row>42</xdr:row>
      <xdr:rowOff>76200</xdr:rowOff>
    </xdr:to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8161FA3B-0C63-4AC2-A242-82E7E4B1BB0F}"/>
            </a:ext>
          </a:extLst>
        </xdr:cNvPr>
        <xdr:cNvSpPr txBox="1">
          <a:spLocks noChangeArrowheads="1"/>
        </xdr:cNvSpPr>
      </xdr:nvSpPr>
      <xdr:spPr bwMode="auto">
        <a:xfrm>
          <a:off x="152400" y="6505575"/>
          <a:ext cx="2857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t-B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R</a:t>
          </a:r>
        </a:p>
      </xdr:txBody>
    </xdr:sp>
    <xdr:clientData/>
  </xdr:twoCellAnchor>
  <xdr:twoCellAnchor>
    <xdr:from>
      <xdr:col>25</xdr:col>
      <xdr:colOff>0</xdr:colOff>
      <xdr:row>1</xdr:row>
      <xdr:rowOff>9525</xdr:rowOff>
    </xdr:from>
    <xdr:to>
      <xdr:col>25</xdr:col>
      <xdr:colOff>0</xdr:colOff>
      <xdr:row>1</xdr:row>
      <xdr:rowOff>9525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538180CE-C15F-4343-B7B6-66B33F947A75}"/>
            </a:ext>
          </a:extLst>
        </xdr:cNvPr>
        <xdr:cNvSpPr>
          <a:spLocks noChangeShapeType="1"/>
        </xdr:cNvSpPr>
      </xdr:nvSpPr>
      <xdr:spPr bwMode="auto">
        <a:xfrm>
          <a:off x="11477625" y="285750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11</xdr:row>
      <xdr:rowOff>85725</xdr:rowOff>
    </xdr:from>
    <xdr:to>
      <xdr:col>2</xdr:col>
      <xdr:colOff>0</xdr:colOff>
      <xdr:row>13</xdr:row>
      <xdr:rowOff>9525</xdr:rowOff>
    </xdr:to>
    <xdr:sp macro="" textlink="">
      <xdr:nvSpPr>
        <xdr:cNvPr id="8" name="Text Box 7">
          <a:extLst>
            <a:ext uri="{FF2B5EF4-FFF2-40B4-BE49-F238E27FC236}">
              <a16:creationId xmlns:a16="http://schemas.microsoft.com/office/drawing/2014/main" id="{B42E30A3-0779-422B-A9CA-FDBDE5757C3F}"/>
            </a:ext>
          </a:extLst>
        </xdr:cNvPr>
        <xdr:cNvSpPr txBox="1">
          <a:spLocks noChangeArrowheads="1"/>
        </xdr:cNvSpPr>
      </xdr:nvSpPr>
      <xdr:spPr bwMode="auto">
        <a:xfrm>
          <a:off x="1181100" y="2219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16</xdr:row>
      <xdr:rowOff>85725</xdr:rowOff>
    </xdr:from>
    <xdr:to>
      <xdr:col>2</xdr:col>
      <xdr:colOff>0</xdr:colOff>
      <xdr:row>18</xdr:row>
      <xdr:rowOff>9525</xdr:rowOff>
    </xdr:to>
    <xdr:sp macro="" textlink="">
      <xdr:nvSpPr>
        <xdr:cNvPr id="9" name="Text Box 8">
          <a:extLst>
            <a:ext uri="{FF2B5EF4-FFF2-40B4-BE49-F238E27FC236}">
              <a16:creationId xmlns:a16="http://schemas.microsoft.com/office/drawing/2014/main" id="{A964D1F7-DE5C-4919-B6FA-8E5B2E17DAA2}"/>
            </a:ext>
          </a:extLst>
        </xdr:cNvPr>
        <xdr:cNvSpPr txBox="1">
          <a:spLocks noChangeArrowheads="1"/>
        </xdr:cNvSpPr>
      </xdr:nvSpPr>
      <xdr:spPr bwMode="auto">
        <a:xfrm>
          <a:off x="1181100" y="2981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2</xdr:col>
      <xdr:colOff>0</xdr:colOff>
      <xdr:row>26</xdr:row>
      <xdr:rowOff>76200</xdr:rowOff>
    </xdr:from>
    <xdr:to>
      <xdr:col>2</xdr:col>
      <xdr:colOff>0</xdr:colOff>
      <xdr:row>28</xdr:row>
      <xdr:rowOff>0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65C0A924-EC91-4941-9868-B5BFE9D66BFB}"/>
            </a:ext>
          </a:extLst>
        </xdr:cNvPr>
        <xdr:cNvSpPr txBox="1">
          <a:spLocks noChangeArrowheads="1"/>
        </xdr:cNvSpPr>
      </xdr:nvSpPr>
      <xdr:spPr bwMode="auto">
        <a:xfrm>
          <a:off x="1181100" y="4495800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LIC-VERDE</a:t>
          </a:r>
        </a:p>
      </xdr:txBody>
    </xdr:sp>
    <xdr:clientData/>
  </xdr:twoCellAnchor>
  <xdr:twoCellAnchor>
    <xdr:from>
      <xdr:col>2</xdr:col>
      <xdr:colOff>0</xdr:colOff>
      <xdr:row>31</xdr:row>
      <xdr:rowOff>85725</xdr:rowOff>
    </xdr:from>
    <xdr:to>
      <xdr:col>2</xdr:col>
      <xdr:colOff>0</xdr:colOff>
      <xdr:row>33</xdr:row>
      <xdr:rowOff>9525</xdr:rowOff>
    </xdr:to>
    <xdr:sp macro="" textlink="">
      <xdr:nvSpPr>
        <xdr:cNvPr id="11" name="Text Box 10">
          <a:extLst>
            <a:ext uri="{FF2B5EF4-FFF2-40B4-BE49-F238E27FC236}">
              <a16:creationId xmlns:a16="http://schemas.microsoft.com/office/drawing/2014/main" id="{96E9FD18-F235-4CD6-A2BF-D1C89C1B6425}"/>
            </a:ext>
          </a:extLst>
        </xdr:cNvPr>
        <xdr:cNvSpPr txBox="1">
          <a:spLocks noChangeArrowheads="1"/>
        </xdr:cNvSpPr>
      </xdr:nvSpPr>
      <xdr:spPr bwMode="auto">
        <a:xfrm>
          <a:off x="1181100" y="5267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LIE-VERMELHO</a:t>
          </a:r>
        </a:p>
      </xdr:txBody>
    </xdr:sp>
    <xdr:clientData/>
  </xdr:twoCellAnchor>
  <xdr:twoCellAnchor>
    <xdr:from>
      <xdr:col>2</xdr:col>
      <xdr:colOff>0</xdr:colOff>
      <xdr:row>34</xdr:row>
      <xdr:rowOff>114300</xdr:rowOff>
    </xdr:from>
    <xdr:to>
      <xdr:col>2</xdr:col>
      <xdr:colOff>0</xdr:colOff>
      <xdr:row>36</xdr:row>
      <xdr:rowOff>0</xdr:rowOff>
    </xdr:to>
    <xdr:sp macro="" textlink="">
      <xdr:nvSpPr>
        <xdr:cNvPr id="12" name="Text Box 11">
          <a:extLst>
            <a:ext uri="{FF2B5EF4-FFF2-40B4-BE49-F238E27FC236}">
              <a16:creationId xmlns:a16="http://schemas.microsoft.com/office/drawing/2014/main" id="{16995CEA-C803-4A3A-A036-208FCBA94A07}"/>
            </a:ext>
          </a:extLst>
        </xdr:cNvPr>
        <xdr:cNvSpPr txBox="1">
          <a:spLocks noChangeArrowheads="1"/>
        </xdr:cNvSpPr>
      </xdr:nvSpPr>
      <xdr:spPr bwMode="auto">
        <a:xfrm>
          <a:off x="1181100" y="57531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36</xdr:row>
      <xdr:rowOff>38100</xdr:rowOff>
    </xdr:from>
    <xdr:to>
      <xdr:col>2</xdr:col>
      <xdr:colOff>0</xdr:colOff>
      <xdr:row>37</xdr:row>
      <xdr:rowOff>66675</xdr:rowOff>
    </xdr:to>
    <xdr:sp macro="" textlink="">
      <xdr:nvSpPr>
        <xdr:cNvPr id="13" name="Text Box 12">
          <a:extLst>
            <a:ext uri="{FF2B5EF4-FFF2-40B4-BE49-F238E27FC236}">
              <a16:creationId xmlns:a16="http://schemas.microsoft.com/office/drawing/2014/main" id="{FF365C1C-E5D9-4CF3-B502-4A5732D29F73}"/>
            </a:ext>
          </a:extLst>
        </xdr:cNvPr>
        <xdr:cNvSpPr txBox="1">
          <a:spLocks noChangeArrowheads="1"/>
        </xdr:cNvSpPr>
      </xdr:nvSpPr>
      <xdr:spPr bwMode="auto">
        <a:xfrm>
          <a:off x="1181100" y="598170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1</xdr:col>
      <xdr:colOff>19051</xdr:colOff>
      <xdr:row>11</xdr:row>
      <xdr:rowOff>0</xdr:rowOff>
    </xdr:from>
    <xdr:to>
      <xdr:col>33</xdr:col>
      <xdr:colOff>0</xdr:colOff>
      <xdr:row>35</xdr:row>
      <xdr:rowOff>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257D7A56-A055-4EA1-9406-2FE337DFDC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613833</xdr:colOff>
      <xdr:row>35</xdr:row>
      <xdr:rowOff>19050</xdr:rowOff>
    </xdr:from>
    <xdr:to>
      <xdr:col>33</xdr:col>
      <xdr:colOff>10584</xdr:colOff>
      <xdr:row>45</xdr:row>
      <xdr:rowOff>95250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8D74C341-5B42-443D-B7A5-923EA80D47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133350</xdr:colOff>
      <xdr:row>57</xdr:row>
      <xdr:rowOff>152400</xdr:rowOff>
    </xdr:from>
    <xdr:to>
      <xdr:col>1</xdr:col>
      <xdr:colOff>885825</xdr:colOff>
      <xdr:row>57</xdr:row>
      <xdr:rowOff>152400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BC115E14-3950-4726-B032-31D6FB2A7CD6}"/>
            </a:ext>
          </a:extLst>
        </xdr:cNvPr>
        <xdr:cNvSpPr>
          <a:spLocks noChangeShapeType="1"/>
        </xdr:cNvSpPr>
      </xdr:nvSpPr>
      <xdr:spPr bwMode="auto">
        <a:xfrm>
          <a:off x="238125" y="9772650"/>
          <a:ext cx="752475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58</xdr:row>
      <xdr:rowOff>142875</xdr:rowOff>
    </xdr:from>
    <xdr:to>
      <xdr:col>1</xdr:col>
      <xdr:colOff>876300</xdr:colOff>
      <xdr:row>58</xdr:row>
      <xdr:rowOff>142875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10D051D2-17C7-4664-9FE6-95D88F7567C3}"/>
            </a:ext>
          </a:extLst>
        </xdr:cNvPr>
        <xdr:cNvSpPr>
          <a:spLocks noChangeShapeType="1"/>
        </xdr:cNvSpPr>
      </xdr:nvSpPr>
      <xdr:spPr bwMode="auto">
        <a:xfrm>
          <a:off x="247650" y="1001077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59</xdr:row>
      <xdr:rowOff>104775</xdr:rowOff>
    </xdr:from>
    <xdr:to>
      <xdr:col>1</xdr:col>
      <xdr:colOff>876300</xdr:colOff>
      <xdr:row>59</xdr:row>
      <xdr:rowOff>104775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7EB84585-8C45-4A9D-A84D-0707FBD46504}"/>
            </a:ext>
          </a:extLst>
        </xdr:cNvPr>
        <xdr:cNvSpPr>
          <a:spLocks noChangeShapeType="1"/>
        </xdr:cNvSpPr>
      </xdr:nvSpPr>
      <xdr:spPr bwMode="auto">
        <a:xfrm>
          <a:off x="247650" y="1022032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B92BD58B-1711-4769-AE93-D0AA65E9FF5D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20" name="Line 18">
          <a:extLst>
            <a:ext uri="{FF2B5EF4-FFF2-40B4-BE49-F238E27FC236}">
              <a16:creationId xmlns:a16="http://schemas.microsoft.com/office/drawing/2014/main" id="{2DADCBC7-B284-4973-8FA6-B8EE88BD8C5C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>
    <tabColor indexed="47"/>
  </sheetPr>
  <dimension ref="B2:D16"/>
  <sheetViews>
    <sheetView zoomScaleNormal="100" workbookViewId="0">
      <selection activeCell="D11" sqref="D11"/>
    </sheetView>
  </sheetViews>
  <sheetFormatPr defaultRowHeight="12.75"/>
  <cols>
    <col min="1" max="3" width="9.140625" style="115"/>
    <col min="4" max="4" width="27.28515625" style="115" customWidth="1"/>
    <col min="5" max="16384" width="9.140625" style="115"/>
  </cols>
  <sheetData>
    <row r="2" spans="2:4" ht="25.5">
      <c r="B2" s="114" t="s">
        <v>52</v>
      </c>
    </row>
    <row r="4" spans="2:4">
      <c r="B4" s="120" t="s">
        <v>53</v>
      </c>
      <c r="C4" s="120"/>
      <c r="D4" s="116"/>
    </row>
    <row r="10" spans="2:4">
      <c r="C10" s="117" t="s">
        <v>56</v>
      </c>
      <c r="D10" s="116" t="s">
        <v>54</v>
      </c>
    </row>
    <row r="11" spans="2:4">
      <c r="D11" s="116" t="s">
        <v>55</v>
      </c>
    </row>
    <row r="12" spans="2:4">
      <c r="D12" s="116"/>
    </row>
    <row r="13" spans="2:4">
      <c r="D13" s="116"/>
    </row>
    <row r="14" spans="2:4">
      <c r="D14" s="116"/>
    </row>
    <row r="15" spans="2:4">
      <c r="D15" s="116"/>
    </row>
    <row r="16" spans="2:4">
      <c r="D16" s="116"/>
    </row>
  </sheetData>
  <sheetProtection algorithmName="SHA-512" hashValue="Tpj0WCwd+HIB7hBBdaxHAZrHgkJJ3l45Scn2qLsv6ikoE9tp13dpM+40f1CmBwQhFRmBMAwIFeQ1VEmmmt5crw==" saltValue="0kIWFVozT3gxdscYTfD/zg==" spinCount="100000" sheet="1" objects="1" scenarios="1" selectLockedCells="1"/>
  <mergeCells count="1">
    <mergeCell ref="B4:C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indexed="47"/>
    <pageSetUpPr fitToPage="1"/>
  </sheetPr>
  <dimension ref="B1:BC75"/>
  <sheetViews>
    <sheetView showZeros="0" zoomScaleNormal="100" workbookViewId="0">
      <selection activeCell="F48" sqref="F48"/>
    </sheetView>
  </sheetViews>
  <sheetFormatPr defaultColWidth="10.28515625" defaultRowHeight="12.75"/>
  <cols>
    <col min="1" max="1" width="1.5703125" style="7" customWidth="1"/>
    <col min="2" max="2" width="16.140625" style="7" customWidth="1"/>
    <col min="3" max="33" width="6.7109375" style="7" customWidth="1"/>
    <col min="34" max="34" width="3.140625" style="7" customWidth="1"/>
    <col min="35" max="55" width="6.7109375" style="7" customWidth="1"/>
    <col min="56" max="16384" width="10.28515625" style="7"/>
  </cols>
  <sheetData>
    <row r="1" spans="2:50" ht="21.75" thickBot="1">
      <c r="B1" s="99" t="s">
        <v>41</v>
      </c>
      <c r="C1" s="100"/>
      <c r="D1" s="100"/>
      <c r="E1" s="100"/>
      <c r="F1" s="101"/>
      <c r="G1" s="101"/>
      <c r="H1" s="102"/>
      <c r="I1" s="103" t="s">
        <v>40</v>
      </c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8"/>
      <c r="AX1" s="8"/>
    </row>
    <row r="2" spans="2:50" s="9" customFormat="1" ht="19.5" customHeight="1">
      <c r="B2" s="104" t="s">
        <v>42</v>
      </c>
      <c r="C2" s="105"/>
      <c r="D2" s="106"/>
      <c r="E2" s="106"/>
      <c r="F2" s="107"/>
      <c r="G2" s="107"/>
      <c r="H2" s="108"/>
      <c r="I2" s="148" t="s">
        <v>26</v>
      </c>
      <c r="J2" s="149"/>
      <c r="K2" s="152" t="s">
        <v>27</v>
      </c>
      <c r="L2" s="153"/>
      <c r="M2" s="156" t="s">
        <v>0</v>
      </c>
      <c r="N2" s="157"/>
      <c r="O2" s="157"/>
      <c r="P2" s="157"/>
      <c r="Q2" s="158"/>
      <c r="R2" s="162" t="s">
        <v>25</v>
      </c>
      <c r="S2" s="163"/>
      <c r="T2" s="164"/>
      <c r="U2" s="10" t="s">
        <v>43</v>
      </c>
      <c r="V2" s="11"/>
      <c r="W2" s="11"/>
      <c r="X2" s="11"/>
      <c r="Y2" s="11"/>
      <c r="Z2" s="12"/>
      <c r="AA2" s="12"/>
      <c r="AB2" s="12"/>
      <c r="AC2" s="12"/>
      <c r="AD2" s="12"/>
      <c r="AE2" s="13"/>
      <c r="AF2" s="13"/>
      <c r="AG2" s="14"/>
    </row>
    <row r="3" spans="2:50" ht="16.899999999999999" customHeight="1" thickBot="1">
      <c r="B3" s="96"/>
      <c r="I3" s="150"/>
      <c r="J3" s="151"/>
      <c r="K3" s="154"/>
      <c r="L3" s="155"/>
      <c r="M3" s="159"/>
      <c r="N3" s="160"/>
      <c r="O3" s="160"/>
      <c r="P3" s="160"/>
      <c r="Q3" s="161"/>
      <c r="R3" s="165" t="s">
        <v>24</v>
      </c>
      <c r="S3" s="166"/>
      <c r="T3" s="167"/>
      <c r="U3" s="15" t="s">
        <v>44</v>
      </c>
      <c r="V3" s="16"/>
      <c r="W3" s="16"/>
      <c r="X3" s="16"/>
      <c r="Y3" s="16"/>
      <c r="Z3" s="16"/>
      <c r="AA3" s="16"/>
      <c r="AB3" s="16"/>
      <c r="AC3" s="16"/>
      <c r="AD3" s="16"/>
      <c r="AE3" s="17"/>
      <c r="AF3" s="17"/>
      <c r="AG3" s="18"/>
    </row>
    <row r="4" spans="2:50" s="26" customFormat="1" ht="16.899999999999999" customHeight="1">
      <c r="B4" s="83" t="s">
        <v>13</v>
      </c>
      <c r="C4" s="19"/>
      <c r="D4" s="20" t="s">
        <v>1</v>
      </c>
      <c r="E4" s="21">
        <f>E5+E7/2</f>
        <v>53</v>
      </c>
      <c r="F4" s="22" t="s">
        <v>35</v>
      </c>
      <c r="G4" s="23">
        <f>G5+G7/2</f>
        <v>52.8</v>
      </c>
      <c r="H4" s="24"/>
      <c r="I4" s="25"/>
      <c r="Z4" s="146" t="str">
        <f ca="1">"MÊS: "&amp;MID(CELL("nome.arquivo"),SEARCH(".xl",CELL("nome.arquivo"))-2,2)</f>
        <v>MÊS: 03</v>
      </c>
      <c r="AA4" s="142"/>
      <c r="AB4" s="142"/>
      <c r="AC4" s="142"/>
      <c r="AD4" s="142" t="str">
        <f ca="1">"ANO: 20"&amp;MID(CELL("nome.arquivo"),SEARCH(".xl",CELL("nome.arquivo"))-4,2)</f>
        <v>ANO: 2022</v>
      </c>
      <c r="AE4" s="142"/>
      <c r="AF4" s="142"/>
      <c r="AG4" s="143"/>
    </row>
    <row r="5" spans="2:50" s="26" customFormat="1" ht="16.899999999999999" customHeight="1" thickBot="1">
      <c r="B5" s="84" t="s">
        <v>49</v>
      </c>
      <c r="C5" s="27" t="s">
        <v>2</v>
      </c>
      <c r="D5" s="28" t="s">
        <v>3</v>
      </c>
      <c r="E5" s="29">
        <v>52.5</v>
      </c>
      <c r="F5" s="30" t="s">
        <v>3</v>
      </c>
      <c r="G5" s="31">
        <f>E5</f>
        <v>52.5</v>
      </c>
      <c r="H5" s="24"/>
      <c r="I5" s="26" t="s">
        <v>32</v>
      </c>
      <c r="R5" s="26" t="s">
        <v>4</v>
      </c>
      <c r="Z5" s="147"/>
      <c r="AA5" s="144"/>
      <c r="AB5" s="144"/>
      <c r="AC5" s="144"/>
      <c r="AD5" s="144"/>
      <c r="AE5" s="144"/>
      <c r="AF5" s="144"/>
      <c r="AG5" s="145"/>
    </row>
    <row r="6" spans="2:50" s="26" customFormat="1" ht="16.899999999999999" customHeight="1">
      <c r="B6" s="85" t="s">
        <v>14</v>
      </c>
      <c r="C6" s="32"/>
      <c r="D6" s="28" t="s">
        <v>5</v>
      </c>
      <c r="E6" s="29">
        <f>E5-E7/2</f>
        <v>52</v>
      </c>
      <c r="F6" s="30" t="s">
        <v>36</v>
      </c>
      <c r="G6" s="31">
        <f>G5-G7/2</f>
        <v>52.2</v>
      </c>
      <c r="H6" s="24"/>
      <c r="I6" s="26" t="s">
        <v>6</v>
      </c>
      <c r="R6" s="26" t="s">
        <v>7</v>
      </c>
      <c r="AC6" s="86"/>
      <c r="AD6" s="86"/>
      <c r="AG6" s="87"/>
    </row>
    <row r="7" spans="2:50" s="26" customFormat="1" ht="16.899999999999999" customHeight="1" thickBot="1">
      <c r="B7" s="88"/>
      <c r="C7" s="89" t="s">
        <v>8</v>
      </c>
      <c r="D7" s="90" t="s">
        <v>1</v>
      </c>
      <c r="E7" s="91">
        <v>1</v>
      </c>
      <c r="F7" s="33" t="s">
        <v>35</v>
      </c>
      <c r="G7" s="34">
        <v>0.6</v>
      </c>
      <c r="H7" s="92"/>
      <c r="I7" s="93" t="s">
        <v>9</v>
      </c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4"/>
      <c r="AD7" s="94"/>
      <c r="AE7" s="93"/>
      <c r="AF7" s="93"/>
      <c r="AG7" s="95"/>
    </row>
    <row r="8" spans="2:50" s="26" customFormat="1" ht="4.5" customHeight="1" thickBot="1"/>
    <row r="9" spans="2:50" s="36" customFormat="1">
      <c r="B9" s="35" t="s">
        <v>10</v>
      </c>
      <c r="C9" s="68">
        <v>1</v>
      </c>
      <c r="D9" s="68">
        <v>2</v>
      </c>
      <c r="E9" s="68">
        <v>3</v>
      </c>
      <c r="F9" s="68">
        <v>4</v>
      </c>
      <c r="G9" s="68">
        <v>5</v>
      </c>
      <c r="H9" s="68">
        <v>6</v>
      </c>
      <c r="I9" s="68">
        <v>7</v>
      </c>
      <c r="J9" s="68">
        <v>8</v>
      </c>
      <c r="K9" s="68">
        <v>9</v>
      </c>
      <c r="L9" s="68">
        <v>10</v>
      </c>
      <c r="M9" s="68">
        <v>11</v>
      </c>
      <c r="N9" s="68">
        <v>12</v>
      </c>
      <c r="O9" s="68">
        <v>13</v>
      </c>
      <c r="P9" s="68">
        <v>14</v>
      </c>
      <c r="Q9" s="68">
        <v>15</v>
      </c>
      <c r="R9" s="68">
        <v>16</v>
      </c>
      <c r="S9" s="68">
        <v>17</v>
      </c>
      <c r="T9" s="68">
        <v>18</v>
      </c>
      <c r="U9" s="68">
        <v>19</v>
      </c>
      <c r="V9" s="68">
        <v>20</v>
      </c>
      <c r="W9" s="68">
        <v>21</v>
      </c>
      <c r="X9" s="68">
        <v>22</v>
      </c>
      <c r="Y9" s="68">
        <v>23</v>
      </c>
      <c r="Z9" s="68">
        <v>24</v>
      </c>
      <c r="AA9" s="68">
        <v>25</v>
      </c>
      <c r="AB9" s="68">
        <v>26</v>
      </c>
      <c r="AC9" s="68">
        <v>27</v>
      </c>
      <c r="AD9" s="68">
        <v>28</v>
      </c>
      <c r="AE9" s="68">
        <v>29</v>
      </c>
      <c r="AF9" s="68">
        <v>30</v>
      </c>
      <c r="AG9" s="69">
        <v>31</v>
      </c>
    </row>
    <row r="10" spans="2:50" s="36" customFormat="1" ht="14.1" customHeight="1">
      <c r="B10" s="37" t="s">
        <v>11</v>
      </c>
      <c r="C10" s="76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6"/>
    </row>
    <row r="11" spans="2:50" s="36" customFormat="1" ht="14.1" customHeight="1">
      <c r="B11" s="38" t="s">
        <v>39</v>
      </c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6"/>
    </row>
    <row r="12" spans="2:50" s="36" customFormat="1" ht="12" customHeight="1">
      <c r="B12" s="39"/>
      <c r="AG12" s="40"/>
    </row>
    <row r="13" spans="2:50" s="36" customFormat="1" ht="12" customHeight="1">
      <c r="B13" s="132"/>
      <c r="AG13" s="40"/>
    </row>
    <row r="14" spans="2:50" s="36" customFormat="1" ht="12" customHeight="1">
      <c r="B14" s="132"/>
      <c r="AG14" s="40"/>
    </row>
    <row r="15" spans="2:50" s="36" customFormat="1" ht="12" customHeight="1">
      <c r="B15" s="133"/>
      <c r="AG15" s="40"/>
    </row>
    <row r="16" spans="2:50" s="36" customFormat="1" ht="12" customHeight="1">
      <c r="B16" s="133"/>
      <c r="AG16" s="40"/>
    </row>
    <row r="17" spans="2:33" s="36" customFormat="1" ht="12" customHeight="1">
      <c r="B17" s="133"/>
      <c r="AG17" s="40"/>
    </row>
    <row r="18" spans="2:33" s="36" customFormat="1" ht="12" customHeight="1">
      <c r="B18" s="133"/>
      <c r="AG18" s="40"/>
    </row>
    <row r="19" spans="2:33" s="36" customFormat="1" ht="12" customHeight="1">
      <c r="B19" s="133"/>
      <c r="AG19" s="40"/>
    </row>
    <row r="20" spans="2:33" s="36" customFormat="1" ht="12" customHeight="1">
      <c r="B20" s="133"/>
      <c r="AG20" s="40"/>
    </row>
    <row r="21" spans="2:33" s="36" customFormat="1" ht="12" customHeight="1">
      <c r="B21" s="133"/>
      <c r="AG21" s="40"/>
    </row>
    <row r="22" spans="2:33" s="36" customFormat="1" ht="12" customHeight="1">
      <c r="B22" s="133"/>
      <c r="AG22" s="40"/>
    </row>
    <row r="23" spans="2:33" s="36" customFormat="1" ht="12" customHeight="1">
      <c r="B23" s="132"/>
      <c r="AG23" s="40"/>
    </row>
    <row r="24" spans="2:33" s="36" customFormat="1" ht="12" customHeight="1">
      <c r="B24" s="132"/>
      <c r="AG24" s="40"/>
    </row>
    <row r="25" spans="2:33" s="36" customFormat="1" ht="12" customHeight="1">
      <c r="B25" s="133"/>
      <c r="AG25" s="40"/>
    </row>
    <row r="26" spans="2:33" s="36" customFormat="1" ht="12" customHeight="1">
      <c r="B26" s="133"/>
      <c r="AG26" s="40"/>
    </row>
    <row r="27" spans="2:33" s="36" customFormat="1" ht="12" customHeight="1">
      <c r="B27" s="133"/>
      <c r="AG27" s="40"/>
    </row>
    <row r="28" spans="2:33" s="36" customFormat="1" ht="12" customHeight="1">
      <c r="B28" s="133"/>
      <c r="AG28" s="40"/>
    </row>
    <row r="29" spans="2:33" s="36" customFormat="1" ht="12" customHeight="1">
      <c r="B29" s="133"/>
      <c r="AG29" s="40"/>
    </row>
    <row r="30" spans="2:33" s="36" customFormat="1" ht="12" customHeight="1">
      <c r="B30" s="133"/>
      <c r="AG30" s="40"/>
    </row>
    <row r="31" spans="2:33" s="36" customFormat="1" ht="12" customHeight="1">
      <c r="B31" s="133"/>
      <c r="AG31" s="40"/>
    </row>
    <row r="32" spans="2:33" s="36" customFormat="1" ht="12" customHeight="1">
      <c r="B32" s="133"/>
      <c r="AG32" s="40"/>
    </row>
    <row r="33" spans="2:33" s="36" customFormat="1" ht="12" customHeight="1">
      <c r="B33" s="132"/>
      <c r="AG33" s="40"/>
    </row>
    <row r="34" spans="2:33" s="36" customFormat="1" ht="12" customHeight="1">
      <c r="B34" s="132"/>
      <c r="AG34" s="40"/>
    </row>
    <row r="35" spans="2:33" s="36" customFormat="1" ht="12" customHeight="1" thickBot="1">
      <c r="B35" s="42"/>
      <c r="AG35" s="40"/>
    </row>
    <row r="36" spans="2:33" s="36" customFormat="1" ht="12" customHeight="1">
      <c r="B36" s="134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4"/>
    </row>
    <row r="37" spans="2:33" s="36" customFormat="1" ht="12" customHeight="1">
      <c r="B37" s="132"/>
      <c r="AG37" s="40"/>
    </row>
    <row r="38" spans="2:33" s="36" customFormat="1" ht="12" customHeight="1">
      <c r="B38" s="41"/>
      <c r="AG38" s="40"/>
    </row>
    <row r="39" spans="2:33" s="36" customFormat="1" ht="12" customHeight="1">
      <c r="B39" s="41"/>
      <c r="AG39" s="40"/>
    </row>
    <row r="40" spans="2:33" s="36" customFormat="1" ht="12" customHeight="1">
      <c r="B40" s="41"/>
      <c r="AG40" s="40"/>
    </row>
    <row r="41" spans="2:33" s="36" customFormat="1" ht="12" customHeight="1">
      <c r="B41" s="132"/>
      <c r="AG41" s="40"/>
    </row>
    <row r="42" spans="2:33" s="36" customFormat="1" ht="12" customHeight="1">
      <c r="B42" s="132"/>
      <c r="AG42" s="40"/>
    </row>
    <row r="43" spans="2:33" s="36" customFormat="1" ht="12" customHeight="1">
      <c r="B43" s="41"/>
      <c r="AG43" s="40"/>
    </row>
    <row r="44" spans="2:33" s="36" customFormat="1" ht="12" customHeight="1">
      <c r="B44" s="41"/>
      <c r="AG44" s="40"/>
    </row>
    <row r="45" spans="2:33" s="36" customFormat="1" ht="12" customHeight="1">
      <c r="B45" s="41"/>
      <c r="AG45" s="40"/>
    </row>
    <row r="46" spans="2:33" s="36" customFormat="1" ht="12" customHeight="1" thickBot="1">
      <c r="B46" s="45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7"/>
    </row>
    <row r="47" spans="2:33" s="36" customFormat="1" ht="6" customHeight="1">
      <c r="B47" s="48"/>
      <c r="AG47" s="40"/>
    </row>
    <row r="48" spans="2:33" s="50" customFormat="1" ht="15" customHeight="1">
      <c r="B48" s="49">
        <v>1</v>
      </c>
      <c r="C48" s="78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9"/>
    </row>
    <row r="49" spans="2:55" s="50" customFormat="1" ht="15" customHeight="1">
      <c r="B49" s="51">
        <v>2</v>
      </c>
      <c r="C49" s="80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81"/>
      <c r="V49" s="81"/>
      <c r="W49" s="81"/>
      <c r="X49" s="81"/>
      <c r="Y49" s="81"/>
      <c r="Z49" s="81"/>
      <c r="AA49" s="81"/>
      <c r="AB49" s="81"/>
      <c r="AC49" s="81"/>
      <c r="AD49" s="81"/>
      <c r="AE49" s="81"/>
      <c r="AF49" s="81"/>
      <c r="AG49" s="82"/>
    </row>
    <row r="50" spans="2:55" s="50" customFormat="1" ht="15" customHeight="1">
      <c r="B50" s="51">
        <v>3</v>
      </c>
      <c r="C50" s="80"/>
      <c r="D50" s="81"/>
      <c r="E50" s="81"/>
      <c r="F50" s="81"/>
      <c r="G50" s="81"/>
      <c r="H50" s="81"/>
      <c r="I50" s="81"/>
      <c r="J50" s="81"/>
      <c r="K50" s="81"/>
      <c r="L50" s="81"/>
      <c r="M50" s="81"/>
      <c r="N50" s="81"/>
      <c r="O50" s="81"/>
      <c r="P50" s="81"/>
      <c r="Q50" s="81"/>
      <c r="R50" s="81"/>
      <c r="S50" s="81"/>
      <c r="T50" s="81"/>
      <c r="U50" s="81"/>
      <c r="V50" s="81"/>
      <c r="W50" s="81"/>
      <c r="X50" s="81"/>
      <c r="Y50" s="81"/>
      <c r="Z50" s="81"/>
      <c r="AA50" s="81"/>
      <c r="AB50" s="81"/>
      <c r="AC50" s="81"/>
      <c r="AD50" s="81"/>
      <c r="AE50" s="81"/>
      <c r="AF50" s="81"/>
      <c r="AG50" s="82"/>
    </row>
    <row r="51" spans="2:55" s="50" customFormat="1" ht="15" customHeight="1">
      <c r="B51" s="51">
        <v>4</v>
      </c>
      <c r="C51" s="80"/>
      <c r="D51" s="81"/>
      <c r="E51" s="81"/>
      <c r="F51" s="81"/>
      <c r="G51" s="81"/>
      <c r="H51" s="81"/>
      <c r="I51" s="81"/>
      <c r="J51" s="81"/>
      <c r="K51" s="81"/>
      <c r="L51" s="81"/>
      <c r="M51" s="81"/>
      <c r="N51" s="81"/>
      <c r="O51" s="81"/>
      <c r="P51" s="81"/>
      <c r="Q51" s="81"/>
      <c r="R51" s="81"/>
      <c r="S51" s="81"/>
      <c r="T51" s="81"/>
      <c r="U51" s="81"/>
      <c r="V51" s="81"/>
      <c r="W51" s="81"/>
      <c r="X51" s="81"/>
      <c r="Y51" s="81"/>
      <c r="Z51" s="81"/>
      <c r="AA51" s="81"/>
      <c r="AB51" s="81"/>
      <c r="AC51" s="81"/>
      <c r="AD51" s="81"/>
      <c r="AE51" s="81"/>
      <c r="AF51" s="81"/>
      <c r="AG51" s="82"/>
    </row>
    <row r="52" spans="2:55" s="50" customFormat="1" ht="15" customHeight="1">
      <c r="B52" s="55">
        <v>5</v>
      </c>
      <c r="C52" s="80"/>
      <c r="D52" s="81"/>
      <c r="E52" s="81"/>
      <c r="F52" s="81"/>
      <c r="G52" s="81"/>
      <c r="H52" s="81"/>
      <c r="I52" s="81"/>
      <c r="J52" s="81"/>
      <c r="K52" s="81"/>
      <c r="L52" s="81"/>
      <c r="M52" s="81"/>
      <c r="N52" s="81"/>
      <c r="O52" s="81"/>
      <c r="P52" s="81"/>
      <c r="Q52" s="81"/>
      <c r="R52" s="81"/>
      <c r="S52" s="81"/>
      <c r="T52" s="81"/>
      <c r="U52" s="81"/>
      <c r="V52" s="81"/>
      <c r="W52" s="81"/>
      <c r="X52" s="81"/>
      <c r="Y52" s="81"/>
      <c r="Z52" s="81"/>
      <c r="AA52" s="81"/>
      <c r="AB52" s="81"/>
      <c r="AC52" s="81"/>
      <c r="AD52" s="81"/>
      <c r="AE52" s="81"/>
      <c r="AF52" s="81"/>
      <c r="AG52" s="82"/>
    </row>
    <row r="53" spans="2:55" s="50" customFormat="1" ht="15" customHeight="1">
      <c r="B53" s="55" t="s">
        <v>15</v>
      </c>
      <c r="C53" s="112" t="str">
        <f t="shared" ref="C53:AG53" si="0">IF(ISERR(AVERAGE(C48:C52))," ",AVERAGE(C48:C52))</f>
        <v xml:space="preserve"> </v>
      </c>
      <c r="D53" s="53" t="str">
        <f t="shared" si="0"/>
        <v xml:space="preserve"> </v>
      </c>
      <c r="E53" s="53" t="str">
        <f t="shared" si="0"/>
        <v xml:space="preserve"> </v>
      </c>
      <c r="F53" s="53" t="str">
        <f t="shared" si="0"/>
        <v xml:space="preserve"> </v>
      </c>
      <c r="G53" s="53" t="str">
        <f t="shared" si="0"/>
        <v xml:space="preserve"> </v>
      </c>
      <c r="H53" s="53" t="str">
        <f t="shared" si="0"/>
        <v xml:space="preserve"> </v>
      </c>
      <c r="I53" s="53" t="str">
        <f t="shared" si="0"/>
        <v xml:space="preserve"> </v>
      </c>
      <c r="J53" s="53" t="str">
        <f t="shared" si="0"/>
        <v xml:space="preserve"> </v>
      </c>
      <c r="K53" s="53" t="str">
        <f t="shared" si="0"/>
        <v xml:space="preserve"> </v>
      </c>
      <c r="L53" s="53" t="str">
        <f t="shared" si="0"/>
        <v xml:space="preserve"> </v>
      </c>
      <c r="M53" s="53" t="str">
        <f t="shared" si="0"/>
        <v xml:space="preserve"> </v>
      </c>
      <c r="N53" s="53" t="str">
        <f t="shared" si="0"/>
        <v xml:space="preserve"> </v>
      </c>
      <c r="O53" s="53" t="str">
        <f t="shared" si="0"/>
        <v xml:space="preserve"> </v>
      </c>
      <c r="P53" s="53" t="str">
        <f t="shared" si="0"/>
        <v xml:space="preserve"> </v>
      </c>
      <c r="Q53" s="53" t="str">
        <f t="shared" si="0"/>
        <v xml:space="preserve"> </v>
      </c>
      <c r="R53" s="53" t="str">
        <f t="shared" si="0"/>
        <v xml:space="preserve"> </v>
      </c>
      <c r="S53" s="53" t="str">
        <f t="shared" si="0"/>
        <v xml:space="preserve"> </v>
      </c>
      <c r="T53" s="53" t="str">
        <f t="shared" si="0"/>
        <v xml:space="preserve"> </v>
      </c>
      <c r="U53" s="53" t="str">
        <f t="shared" si="0"/>
        <v xml:space="preserve"> </v>
      </c>
      <c r="V53" s="53" t="str">
        <f t="shared" si="0"/>
        <v xml:space="preserve"> </v>
      </c>
      <c r="W53" s="53" t="str">
        <f t="shared" si="0"/>
        <v xml:space="preserve"> </v>
      </c>
      <c r="X53" s="53" t="str">
        <f t="shared" si="0"/>
        <v xml:space="preserve"> </v>
      </c>
      <c r="Y53" s="53" t="str">
        <f t="shared" si="0"/>
        <v xml:space="preserve"> </v>
      </c>
      <c r="Z53" s="53" t="str">
        <f t="shared" si="0"/>
        <v xml:space="preserve"> </v>
      </c>
      <c r="AA53" s="53" t="str">
        <f t="shared" si="0"/>
        <v xml:space="preserve"> </v>
      </c>
      <c r="AB53" s="53" t="str">
        <f t="shared" si="0"/>
        <v xml:space="preserve"> </v>
      </c>
      <c r="AC53" s="53" t="str">
        <f t="shared" si="0"/>
        <v xml:space="preserve"> </v>
      </c>
      <c r="AD53" s="53" t="str">
        <f t="shared" si="0"/>
        <v xml:space="preserve"> </v>
      </c>
      <c r="AE53" s="53" t="str">
        <f t="shared" si="0"/>
        <v xml:space="preserve"> </v>
      </c>
      <c r="AF53" s="53" t="str">
        <f t="shared" si="0"/>
        <v xml:space="preserve"> </v>
      </c>
      <c r="AG53" s="54" t="str">
        <f t="shared" si="0"/>
        <v xml:space="preserve"> </v>
      </c>
    </row>
    <row r="54" spans="2:55" s="50" customFormat="1" ht="15" customHeight="1">
      <c r="B54" s="55" t="s">
        <v>8</v>
      </c>
      <c r="C54" s="113">
        <f t="shared" ref="C54:AG54" si="1">MAX(C48:C52)-MIN(C48:C52)</f>
        <v>0</v>
      </c>
      <c r="D54" s="57">
        <f t="shared" si="1"/>
        <v>0</v>
      </c>
      <c r="E54" s="57">
        <f t="shared" si="1"/>
        <v>0</v>
      </c>
      <c r="F54" s="57">
        <f t="shared" si="1"/>
        <v>0</v>
      </c>
      <c r="G54" s="57">
        <f t="shared" si="1"/>
        <v>0</v>
      </c>
      <c r="H54" s="57">
        <f t="shared" si="1"/>
        <v>0</v>
      </c>
      <c r="I54" s="57">
        <f t="shared" si="1"/>
        <v>0</v>
      </c>
      <c r="J54" s="57">
        <f t="shared" si="1"/>
        <v>0</v>
      </c>
      <c r="K54" s="57">
        <f t="shared" si="1"/>
        <v>0</v>
      </c>
      <c r="L54" s="57">
        <f t="shared" si="1"/>
        <v>0</v>
      </c>
      <c r="M54" s="57">
        <f t="shared" si="1"/>
        <v>0</v>
      </c>
      <c r="N54" s="57">
        <f t="shared" si="1"/>
        <v>0</v>
      </c>
      <c r="O54" s="57">
        <f t="shared" si="1"/>
        <v>0</v>
      </c>
      <c r="P54" s="57">
        <f t="shared" si="1"/>
        <v>0</v>
      </c>
      <c r="Q54" s="57">
        <f t="shared" si="1"/>
        <v>0</v>
      </c>
      <c r="R54" s="109">
        <f t="shared" si="1"/>
        <v>0</v>
      </c>
      <c r="S54" s="109">
        <f t="shared" si="1"/>
        <v>0</v>
      </c>
      <c r="T54" s="109">
        <f t="shared" si="1"/>
        <v>0</v>
      </c>
      <c r="U54" s="109">
        <f t="shared" si="1"/>
        <v>0</v>
      </c>
      <c r="V54" s="109">
        <f t="shared" si="1"/>
        <v>0</v>
      </c>
      <c r="W54" s="109">
        <f t="shared" si="1"/>
        <v>0</v>
      </c>
      <c r="X54" s="109">
        <f t="shared" si="1"/>
        <v>0</v>
      </c>
      <c r="Y54" s="109">
        <f t="shared" si="1"/>
        <v>0</v>
      </c>
      <c r="Z54" s="109">
        <f t="shared" si="1"/>
        <v>0</v>
      </c>
      <c r="AA54" s="109">
        <f t="shared" si="1"/>
        <v>0</v>
      </c>
      <c r="AB54" s="109">
        <f t="shared" si="1"/>
        <v>0</v>
      </c>
      <c r="AC54" s="109">
        <f t="shared" si="1"/>
        <v>0</v>
      </c>
      <c r="AD54" s="109">
        <f t="shared" si="1"/>
        <v>0</v>
      </c>
      <c r="AE54" s="109">
        <f t="shared" si="1"/>
        <v>0</v>
      </c>
      <c r="AF54" s="109">
        <f t="shared" si="1"/>
        <v>0</v>
      </c>
      <c r="AG54" s="110">
        <f t="shared" si="1"/>
        <v>0</v>
      </c>
    </row>
    <row r="55" spans="2:55" s="50" customFormat="1" ht="20.100000000000001" customHeight="1">
      <c r="B55" s="58" t="s">
        <v>12</v>
      </c>
      <c r="C55" s="70"/>
      <c r="D55" s="118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2"/>
    </row>
    <row r="56" spans="2:55" s="50" customFormat="1" ht="26.25" thickBot="1">
      <c r="B56" s="119" t="s">
        <v>57</v>
      </c>
      <c r="C56" s="73"/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  <c r="AA56" s="74"/>
      <c r="AB56" s="74"/>
      <c r="AC56" s="74"/>
      <c r="AD56" s="74"/>
      <c r="AE56" s="74"/>
      <c r="AF56" s="74"/>
      <c r="AG56" s="75"/>
    </row>
    <row r="57" spans="2:55" s="36" customFormat="1" ht="20.100000000000001" customHeight="1">
      <c r="B57" s="135" t="s">
        <v>28</v>
      </c>
      <c r="C57" s="136"/>
      <c r="D57" s="136"/>
      <c r="E57" s="137"/>
      <c r="F57" s="59" t="s">
        <v>31</v>
      </c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4"/>
    </row>
    <row r="58" spans="2:55" s="36" customFormat="1" ht="20.100000000000001" customHeight="1">
      <c r="B58" s="60"/>
      <c r="C58" s="26" t="s">
        <v>30</v>
      </c>
      <c r="D58" s="26"/>
      <c r="E58" s="40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2"/>
    </row>
    <row r="59" spans="2:55" s="36" customFormat="1" ht="20.100000000000001" customHeight="1">
      <c r="B59" s="138" t="s">
        <v>29</v>
      </c>
      <c r="C59" s="139"/>
      <c r="D59" s="139"/>
      <c r="E59" s="40"/>
      <c r="F59" s="1"/>
      <c r="G59" s="1"/>
      <c r="H59" s="1"/>
      <c r="I59" s="1"/>
      <c r="J59" s="1"/>
      <c r="K59" s="1"/>
      <c r="L59" s="1"/>
      <c r="M59" s="1"/>
      <c r="N59" s="1"/>
      <c r="O59" s="11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2"/>
    </row>
    <row r="60" spans="2:55" s="36" customFormat="1" ht="20.100000000000001" customHeight="1" thickBot="1">
      <c r="B60" s="61"/>
      <c r="C60" s="62" t="s">
        <v>15</v>
      </c>
      <c r="D60" s="46"/>
      <c r="E60" s="47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4"/>
    </row>
    <row r="61" spans="2:55" s="36" customFormat="1" ht="7.5" customHeight="1"/>
    <row r="62" spans="2:55" s="36" customFormat="1" ht="15.75">
      <c r="B62" s="140" t="s">
        <v>33</v>
      </c>
      <c r="C62" s="123"/>
      <c r="D62" s="123"/>
      <c r="E62" s="123"/>
      <c r="F62" s="123"/>
      <c r="G62" s="121" t="s">
        <v>16</v>
      </c>
      <c r="H62" s="121"/>
      <c r="I62" s="121"/>
      <c r="J62" s="121"/>
      <c r="K62" s="130"/>
      <c r="L62" s="121" t="s">
        <v>34</v>
      </c>
      <c r="M62" s="121"/>
      <c r="N62" s="121"/>
      <c r="O62" s="121"/>
      <c r="P62" s="121"/>
      <c r="Q62" s="121"/>
      <c r="R62" s="121"/>
      <c r="S62" s="123" t="s">
        <v>45</v>
      </c>
      <c r="T62" s="123"/>
      <c r="U62" s="123"/>
      <c r="V62" s="123"/>
      <c r="W62" s="125" t="s">
        <v>46</v>
      </c>
      <c r="X62" s="123"/>
      <c r="Y62" s="123"/>
      <c r="Z62" s="123"/>
      <c r="AA62" s="123"/>
      <c r="AB62" s="123"/>
      <c r="AC62" s="123" t="s">
        <v>16</v>
      </c>
      <c r="AD62" s="123"/>
      <c r="AE62" s="123"/>
      <c r="AF62" s="123"/>
      <c r="AG62" s="127"/>
      <c r="AH62" s="63"/>
      <c r="AI62" s="63"/>
      <c r="AJ62" s="63"/>
      <c r="AK62" s="63"/>
      <c r="AL62" s="63"/>
      <c r="AM62" s="63"/>
      <c r="AN62" s="63"/>
      <c r="AO62" s="63"/>
      <c r="AP62" s="63"/>
      <c r="AQ62" s="63"/>
      <c r="AR62" s="63"/>
      <c r="AS62" s="63"/>
      <c r="AT62" s="63"/>
      <c r="AU62" s="63"/>
      <c r="AV62" s="63"/>
      <c r="AW62" s="63"/>
      <c r="AX62" s="63"/>
      <c r="AY62" s="63"/>
      <c r="AZ62" s="63"/>
      <c r="BA62" s="63"/>
      <c r="BB62" s="63"/>
      <c r="BC62" s="63"/>
    </row>
    <row r="63" spans="2:55" s="36" customFormat="1" ht="15.75">
      <c r="B63" s="141"/>
      <c r="C63" s="124"/>
      <c r="D63" s="124"/>
      <c r="E63" s="124"/>
      <c r="F63" s="124"/>
      <c r="G63" s="122"/>
      <c r="H63" s="122"/>
      <c r="I63" s="122"/>
      <c r="J63" s="122"/>
      <c r="K63" s="131"/>
      <c r="L63" s="122"/>
      <c r="M63" s="122"/>
      <c r="N63" s="122"/>
      <c r="O63" s="122"/>
      <c r="P63" s="122"/>
      <c r="Q63" s="122"/>
      <c r="R63" s="122"/>
      <c r="S63" s="124"/>
      <c r="T63" s="124"/>
      <c r="U63" s="124"/>
      <c r="V63" s="124"/>
      <c r="W63" s="126"/>
      <c r="X63" s="124"/>
      <c r="Y63" s="124"/>
      <c r="Z63" s="124"/>
      <c r="AA63" s="124"/>
      <c r="AB63" s="124"/>
      <c r="AC63" s="124"/>
      <c r="AD63" s="124"/>
      <c r="AE63" s="124"/>
      <c r="AF63" s="124"/>
      <c r="AG63" s="128"/>
      <c r="AH63" s="63"/>
      <c r="AI63" s="63"/>
      <c r="AJ63" s="63"/>
      <c r="AK63" s="63"/>
      <c r="AL63" s="63"/>
      <c r="AM63" s="63"/>
      <c r="AN63" s="63"/>
      <c r="AO63" s="63"/>
      <c r="AP63" s="63"/>
      <c r="AQ63" s="63"/>
      <c r="AR63" s="63"/>
      <c r="AS63" s="63"/>
      <c r="AT63" s="63"/>
      <c r="AU63" s="63"/>
      <c r="AV63" s="63"/>
      <c r="AW63" s="63"/>
      <c r="AX63" s="63"/>
      <c r="AY63" s="63"/>
      <c r="AZ63" s="63"/>
      <c r="BA63" s="63"/>
      <c r="BB63" s="63"/>
      <c r="BC63" s="63"/>
    </row>
    <row r="64" spans="2:55" ht="14.25">
      <c r="B64" s="64"/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H64" s="65"/>
      <c r="AI64" s="65"/>
      <c r="AJ64" s="65"/>
      <c r="AK64" s="65"/>
      <c r="AL64" s="65"/>
      <c r="AM64" s="65"/>
      <c r="AN64" s="65"/>
      <c r="AO64" s="65"/>
      <c r="AP64" s="65"/>
      <c r="AQ64" s="65"/>
      <c r="AR64" s="64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</row>
    <row r="65" spans="2:5">
      <c r="B65" s="7" t="s">
        <v>19</v>
      </c>
    </row>
    <row r="66" spans="2:5">
      <c r="B66" s="7" t="s">
        <v>17</v>
      </c>
      <c r="C66" s="66" t="e">
        <f>AVERAGE(C53:AG53)+0.577*C69</f>
        <v>#DIV/0!</v>
      </c>
    </row>
    <row r="67" spans="2:5">
      <c r="B67" s="7" t="s">
        <v>2</v>
      </c>
      <c r="C67" s="66" t="e">
        <f>AVERAGE(C53:AG53)</f>
        <v>#DIV/0!</v>
      </c>
      <c r="D67" s="67" t="s">
        <v>23</v>
      </c>
      <c r="E67" s="7" t="e">
        <f>STDEV(C48:AF52)</f>
        <v>#DIV/0!</v>
      </c>
    </row>
    <row r="68" spans="2:5">
      <c r="B68" s="7" t="s">
        <v>18</v>
      </c>
      <c r="C68" s="66" t="e">
        <f>C67-0.577*C69</f>
        <v>#DIV/0!</v>
      </c>
    </row>
    <row r="69" spans="2:5">
      <c r="B69" s="7" t="s">
        <v>8</v>
      </c>
      <c r="C69" s="66" t="e">
        <f>2.115*(SUM(C54:AG54)/COUNTIF(C54:AG54,"&lt;&gt;0"))</f>
        <v>#DIV/0!</v>
      </c>
    </row>
    <row r="71" spans="2:5">
      <c r="B71" s="7" t="s">
        <v>20</v>
      </c>
    </row>
    <row r="73" spans="2:5">
      <c r="B73" s="7" t="s">
        <v>21</v>
      </c>
      <c r="C73" s="66" t="e">
        <f>E7/(6*E67)</f>
        <v>#DIV/0!</v>
      </c>
    </row>
    <row r="74" spans="2:5">
      <c r="B74" s="7" t="s">
        <v>22</v>
      </c>
      <c r="C74" s="66" t="e">
        <f>MIN((E4-C67)/(3*E67),(C67-E6)/(3*E67))</f>
        <v>#DIV/0!</v>
      </c>
    </row>
    <row r="75" spans="2:5">
      <c r="C75" s="7">
        <f>COUNTIF(C10:AG10,"&gt;0")</f>
        <v>0</v>
      </c>
    </row>
  </sheetData>
  <sheetProtection algorithmName="SHA-512" hashValue="wJOTiqasbhVtzdQAaLyUwZRkD8QykpwG5WhCse8MAkAXUFLzbPSpd+VviG+oUimdwzbocRbEDAq7OOG558M2Mw==" saltValue="glerUbmTZXQJlD66lOpjNQ==" spinCount="100000" sheet="1" objects="1" scenarios="1" selectLockedCells="1"/>
  <mergeCells count="29">
    <mergeCell ref="B21:B22"/>
    <mergeCell ref="I2:J3"/>
    <mergeCell ref="K2:L3"/>
    <mergeCell ref="M2:Q3"/>
    <mergeCell ref="R2:T2"/>
    <mergeCell ref="R3:T3"/>
    <mergeCell ref="AD4:AG5"/>
    <mergeCell ref="B13:B14"/>
    <mergeCell ref="B15:B16"/>
    <mergeCell ref="B17:B18"/>
    <mergeCell ref="B19:B20"/>
    <mergeCell ref="Z4:AC5"/>
    <mergeCell ref="G62:K63"/>
    <mergeCell ref="B23:B24"/>
    <mergeCell ref="B25:B26"/>
    <mergeCell ref="B27:B28"/>
    <mergeCell ref="B29:B30"/>
    <mergeCell ref="B31:B32"/>
    <mergeCell ref="B33:B34"/>
    <mergeCell ref="B36:B37"/>
    <mergeCell ref="B41:B42"/>
    <mergeCell ref="B57:E57"/>
    <mergeCell ref="B59:D59"/>
    <mergeCell ref="B62:F63"/>
    <mergeCell ref="L62:R63"/>
    <mergeCell ref="S62:V63"/>
    <mergeCell ref="W62:AB63"/>
    <mergeCell ref="AC62:AG63"/>
    <mergeCell ref="AS64:BC64"/>
  </mergeCells>
  <conditionalFormatting sqref="C48:AG52">
    <cfRule type="expression" dxfId="5" priority="1">
      <formula>(C48&gt;$G$4)*(C48&lt;&gt;0)</formula>
    </cfRule>
    <cfRule type="expression" dxfId="4" priority="2">
      <formula>(C48&lt;$G$6)*(C48&lt;&gt;0)</formula>
    </cfRule>
  </conditionalFormatting>
  <dataValidations count="3">
    <dataValidation type="whole" showInputMessage="1" showErrorMessage="1" errorTitle="Data" error="Digite apenas o dia entre 1 e 31" sqref="E10:AG10" xr:uid="{00000000-0002-0000-0100-000000000000}">
      <formula1>1</formula1>
      <formula2>31</formula2>
    </dataValidation>
    <dataValidation type="list" showErrorMessage="1" promptTitle="Turno" prompt="Escolha" sqref="C11:AG11" xr:uid="{00000000-0002-0000-0100-000001000000}">
      <formula1>Turnos</formula1>
    </dataValidation>
    <dataValidation type="whole" showErrorMessage="1" errorTitle="Data" error="Digite apenas o dia entre 1 e 31" sqref="C10:D10" xr:uid="{00000000-0002-0000-0100-000002000000}">
      <formula1>1</formula1>
      <formula2>31</formula2>
    </dataValidation>
  </dataValidations>
  <printOptions horizontalCentered="1"/>
  <pageMargins left="0" right="0" top="0.59055118110236227" bottom="0.39370078740157483" header="0.39370078740157483" footer="0.23622047244094491"/>
  <pageSetup paperSize="9" scale="60" orientation="landscape" r:id="rId1"/>
  <headerFooter alignWithMargins="0">
    <oddFooter xml:space="preserve">&amp;RSJCPIL-R 16-145-05 -  &amp;A </oddFooter>
  </headerFooter>
  <ignoredErrors>
    <ignoredError sqref="E54" formulaRange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>
    <tabColor indexed="47"/>
    <pageSetUpPr fitToPage="1"/>
  </sheetPr>
  <dimension ref="B1:BC75"/>
  <sheetViews>
    <sheetView showZeros="0" topLeftCell="A7" zoomScaleNormal="100" workbookViewId="0">
      <selection activeCell="C55" sqref="C55"/>
    </sheetView>
  </sheetViews>
  <sheetFormatPr defaultColWidth="10.28515625" defaultRowHeight="12.75"/>
  <cols>
    <col min="1" max="1" width="1.5703125" style="7" customWidth="1"/>
    <col min="2" max="2" width="16.140625" style="7" customWidth="1"/>
    <col min="3" max="33" width="6.7109375" style="7" customWidth="1"/>
    <col min="34" max="34" width="3.140625" style="7" customWidth="1"/>
    <col min="35" max="55" width="6.7109375" style="7" customWidth="1"/>
    <col min="56" max="16384" width="10.28515625" style="7"/>
  </cols>
  <sheetData>
    <row r="1" spans="2:50" ht="21.75" thickBot="1">
      <c r="B1" s="99" t="s">
        <v>41</v>
      </c>
      <c r="C1" s="100"/>
      <c r="D1" s="100"/>
      <c r="E1" s="100"/>
      <c r="F1" s="101"/>
      <c r="G1" s="101"/>
      <c r="H1" s="102"/>
      <c r="I1" s="103" t="s">
        <v>40</v>
      </c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8"/>
      <c r="AX1" s="8"/>
    </row>
    <row r="2" spans="2:50" s="9" customFormat="1" ht="19.5" customHeight="1">
      <c r="B2" s="104" t="s">
        <v>42</v>
      </c>
      <c r="C2" s="105"/>
      <c r="D2" s="106"/>
      <c r="E2" s="106"/>
      <c r="F2" s="107"/>
      <c r="G2" s="107"/>
      <c r="H2" s="108"/>
      <c r="I2" s="148" t="s">
        <v>26</v>
      </c>
      <c r="J2" s="149"/>
      <c r="K2" s="152" t="s">
        <v>27</v>
      </c>
      <c r="L2" s="153"/>
      <c r="M2" s="156" t="s">
        <v>0</v>
      </c>
      <c r="N2" s="157"/>
      <c r="O2" s="157"/>
      <c r="P2" s="157"/>
      <c r="Q2" s="158"/>
      <c r="R2" s="162" t="s">
        <v>25</v>
      </c>
      <c r="S2" s="163"/>
      <c r="T2" s="164"/>
      <c r="U2" s="10" t="s">
        <v>47</v>
      </c>
      <c r="V2" s="11"/>
      <c r="W2" s="11"/>
      <c r="X2" s="11"/>
      <c r="Y2" s="11"/>
      <c r="Z2" s="12"/>
      <c r="AA2" s="12"/>
      <c r="AB2" s="12"/>
      <c r="AC2" s="12"/>
      <c r="AD2" s="12"/>
      <c r="AE2" s="13"/>
      <c r="AF2" s="13"/>
      <c r="AG2" s="14"/>
    </row>
    <row r="3" spans="2:50" ht="16.899999999999999" customHeight="1" thickBot="1">
      <c r="B3" s="96"/>
      <c r="I3" s="150"/>
      <c r="J3" s="151"/>
      <c r="K3" s="154"/>
      <c r="L3" s="155"/>
      <c r="M3" s="159"/>
      <c r="N3" s="160"/>
      <c r="O3" s="160"/>
      <c r="P3" s="160"/>
      <c r="Q3" s="161"/>
      <c r="R3" s="165" t="s">
        <v>24</v>
      </c>
      <c r="S3" s="166"/>
      <c r="T3" s="167"/>
      <c r="U3" s="15" t="s">
        <v>48</v>
      </c>
      <c r="V3" s="16"/>
      <c r="W3" s="16"/>
      <c r="X3" s="16"/>
      <c r="Y3" s="16"/>
      <c r="Z3" s="16"/>
      <c r="AA3" s="16"/>
      <c r="AB3" s="16"/>
      <c r="AC3" s="16"/>
      <c r="AD3" s="16"/>
      <c r="AE3" s="17"/>
      <c r="AF3" s="17"/>
      <c r="AG3" s="18"/>
    </row>
    <row r="4" spans="2:50" s="26" customFormat="1" ht="16.899999999999999" customHeight="1">
      <c r="B4" s="83" t="s">
        <v>13</v>
      </c>
      <c r="C4" s="19"/>
      <c r="D4" s="20" t="s">
        <v>1</v>
      </c>
      <c r="E4" s="21">
        <f>E5+E7/2</f>
        <v>48.9</v>
      </c>
      <c r="F4" s="22" t="s">
        <v>35</v>
      </c>
      <c r="G4" s="23">
        <f>G5+G7/2</f>
        <v>47.9</v>
      </c>
      <c r="H4" s="24"/>
      <c r="I4" s="25"/>
      <c r="Z4" s="146" t="str">
        <f ca="1">'PESO BOBINA'!Z4:AC5</f>
        <v>MÊS: 03</v>
      </c>
      <c r="AA4" s="142"/>
      <c r="AB4" s="142"/>
      <c r="AC4" s="142"/>
      <c r="AD4" s="142" t="str">
        <f ca="1">'PESO BOBINA'!AD4:AG5</f>
        <v>ANO: 2022</v>
      </c>
      <c r="AE4" s="142"/>
      <c r="AF4" s="142"/>
      <c r="AG4" s="143"/>
    </row>
    <row r="5" spans="2:50" s="26" customFormat="1" ht="16.899999999999999" customHeight="1" thickBot="1">
      <c r="B5" s="84" t="s">
        <v>50</v>
      </c>
      <c r="C5" s="27" t="s">
        <v>2</v>
      </c>
      <c r="D5" s="28" t="s">
        <v>3</v>
      </c>
      <c r="E5" s="29">
        <v>47.4</v>
      </c>
      <c r="F5" s="30" t="s">
        <v>3</v>
      </c>
      <c r="G5" s="31">
        <v>47.4</v>
      </c>
      <c r="H5" s="24"/>
      <c r="I5" s="26" t="s">
        <v>32</v>
      </c>
      <c r="R5" s="26" t="s">
        <v>4</v>
      </c>
      <c r="Z5" s="147"/>
      <c r="AA5" s="144"/>
      <c r="AB5" s="144"/>
      <c r="AC5" s="144"/>
      <c r="AD5" s="144"/>
      <c r="AE5" s="144"/>
      <c r="AF5" s="144"/>
      <c r="AG5" s="145"/>
    </row>
    <row r="6" spans="2:50" s="26" customFormat="1" ht="16.899999999999999" customHeight="1">
      <c r="B6" s="85" t="s">
        <v>14</v>
      </c>
      <c r="C6" s="32"/>
      <c r="D6" s="28" t="s">
        <v>5</v>
      </c>
      <c r="E6" s="29">
        <f>E5-E7/2</f>
        <v>45.9</v>
      </c>
      <c r="F6" s="30" t="s">
        <v>36</v>
      </c>
      <c r="G6" s="31">
        <f>G5-G7/2</f>
        <v>46.9</v>
      </c>
      <c r="H6" s="24"/>
      <c r="I6" s="26" t="s">
        <v>6</v>
      </c>
      <c r="R6" s="26" t="s">
        <v>7</v>
      </c>
      <c r="AC6" s="86"/>
      <c r="AD6" s="86"/>
      <c r="AG6" s="87"/>
    </row>
    <row r="7" spans="2:50" s="26" customFormat="1" ht="16.899999999999999" customHeight="1" thickBot="1">
      <c r="B7" s="88"/>
      <c r="C7" s="89" t="s">
        <v>8</v>
      </c>
      <c r="D7" s="90" t="s">
        <v>1</v>
      </c>
      <c r="E7" s="91">
        <v>3</v>
      </c>
      <c r="F7" s="33" t="s">
        <v>35</v>
      </c>
      <c r="G7" s="34">
        <v>1</v>
      </c>
      <c r="H7" s="92"/>
      <c r="I7" s="93" t="s">
        <v>9</v>
      </c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4"/>
      <c r="AD7" s="94"/>
      <c r="AE7" s="93"/>
      <c r="AF7" s="93"/>
      <c r="AG7" s="95"/>
    </row>
    <row r="8" spans="2:50" s="26" customFormat="1" ht="4.5" customHeight="1" thickBot="1"/>
    <row r="9" spans="2:50" s="36" customFormat="1">
      <c r="B9" s="35" t="s">
        <v>10</v>
      </c>
      <c r="C9" s="68">
        <v>1</v>
      </c>
      <c r="D9" s="68">
        <v>2</v>
      </c>
      <c r="E9" s="68">
        <v>3</v>
      </c>
      <c r="F9" s="68">
        <v>4</v>
      </c>
      <c r="G9" s="68">
        <v>5</v>
      </c>
      <c r="H9" s="68">
        <v>6</v>
      </c>
      <c r="I9" s="68">
        <v>7</v>
      </c>
      <c r="J9" s="68">
        <v>8</v>
      </c>
      <c r="K9" s="68">
        <v>9</v>
      </c>
      <c r="L9" s="68">
        <v>10</v>
      </c>
      <c r="M9" s="68">
        <v>11</v>
      </c>
      <c r="N9" s="68">
        <v>12</v>
      </c>
      <c r="O9" s="68">
        <v>13</v>
      </c>
      <c r="P9" s="68">
        <v>14</v>
      </c>
      <c r="Q9" s="68">
        <v>15</v>
      </c>
      <c r="R9" s="68">
        <v>16</v>
      </c>
      <c r="S9" s="68">
        <v>17</v>
      </c>
      <c r="T9" s="68">
        <v>18</v>
      </c>
      <c r="U9" s="68">
        <v>19</v>
      </c>
      <c r="V9" s="68">
        <v>20</v>
      </c>
      <c r="W9" s="68">
        <v>21</v>
      </c>
      <c r="X9" s="68">
        <v>22</v>
      </c>
      <c r="Y9" s="68">
        <v>23</v>
      </c>
      <c r="Z9" s="68">
        <v>24</v>
      </c>
      <c r="AA9" s="68">
        <v>25</v>
      </c>
      <c r="AB9" s="68">
        <v>26</v>
      </c>
      <c r="AC9" s="68">
        <v>27</v>
      </c>
      <c r="AD9" s="68">
        <v>28</v>
      </c>
      <c r="AE9" s="68">
        <v>29</v>
      </c>
      <c r="AF9" s="68">
        <v>30</v>
      </c>
      <c r="AG9" s="69">
        <v>31</v>
      </c>
    </row>
    <row r="10" spans="2:50" s="36" customFormat="1" ht="14.1" customHeight="1">
      <c r="B10" s="37" t="s">
        <v>11</v>
      </c>
      <c r="C10" s="76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6"/>
    </row>
    <row r="11" spans="2:50" s="36" customFormat="1" ht="14.1" customHeight="1">
      <c r="B11" s="38" t="s">
        <v>39</v>
      </c>
      <c r="C11" s="76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6"/>
    </row>
    <row r="12" spans="2:50" s="36" customFormat="1" ht="12" customHeight="1">
      <c r="B12" s="39"/>
      <c r="AG12" s="40"/>
    </row>
    <row r="13" spans="2:50" s="36" customFormat="1" ht="12" customHeight="1">
      <c r="B13" s="132"/>
      <c r="AG13" s="40"/>
    </row>
    <row r="14" spans="2:50" s="36" customFormat="1" ht="12" customHeight="1">
      <c r="B14" s="132"/>
      <c r="AG14" s="40"/>
    </row>
    <row r="15" spans="2:50" s="36" customFormat="1" ht="12" customHeight="1">
      <c r="B15" s="133"/>
      <c r="AG15" s="40"/>
    </row>
    <row r="16" spans="2:50" s="36" customFormat="1" ht="12" customHeight="1">
      <c r="B16" s="133"/>
      <c r="AG16" s="40"/>
    </row>
    <row r="17" spans="2:33" s="36" customFormat="1" ht="12" customHeight="1">
      <c r="B17" s="133"/>
      <c r="AG17" s="40"/>
    </row>
    <row r="18" spans="2:33" s="36" customFormat="1" ht="12" customHeight="1">
      <c r="B18" s="133"/>
      <c r="AG18" s="40"/>
    </row>
    <row r="19" spans="2:33" s="36" customFormat="1" ht="12" customHeight="1">
      <c r="B19" s="133"/>
      <c r="AG19" s="40"/>
    </row>
    <row r="20" spans="2:33" s="36" customFormat="1" ht="12" customHeight="1">
      <c r="B20" s="133"/>
      <c r="AG20" s="40"/>
    </row>
    <row r="21" spans="2:33" s="36" customFormat="1" ht="12" customHeight="1">
      <c r="B21" s="133"/>
      <c r="AG21" s="40"/>
    </row>
    <row r="22" spans="2:33" s="36" customFormat="1" ht="12" customHeight="1">
      <c r="B22" s="133"/>
      <c r="AG22" s="40"/>
    </row>
    <row r="23" spans="2:33" s="36" customFormat="1" ht="12" customHeight="1">
      <c r="B23" s="132"/>
      <c r="AG23" s="40"/>
    </row>
    <row r="24" spans="2:33" s="36" customFormat="1" ht="12" customHeight="1">
      <c r="B24" s="132"/>
      <c r="AG24" s="40"/>
    </row>
    <row r="25" spans="2:33" s="36" customFormat="1" ht="12" customHeight="1">
      <c r="B25" s="133"/>
      <c r="AG25" s="40"/>
    </row>
    <row r="26" spans="2:33" s="36" customFormat="1" ht="12" customHeight="1">
      <c r="B26" s="133"/>
      <c r="AG26" s="40"/>
    </row>
    <row r="27" spans="2:33" s="36" customFormat="1" ht="12" customHeight="1">
      <c r="B27" s="133"/>
      <c r="AG27" s="40"/>
    </row>
    <row r="28" spans="2:33" s="36" customFormat="1" ht="12" customHeight="1">
      <c r="B28" s="133"/>
      <c r="AG28" s="40"/>
    </row>
    <row r="29" spans="2:33" s="36" customFormat="1" ht="12" customHeight="1">
      <c r="B29" s="133"/>
      <c r="AG29" s="40"/>
    </row>
    <row r="30" spans="2:33" s="36" customFormat="1" ht="12" customHeight="1">
      <c r="B30" s="133"/>
      <c r="AG30" s="40"/>
    </row>
    <row r="31" spans="2:33" s="36" customFormat="1" ht="12" customHeight="1">
      <c r="B31" s="133"/>
      <c r="AG31" s="40"/>
    </row>
    <row r="32" spans="2:33" s="36" customFormat="1" ht="12" customHeight="1">
      <c r="B32" s="133"/>
      <c r="AG32" s="40"/>
    </row>
    <row r="33" spans="2:33" s="36" customFormat="1" ht="12" customHeight="1">
      <c r="B33" s="132"/>
      <c r="AG33" s="40"/>
    </row>
    <row r="34" spans="2:33" s="36" customFormat="1" ht="12" customHeight="1">
      <c r="B34" s="132"/>
      <c r="AG34" s="40"/>
    </row>
    <row r="35" spans="2:33" s="36" customFormat="1" ht="12" customHeight="1" thickBot="1">
      <c r="B35" s="42"/>
      <c r="AG35" s="40"/>
    </row>
    <row r="36" spans="2:33" s="36" customFormat="1" ht="12" customHeight="1">
      <c r="B36" s="134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4"/>
    </row>
    <row r="37" spans="2:33" s="36" customFormat="1" ht="12" customHeight="1">
      <c r="B37" s="132"/>
      <c r="AG37" s="40"/>
    </row>
    <row r="38" spans="2:33" s="36" customFormat="1" ht="12" customHeight="1">
      <c r="B38" s="41"/>
      <c r="AG38" s="40"/>
    </row>
    <row r="39" spans="2:33" s="36" customFormat="1" ht="12" customHeight="1">
      <c r="B39" s="41"/>
      <c r="AG39" s="40"/>
    </row>
    <row r="40" spans="2:33" s="36" customFormat="1" ht="12" customHeight="1">
      <c r="B40" s="41"/>
      <c r="AG40" s="40"/>
    </row>
    <row r="41" spans="2:33" s="36" customFormat="1" ht="12" customHeight="1">
      <c r="B41" s="132"/>
      <c r="AG41" s="40"/>
    </row>
    <row r="42" spans="2:33" s="36" customFormat="1" ht="12" customHeight="1">
      <c r="B42" s="132"/>
      <c r="AG42" s="40"/>
    </row>
    <row r="43" spans="2:33" s="36" customFormat="1" ht="12" customHeight="1">
      <c r="B43" s="41"/>
      <c r="AG43" s="40"/>
    </row>
    <row r="44" spans="2:33" s="36" customFormat="1" ht="12" customHeight="1">
      <c r="B44" s="41"/>
      <c r="AG44" s="40"/>
    </row>
    <row r="45" spans="2:33" s="36" customFormat="1" ht="12" customHeight="1">
      <c r="B45" s="41"/>
      <c r="AG45" s="40"/>
    </row>
    <row r="46" spans="2:33" s="36" customFormat="1" ht="12" customHeight="1" thickBot="1">
      <c r="B46" s="45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7"/>
    </row>
    <row r="47" spans="2:33" s="36" customFormat="1" ht="6" customHeight="1">
      <c r="B47" s="48"/>
      <c r="AG47" s="40"/>
    </row>
    <row r="48" spans="2:33" s="50" customFormat="1" ht="15" customHeight="1">
      <c r="B48" s="49">
        <v>1</v>
      </c>
      <c r="C48" s="78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9"/>
    </row>
    <row r="49" spans="2:55" s="50" customFormat="1" ht="15" customHeight="1">
      <c r="B49" s="51">
        <v>2</v>
      </c>
      <c r="C49" s="80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81"/>
      <c r="V49" s="81"/>
      <c r="W49" s="81"/>
      <c r="X49" s="81"/>
      <c r="Y49" s="81"/>
      <c r="Z49" s="81"/>
      <c r="AA49" s="81"/>
      <c r="AB49" s="81"/>
      <c r="AC49" s="81"/>
      <c r="AD49" s="81"/>
      <c r="AE49" s="81"/>
      <c r="AF49" s="81"/>
      <c r="AG49" s="82"/>
    </row>
    <row r="50" spans="2:55" s="50" customFormat="1" ht="15" customHeight="1">
      <c r="B50" s="51">
        <v>3</v>
      </c>
      <c r="C50" s="80"/>
      <c r="D50" s="81"/>
      <c r="E50" s="81"/>
      <c r="F50" s="81"/>
      <c r="G50" s="81"/>
      <c r="H50" s="81"/>
      <c r="I50" s="81"/>
      <c r="J50" s="81"/>
      <c r="K50" s="81"/>
      <c r="L50" s="81"/>
      <c r="M50" s="81"/>
      <c r="N50" s="81"/>
      <c r="O50" s="81"/>
      <c r="P50" s="81"/>
      <c r="Q50" s="81"/>
      <c r="R50" s="81"/>
      <c r="S50" s="81"/>
      <c r="T50" s="81"/>
      <c r="U50" s="81"/>
      <c r="V50" s="81"/>
      <c r="W50" s="81"/>
      <c r="X50" s="81"/>
      <c r="Y50" s="81"/>
      <c r="Z50" s="81"/>
      <c r="AA50" s="81"/>
      <c r="AB50" s="81"/>
      <c r="AC50" s="81"/>
      <c r="AD50" s="81"/>
      <c r="AE50" s="81"/>
      <c r="AF50" s="81"/>
      <c r="AG50" s="82"/>
    </row>
    <row r="51" spans="2:55" s="50" customFormat="1" ht="15" customHeight="1">
      <c r="B51" s="51">
        <v>4</v>
      </c>
      <c r="C51" s="80"/>
      <c r="D51" s="81"/>
      <c r="E51" s="81"/>
      <c r="F51" s="81"/>
      <c r="G51" s="81"/>
      <c r="H51" s="81"/>
      <c r="I51" s="81"/>
      <c r="J51" s="81"/>
      <c r="K51" s="81"/>
      <c r="L51" s="81"/>
      <c r="M51" s="81"/>
      <c r="N51" s="81"/>
      <c r="O51" s="81"/>
      <c r="P51" s="81"/>
      <c r="Q51" s="81"/>
      <c r="R51" s="81"/>
      <c r="S51" s="81"/>
      <c r="T51" s="81"/>
      <c r="U51" s="81"/>
      <c r="V51" s="81"/>
      <c r="W51" s="81"/>
      <c r="X51" s="81"/>
      <c r="Y51" s="81"/>
      <c r="Z51" s="81"/>
      <c r="AA51" s="81"/>
      <c r="AB51" s="81"/>
      <c r="AC51" s="81"/>
      <c r="AD51" s="81"/>
      <c r="AE51" s="81"/>
      <c r="AF51" s="81"/>
      <c r="AG51" s="82"/>
    </row>
    <row r="52" spans="2:55" s="50" customFormat="1" ht="15" customHeight="1">
      <c r="B52" s="55">
        <v>5</v>
      </c>
      <c r="C52" s="80"/>
      <c r="D52" s="81"/>
      <c r="E52" s="81"/>
      <c r="F52" s="81"/>
      <c r="G52" s="81"/>
      <c r="H52" s="81"/>
      <c r="I52" s="81"/>
      <c r="J52" s="81"/>
      <c r="K52" s="81"/>
      <c r="L52" s="81"/>
      <c r="M52" s="81"/>
      <c r="N52" s="81"/>
      <c r="O52" s="81"/>
      <c r="P52" s="81"/>
      <c r="Q52" s="81"/>
      <c r="R52" s="81"/>
      <c r="S52" s="81"/>
      <c r="T52" s="81"/>
      <c r="U52" s="81"/>
      <c r="V52" s="81"/>
      <c r="W52" s="81"/>
      <c r="X52" s="81"/>
      <c r="Y52" s="81"/>
      <c r="Z52" s="81"/>
      <c r="AA52" s="81"/>
      <c r="AB52" s="81"/>
      <c r="AC52" s="81"/>
      <c r="AD52" s="81"/>
      <c r="AE52" s="81"/>
      <c r="AF52" s="81"/>
      <c r="AG52" s="82"/>
    </row>
    <row r="53" spans="2:55" s="50" customFormat="1" ht="15" customHeight="1">
      <c r="B53" s="55" t="s">
        <v>15</v>
      </c>
      <c r="C53" s="52" t="str">
        <f t="shared" ref="C53:AG53" si="0">IF(ISERR(AVERAGE(C48:C52))," ",AVERAGE(C48:C52))</f>
        <v xml:space="preserve"> </v>
      </c>
      <c r="D53" s="53" t="str">
        <f t="shared" si="0"/>
        <v xml:space="preserve"> </v>
      </c>
      <c r="E53" s="53" t="str">
        <f t="shared" si="0"/>
        <v xml:space="preserve"> </v>
      </c>
      <c r="F53" s="53" t="str">
        <f t="shared" si="0"/>
        <v xml:space="preserve"> </v>
      </c>
      <c r="G53" s="53" t="str">
        <f t="shared" si="0"/>
        <v xml:space="preserve"> </v>
      </c>
      <c r="H53" s="53" t="str">
        <f t="shared" si="0"/>
        <v xml:space="preserve"> </v>
      </c>
      <c r="I53" s="53" t="str">
        <f t="shared" si="0"/>
        <v xml:space="preserve"> </v>
      </c>
      <c r="J53" s="53" t="str">
        <f t="shared" si="0"/>
        <v xml:space="preserve"> </v>
      </c>
      <c r="K53" s="53" t="str">
        <f t="shared" si="0"/>
        <v xml:space="preserve"> </v>
      </c>
      <c r="L53" s="53" t="str">
        <f t="shared" si="0"/>
        <v xml:space="preserve"> </v>
      </c>
      <c r="M53" s="53" t="str">
        <f t="shared" si="0"/>
        <v xml:space="preserve"> </v>
      </c>
      <c r="N53" s="53" t="str">
        <f t="shared" si="0"/>
        <v xml:space="preserve"> </v>
      </c>
      <c r="O53" s="53" t="str">
        <f t="shared" si="0"/>
        <v xml:space="preserve"> </v>
      </c>
      <c r="P53" s="53" t="str">
        <f t="shared" si="0"/>
        <v xml:space="preserve"> </v>
      </c>
      <c r="Q53" s="53" t="str">
        <f t="shared" si="0"/>
        <v xml:space="preserve"> </v>
      </c>
      <c r="R53" s="53" t="str">
        <f t="shared" si="0"/>
        <v xml:space="preserve"> </v>
      </c>
      <c r="S53" s="53" t="str">
        <f t="shared" si="0"/>
        <v xml:space="preserve"> </v>
      </c>
      <c r="T53" s="53" t="str">
        <f t="shared" si="0"/>
        <v xml:space="preserve"> </v>
      </c>
      <c r="U53" s="53" t="str">
        <f t="shared" si="0"/>
        <v xml:space="preserve"> </v>
      </c>
      <c r="V53" s="53" t="str">
        <f t="shared" si="0"/>
        <v xml:space="preserve"> </v>
      </c>
      <c r="W53" s="53" t="str">
        <f t="shared" si="0"/>
        <v xml:space="preserve"> </v>
      </c>
      <c r="X53" s="53" t="str">
        <f t="shared" si="0"/>
        <v xml:space="preserve"> </v>
      </c>
      <c r="Y53" s="53" t="str">
        <f t="shared" si="0"/>
        <v xml:space="preserve"> </v>
      </c>
      <c r="Z53" s="53" t="str">
        <f t="shared" si="0"/>
        <v xml:space="preserve"> </v>
      </c>
      <c r="AA53" s="53" t="str">
        <f t="shared" si="0"/>
        <v xml:space="preserve"> </v>
      </c>
      <c r="AB53" s="53" t="str">
        <f t="shared" si="0"/>
        <v xml:space="preserve"> </v>
      </c>
      <c r="AC53" s="53" t="str">
        <f t="shared" si="0"/>
        <v xml:space="preserve"> </v>
      </c>
      <c r="AD53" s="53" t="str">
        <f t="shared" si="0"/>
        <v xml:space="preserve"> </v>
      </c>
      <c r="AE53" s="53" t="str">
        <f t="shared" si="0"/>
        <v xml:space="preserve"> </v>
      </c>
      <c r="AF53" s="53" t="str">
        <f t="shared" si="0"/>
        <v xml:space="preserve"> </v>
      </c>
      <c r="AG53" s="54" t="str">
        <f t="shared" si="0"/>
        <v xml:space="preserve"> </v>
      </c>
    </row>
    <row r="54" spans="2:55" s="50" customFormat="1" ht="15" customHeight="1">
      <c r="B54" s="55" t="s">
        <v>8</v>
      </c>
      <c r="C54" s="56">
        <f t="shared" ref="C54:AG54" si="1">MAX(C48:C52)-MIN(C48:C52)</f>
        <v>0</v>
      </c>
      <c r="D54" s="57">
        <f t="shared" si="1"/>
        <v>0</v>
      </c>
      <c r="E54" s="57">
        <f t="shared" si="1"/>
        <v>0</v>
      </c>
      <c r="F54" s="57">
        <f t="shared" si="1"/>
        <v>0</v>
      </c>
      <c r="G54" s="57">
        <f t="shared" si="1"/>
        <v>0</v>
      </c>
      <c r="H54" s="57">
        <f t="shared" si="1"/>
        <v>0</v>
      </c>
      <c r="I54" s="57">
        <f t="shared" si="1"/>
        <v>0</v>
      </c>
      <c r="J54" s="57">
        <f t="shared" si="1"/>
        <v>0</v>
      </c>
      <c r="K54" s="57">
        <f t="shared" si="1"/>
        <v>0</v>
      </c>
      <c r="L54" s="57">
        <f t="shared" si="1"/>
        <v>0</v>
      </c>
      <c r="M54" s="57">
        <f t="shared" si="1"/>
        <v>0</v>
      </c>
      <c r="N54" s="57">
        <f t="shared" si="1"/>
        <v>0</v>
      </c>
      <c r="O54" s="57">
        <f t="shared" si="1"/>
        <v>0</v>
      </c>
      <c r="P54" s="57">
        <f t="shared" si="1"/>
        <v>0</v>
      </c>
      <c r="Q54" s="57">
        <f t="shared" si="1"/>
        <v>0</v>
      </c>
      <c r="R54" s="109">
        <f t="shared" si="1"/>
        <v>0</v>
      </c>
      <c r="S54" s="109">
        <f t="shared" si="1"/>
        <v>0</v>
      </c>
      <c r="T54" s="109">
        <f t="shared" si="1"/>
        <v>0</v>
      </c>
      <c r="U54" s="109">
        <f t="shared" si="1"/>
        <v>0</v>
      </c>
      <c r="V54" s="109">
        <f t="shared" si="1"/>
        <v>0</v>
      </c>
      <c r="W54" s="109">
        <f t="shared" si="1"/>
        <v>0</v>
      </c>
      <c r="X54" s="109">
        <f t="shared" si="1"/>
        <v>0</v>
      </c>
      <c r="Y54" s="109">
        <f t="shared" si="1"/>
        <v>0</v>
      </c>
      <c r="Z54" s="109">
        <f t="shared" si="1"/>
        <v>0</v>
      </c>
      <c r="AA54" s="109">
        <f t="shared" si="1"/>
        <v>0</v>
      </c>
      <c r="AB54" s="109">
        <f t="shared" si="1"/>
        <v>0</v>
      </c>
      <c r="AC54" s="109">
        <f t="shared" si="1"/>
        <v>0</v>
      </c>
      <c r="AD54" s="109">
        <f t="shared" si="1"/>
        <v>0</v>
      </c>
      <c r="AE54" s="109">
        <f t="shared" si="1"/>
        <v>0</v>
      </c>
      <c r="AF54" s="109">
        <f t="shared" si="1"/>
        <v>0</v>
      </c>
      <c r="AG54" s="110">
        <f t="shared" si="1"/>
        <v>0</v>
      </c>
    </row>
    <row r="55" spans="2:55" s="50" customFormat="1" ht="20.100000000000001" customHeight="1">
      <c r="B55" s="58" t="s">
        <v>12</v>
      </c>
      <c r="C55" s="70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2"/>
    </row>
    <row r="56" spans="2:55" s="50" customFormat="1" ht="26.25" thickBot="1">
      <c r="B56" s="119" t="str">
        <f>'PESO BOBINA'!B56</f>
        <v>Visto do Lider / Sublíder</v>
      </c>
      <c r="C56" s="73"/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  <c r="AA56" s="74"/>
      <c r="AB56" s="74"/>
      <c r="AC56" s="74"/>
      <c r="AD56" s="74"/>
      <c r="AE56" s="74"/>
      <c r="AF56" s="74"/>
      <c r="AG56" s="75"/>
    </row>
    <row r="57" spans="2:55" s="36" customFormat="1" ht="20.100000000000001" customHeight="1">
      <c r="B57" s="135" t="s">
        <v>28</v>
      </c>
      <c r="C57" s="136"/>
      <c r="D57" s="136"/>
      <c r="E57" s="137"/>
      <c r="F57" s="59" t="s">
        <v>31</v>
      </c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4"/>
    </row>
    <row r="58" spans="2:55" s="36" customFormat="1" ht="20.100000000000001" customHeight="1">
      <c r="B58" s="60"/>
      <c r="C58" s="26" t="s">
        <v>30</v>
      </c>
      <c r="D58" s="26"/>
      <c r="E58" s="40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2"/>
    </row>
    <row r="59" spans="2:55" s="36" customFormat="1" ht="20.100000000000001" customHeight="1">
      <c r="B59" s="138" t="s">
        <v>29</v>
      </c>
      <c r="C59" s="139"/>
      <c r="D59" s="139"/>
      <c r="E59" s="40"/>
      <c r="F59" s="1"/>
      <c r="G59" s="1"/>
      <c r="H59" s="1"/>
      <c r="I59" s="1"/>
      <c r="J59" s="1"/>
      <c r="K59" s="1"/>
      <c r="L59" s="1"/>
      <c r="M59" s="1"/>
      <c r="N59" s="1"/>
      <c r="O59" s="11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2"/>
    </row>
    <row r="60" spans="2:55" s="36" customFormat="1" ht="20.100000000000001" customHeight="1" thickBot="1">
      <c r="B60" s="61"/>
      <c r="C60" s="62" t="s">
        <v>15</v>
      </c>
      <c r="D60" s="46"/>
      <c r="E60" s="47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4"/>
    </row>
    <row r="61" spans="2:55" s="36" customFormat="1" ht="7.5" customHeight="1"/>
    <row r="62" spans="2:55" s="36" customFormat="1" ht="15.75">
      <c r="B62" s="140" t="s">
        <v>33</v>
      </c>
      <c r="C62" s="123"/>
      <c r="D62" s="123"/>
      <c r="E62" s="123"/>
      <c r="F62" s="123"/>
      <c r="G62" s="121" t="s">
        <v>16</v>
      </c>
      <c r="H62" s="121"/>
      <c r="I62" s="121"/>
      <c r="J62" s="121"/>
      <c r="K62" s="130"/>
      <c r="L62" s="121" t="s">
        <v>34</v>
      </c>
      <c r="M62" s="121"/>
      <c r="N62" s="121"/>
      <c r="O62" s="121"/>
      <c r="P62" s="121"/>
      <c r="Q62" s="121"/>
      <c r="R62" s="121"/>
      <c r="S62" s="123" t="s">
        <v>45</v>
      </c>
      <c r="T62" s="123"/>
      <c r="U62" s="123"/>
      <c r="V62" s="123"/>
      <c r="W62" s="125" t="s">
        <v>46</v>
      </c>
      <c r="X62" s="123"/>
      <c r="Y62" s="123"/>
      <c r="Z62" s="123"/>
      <c r="AA62" s="123"/>
      <c r="AB62" s="123"/>
      <c r="AC62" s="123" t="s">
        <v>16</v>
      </c>
      <c r="AD62" s="123"/>
      <c r="AE62" s="123"/>
      <c r="AF62" s="123"/>
      <c r="AG62" s="127"/>
      <c r="AH62" s="63"/>
      <c r="AI62" s="63"/>
      <c r="AJ62" s="63"/>
      <c r="AK62" s="63"/>
      <c r="AL62" s="63"/>
      <c r="AM62" s="63"/>
      <c r="AN62" s="63"/>
      <c r="AO62" s="63"/>
      <c r="AP62" s="63"/>
      <c r="AQ62" s="63"/>
      <c r="AR62" s="63"/>
      <c r="AS62" s="63"/>
      <c r="AT62" s="63"/>
      <c r="AU62" s="63"/>
      <c r="AV62" s="63"/>
      <c r="AW62" s="63"/>
      <c r="AX62" s="63"/>
      <c r="AY62" s="63"/>
      <c r="AZ62" s="63"/>
      <c r="BA62" s="63"/>
      <c r="BB62" s="63"/>
      <c r="BC62" s="63"/>
    </row>
    <row r="63" spans="2:55" s="36" customFormat="1" ht="15.75">
      <c r="B63" s="141"/>
      <c r="C63" s="124"/>
      <c r="D63" s="124"/>
      <c r="E63" s="124"/>
      <c r="F63" s="124"/>
      <c r="G63" s="122"/>
      <c r="H63" s="122"/>
      <c r="I63" s="122"/>
      <c r="J63" s="122"/>
      <c r="K63" s="131"/>
      <c r="L63" s="122"/>
      <c r="M63" s="122"/>
      <c r="N63" s="122"/>
      <c r="O63" s="122"/>
      <c r="P63" s="122"/>
      <c r="Q63" s="122"/>
      <c r="R63" s="122"/>
      <c r="S63" s="124"/>
      <c r="T63" s="124"/>
      <c r="U63" s="124"/>
      <c r="V63" s="124"/>
      <c r="W63" s="126"/>
      <c r="X63" s="124"/>
      <c r="Y63" s="124"/>
      <c r="Z63" s="124"/>
      <c r="AA63" s="124"/>
      <c r="AB63" s="124"/>
      <c r="AC63" s="124"/>
      <c r="AD63" s="124"/>
      <c r="AE63" s="124"/>
      <c r="AF63" s="124"/>
      <c r="AG63" s="128"/>
      <c r="AH63" s="63"/>
      <c r="AI63" s="63"/>
      <c r="AJ63" s="63"/>
      <c r="AK63" s="63"/>
      <c r="AL63" s="63"/>
      <c r="AM63" s="63"/>
      <c r="AN63" s="63"/>
      <c r="AO63" s="63"/>
      <c r="AP63" s="63"/>
      <c r="AQ63" s="63"/>
      <c r="AR63" s="63"/>
      <c r="AS63" s="63"/>
      <c r="AT63" s="63"/>
      <c r="AU63" s="63"/>
      <c r="AV63" s="63"/>
      <c r="AW63" s="63"/>
      <c r="AX63" s="63"/>
      <c r="AY63" s="63"/>
      <c r="AZ63" s="63"/>
      <c r="BA63" s="63"/>
      <c r="BB63" s="63"/>
      <c r="BC63" s="63"/>
    </row>
    <row r="64" spans="2:55" ht="14.25">
      <c r="B64" s="64"/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H64" s="65"/>
      <c r="AI64" s="65"/>
      <c r="AJ64" s="65"/>
      <c r="AK64" s="65"/>
      <c r="AL64" s="65"/>
      <c r="AM64" s="65"/>
      <c r="AN64" s="65"/>
      <c r="AO64" s="65"/>
      <c r="AP64" s="65"/>
      <c r="AQ64" s="65"/>
      <c r="AR64" s="64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</row>
    <row r="65" spans="2:5">
      <c r="B65" s="7" t="s">
        <v>19</v>
      </c>
    </row>
    <row r="66" spans="2:5">
      <c r="B66" s="7" t="s">
        <v>17</v>
      </c>
      <c r="C66" s="66" t="e">
        <f>AVERAGE(C53:AG53)+0.577*C69</f>
        <v>#DIV/0!</v>
      </c>
    </row>
    <row r="67" spans="2:5">
      <c r="B67" s="7" t="s">
        <v>2</v>
      </c>
      <c r="C67" s="66" t="e">
        <f>AVERAGE(C53:AG53)</f>
        <v>#DIV/0!</v>
      </c>
      <c r="D67" s="67" t="s">
        <v>23</v>
      </c>
      <c r="E67" s="7" t="e">
        <f>STDEV(C48:AF52)</f>
        <v>#DIV/0!</v>
      </c>
    </row>
    <row r="68" spans="2:5">
      <c r="B68" s="7" t="s">
        <v>18</v>
      </c>
      <c r="C68" s="66" t="e">
        <f>C67-0.577*C69</f>
        <v>#DIV/0!</v>
      </c>
    </row>
    <row r="69" spans="2:5">
      <c r="B69" s="7" t="s">
        <v>8</v>
      </c>
      <c r="C69" s="66" t="e">
        <f>2.115*(SUM(C54:AG54)/COUNTIF(C54:AG54,"&lt;&gt;0"))</f>
        <v>#DIV/0!</v>
      </c>
    </row>
    <row r="71" spans="2:5">
      <c r="B71" s="7" t="s">
        <v>20</v>
      </c>
    </row>
    <row r="73" spans="2:5">
      <c r="B73" s="7" t="s">
        <v>21</v>
      </c>
      <c r="C73" s="66" t="e">
        <f>E7/(6*E67)</f>
        <v>#DIV/0!</v>
      </c>
    </row>
    <row r="74" spans="2:5">
      <c r="B74" s="7" t="s">
        <v>22</v>
      </c>
      <c r="C74" s="66" t="e">
        <f>MIN((E4-C67)/(3*E67),(C67-E6)/(3*E67))</f>
        <v>#DIV/0!</v>
      </c>
    </row>
    <row r="75" spans="2:5">
      <c r="C75" s="7">
        <f>COUNTIF(C10:AG10,"&gt;0")</f>
        <v>0</v>
      </c>
    </row>
  </sheetData>
  <sheetProtection algorithmName="SHA-512" hashValue="mSmE+l0MBP1O33cqz9g/OGUSdwjtkxY7BwS7xYmfmJFQPBg4/ipTzCKFMAM2R3p7oJCHQROkwtL4GQtR0zJYYw==" saltValue="KoGGb3dx+0q90cmq5Bir6A==" spinCount="100000" sheet="1" objects="1" scenarios="1" selectLockedCells="1"/>
  <mergeCells count="29">
    <mergeCell ref="B21:B22"/>
    <mergeCell ref="I2:J3"/>
    <mergeCell ref="K2:L3"/>
    <mergeCell ref="M2:Q3"/>
    <mergeCell ref="R2:T2"/>
    <mergeCell ref="R3:T3"/>
    <mergeCell ref="AD4:AG5"/>
    <mergeCell ref="B13:B14"/>
    <mergeCell ref="B15:B16"/>
    <mergeCell ref="B17:B18"/>
    <mergeCell ref="B19:B20"/>
    <mergeCell ref="Z4:AC5"/>
    <mergeCell ref="G62:K63"/>
    <mergeCell ref="B23:B24"/>
    <mergeCell ref="B25:B26"/>
    <mergeCell ref="B27:B28"/>
    <mergeCell ref="B29:B30"/>
    <mergeCell ref="B31:B32"/>
    <mergeCell ref="B33:B34"/>
    <mergeCell ref="B36:B37"/>
    <mergeCell ref="B41:B42"/>
    <mergeCell ref="B57:E57"/>
    <mergeCell ref="B59:D59"/>
    <mergeCell ref="B62:F63"/>
    <mergeCell ref="L62:R63"/>
    <mergeCell ref="S62:V63"/>
    <mergeCell ref="W62:AB63"/>
    <mergeCell ref="AC62:AG63"/>
    <mergeCell ref="AS64:BC64"/>
  </mergeCells>
  <conditionalFormatting sqref="C48:AG52">
    <cfRule type="expression" dxfId="3" priority="1">
      <formula>(C48&gt;$G$4)*(C48&lt;&gt;0)</formula>
    </cfRule>
    <cfRule type="expression" dxfId="2" priority="2">
      <formula>(C48&lt;$G$6)*(C48&lt;&gt;0)</formula>
    </cfRule>
  </conditionalFormatting>
  <dataValidations count="3">
    <dataValidation type="whole" showErrorMessage="1" errorTitle="Data" error="Digite apenas o dia entre 1 e 31" sqref="C10:D10" xr:uid="{00000000-0002-0000-0200-000000000000}">
      <formula1>1</formula1>
      <formula2>31</formula2>
    </dataValidation>
    <dataValidation type="whole" showInputMessage="1" showErrorMessage="1" errorTitle="Data" error="Digite apenas o dia entre 1 e 31" sqref="E10:AG10" xr:uid="{00000000-0002-0000-0200-000001000000}">
      <formula1>1</formula1>
      <formula2>31</formula2>
    </dataValidation>
    <dataValidation type="list" showErrorMessage="1" promptTitle="Turno" prompt="Escolha" sqref="C11:AG11" xr:uid="{00000000-0002-0000-0200-000002000000}">
      <formula1>Turnos</formula1>
    </dataValidation>
  </dataValidations>
  <printOptions horizontalCentered="1"/>
  <pageMargins left="0" right="0" top="0.59055118110236227" bottom="0.39370078740157483" header="0.39370078740157483" footer="0.23622047244094491"/>
  <pageSetup paperSize="9" scale="60" orientation="landscape" r:id="rId1"/>
  <headerFooter alignWithMargins="0">
    <oddFooter>&amp;RSJCPIL-R 16-126-02 - &amp;A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">
    <tabColor indexed="47"/>
    <pageSetUpPr fitToPage="1"/>
  </sheetPr>
  <dimension ref="B1:BC75"/>
  <sheetViews>
    <sheetView showZeros="0" tabSelected="1" zoomScaleNormal="100" workbookViewId="0">
      <selection activeCell="C9" sqref="C9"/>
    </sheetView>
  </sheetViews>
  <sheetFormatPr defaultColWidth="10.28515625" defaultRowHeight="12.75"/>
  <cols>
    <col min="1" max="1" width="1.5703125" style="7" customWidth="1"/>
    <col min="2" max="2" width="16.140625" style="7" customWidth="1"/>
    <col min="3" max="33" width="6.7109375" style="7" customWidth="1"/>
    <col min="34" max="34" width="3.140625" style="7" customWidth="1"/>
    <col min="35" max="55" width="6.7109375" style="7" customWidth="1"/>
    <col min="56" max="16384" width="10.28515625" style="7"/>
  </cols>
  <sheetData>
    <row r="1" spans="2:50" ht="21.75" thickBot="1">
      <c r="B1" s="99" t="s">
        <v>41</v>
      </c>
      <c r="C1" s="100"/>
      <c r="D1" s="100"/>
      <c r="E1" s="100"/>
      <c r="F1" s="101"/>
      <c r="G1" s="101"/>
      <c r="H1" s="102"/>
      <c r="I1" s="103" t="s">
        <v>40</v>
      </c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8"/>
      <c r="AX1" s="8"/>
    </row>
    <row r="2" spans="2:50" s="9" customFormat="1" ht="19.5" customHeight="1">
      <c r="B2" s="104" t="s">
        <v>42</v>
      </c>
      <c r="C2" s="105"/>
      <c r="D2" s="106"/>
      <c r="E2" s="106"/>
      <c r="F2" s="107"/>
      <c r="G2" s="107"/>
      <c r="H2" s="108"/>
      <c r="I2" s="148" t="s">
        <v>26</v>
      </c>
      <c r="J2" s="149"/>
      <c r="K2" s="152" t="s">
        <v>27</v>
      </c>
      <c r="L2" s="153"/>
      <c r="M2" s="156" t="s">
        <v>0</v>
      </c>
      <c r="N2" s="157"/>
      <c r="O2" s="157"/>
      <c r="P2" s="157"/>
      <c r="Q2" s="158"/>
      <c r="R2" s="162" t="s">
        <v>25</v>
      </c>
      <c r="S2" s="163"/>
      <c r="T2" s="164"/>
      <c r="U2" s="10" t="s">
        <v>37</v>
      </c>
      <c r="V2" s="11"/>
      <c r="W2" s="11"/>
      <c r="X2" s="11"/>
      <c r="Y2" s="11"/>
      <c r="Z2" s="12"/>
      <c r="AA2" s="12"/>
      <c r="AB2" s="12"/>
      <c r="AC2" s="12"/>
      <c r="AD2" s="12"/>
      <c r="AE2" s="13"/>
      <c r="AF2" s="13"/>
      <c r="AG2" s="14"/>
    </row>
    <row r="3" spans="2:50" ht="16.899999999999999" customHeight="1" thickBot="1">
      <c r="B3" s="96"/>
      <c r="I3" s="150"/>
      <c r="J3" s="151"/>
      <c r="K3" s="154"/>
      <c r="L3" s="155"/>
      <c r="M3" s="159"/>
      <c r="N3" s="160"/>
      <c r="O3" s="160"/>
      <c r="P3" s="160"/>
      <c r="Q3" s="161"/>
      <c r="R3" s="165" t="s">
        <v>24</v>
      </c>
      <c r="S3" s="166"/>
      <c r="T3" s="167"/>
      <c r="U3" s="15" t="s">
        <v>38</v>
      </c>
      <c r="V3" s="16"/>
      <c r="W3" s="16"/>
      <c r="X3" s="16"/>
      <c r="Y3" s="16"/>
      <c r="Z3" s="16"/>
      <c r="AA3" s="16"/>
      <c r="AB3" s="16"/>
      <c r="AC3" s="16"/>
      <c r="AD3" s="16"/>
      <c r="AE3" s="17"/>
      <c r="AF3" s="17"/>
      <c r="AG3" s="18"/>
    </row>
    <row r="4" spans="2:50" s="26" customFormat="1" ht="16.899999999999999" customHeight="1">
      <c r="B4" s="83" t="s">
        <v>13</v>
      </c>
      <c r="C4" s="19"/>
      <c r="D4" s="20" t="s">
        <v>1</v>
      </c>
      <c r="E4" s="21">
        <f>E5+E7/2</f>
        <v>57.55</v>
      </c>
      <c r="F4" s="22" t="s">
        <v>35</v>
      </c>
      <c r="G4" s="23">
        <f>G5+G7/2</f>
        <v>57.5</v>
      </c>
      <c r="H4" s="24"/>
      <c r="I4" s="25"/>
      <c r="Z4" s="146" t="str">
        <f ca="1">'PESO BOBINA'!Z4:AC5</f>
        <v>MÊS: 03</v>
      </c>
      <c r="AA4" s="142"/>
      <c r="AB4" s="142"/>
      <c r="AC4" s="142"/>
      <c r="AD4" s="142" t="str">
        <f ca="1">'PESO BOBINA'!AD4</f>
        <v>ANO: 2022</v>
      </c>
      <c r="AE4" s="142"/>
      <c r="AF4" s="142"/>
      <c r="AG4" s="143"/>
    </row>
    <row r="5" spans="2:50" s="26" customFormat="1" ht="16.899999999999999" customHeight="1" thickBot="1">
      <c r="B5" s="84" t="s">
        <v>51</v>
      </c>
      <c r="C5" s="27" t="s">
        <v>2</v>
      </c>
      <c r="D5" s="28" t="s">
        <v>3</v>
      </c>
      <c r="E5" s="29">
        <v>57.4</v>
      </c>
      <c r="F5" s="30" t="s">
        <v>3</v>
      </c>
      <c r="G5" s="31">
        <f>E5</f>
        <v>57.4</v>
      </c>
      <c r="H5" s="24"/>
      <c r="I5" s="26" t="s">
        <v>32</v>
      </c>
      <c r="R5" s="26" t="s">
        <v>4</v>
      </c>
      <c r="Z5" s="147"/>
      <c r="AA5" s="144"/>
      <c r="AB5" s="144"/>
      <c r="AC5" s="144"/>
      <c r="AD5" s="144"/>
      <c r="AE5" s="144"/>
      <c r="AF5" s="144"/>
      <c r="AG5" s="145"/>
    </row>
    <row r="6" spans="2:50" s="26" customFormat="1" ht="16.899999999999999" customHeight="1">
      <c r="B6" s="85" t="s">
        <v>14</v>
      </c>
      <c r="C6" s="32"/>
      <c r="D6" s="28" t="s">
        <v>5</v>
      </c>
      <c r="E6" s="29">
        <f>E5-E7/2</f>
        <v>57.25</v>
      </c>
      <c r="F6" s="30" t="s">
        <v>36</v>
      </c>
      <c r="G6" s="31">
        <f>G5-G7/2</f>
        <v>57.3</v>
      </c>
      <c r="H6" s="24"/>
      <c r="I6" s="26" t="s">
        <v>6</v>
      </c>
      <c r="R6" s="26" t="s">
        <v>7</v>
      </c>
      <c r="AC6" s="86"/>
      <c r="AD6" s="86"/>
      <c r="AG6" s="87"/>
    </row>
    <row r="7" spans="2:50" s="26" customFormat="1" ht="16.899999999999999" customHeight="1" thickBot="1">
      <c r="B7" s="88"/>
      <c r="C7" s="89" t="s">
        <v>8</v>
      </c>
      <c r="D7" s="90" t="s">
        <v>1</v>
      </c>
      <c r="E7" s="91">
        <v>0.3</v>
      </c>
      <c r="F7" s="33" t="s">
        <v>35</v>
      </c>
      <c r="G7" s="34">
        <v>0.2</v>
      </c>
      <c r="H7" s="92"/>
      <c r="I7" s="93" t="s">
        <v>9</v>
      </c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4"/>
      <c r="AD7" s="94"/>
      <c r="AE7" s="93"/>
      <c r="AF7" s="93"/>
      <c r="AG7" s="95"/>
    </row>
    <row r="8" spans="2:50" s="26" customFormat="1" ht="4.5" customHeight="1" thickBot="1"/>
    <row r="9" spans="2:50" s="36" customFormat="1">
      <c r="B9" s="35" t="s">
        <v>10</v>
      </c>
      <c r="C9" s="68">
        <v>1</v>
      </c>
      <c r="D9" s="68">
        <v>2</v>
      </c>
      <c r="E9" s="68">
        <v>3</v>
      </c>
      <c r="F9" s="68">
        <v>4</v>
      </c>
      <c r="G9" s="68">
        <v>5</v>
      </c>
      <c r="H9" s="68">
        <v>6</v>
      </c>
      <c r="I9" s="68">
        <v>7</v>
      </c>
      <c r="J9" s="68">
        <v>8</v>
      </c>
      <c r="K9" s="68">
        <v>9</v>
      </c>
      <c r="L9" s="68">
        <v>10</v>
      </c>
      <c r="M9" s="68">
        <v>11</v>
      </c>
      <c r="N9" s="68">
        <v>12</v>
      </c>
      <c r="O9" s="68">
        <v>13</v>
      </c>
      <c r="P9" s="68">
        <v>14</v>
      </c>
      <c r="Q9" s="68">
        <v>15</v>
      </c>
      <c r="R9" s="68">
        <v>16</v>
      </c>
      <c r="S9" s="68">
        <v>17</v>
      </c>
      <c r="T9" s="68">
        <v>18</v>
      </c>
      <c r="U9" s="68">
        <v>19</v>
      </c>
      <c r="V9" s="68">
        <v>20</v>
      </c>
      <c r="W9" s="68">
        <v>21</v>
      </c>
      <c r="X9" s="68">
        <v>22</v>
      </c>
      <c r="Y9" s="68">
        <v>23</v>
      </c>
      <c r="Z9" s="68">
        <v>24</v>
      </c>
      <c r="AA9" s="68">
        <v>25</v>
      </c>
      <c r="AB9" s="68">
        <v>26</v>
      </c>
      <c r="AC9" s="68">
        <v>27</v>
      </c>
      <c r="AD9" s="68">
        <v>28</v>
      </c>
      <c r="AE9" s="68">
        <v>29</v>
      </c>
      <c r="AF9" s="68">
        <v>30</v>
      </c>
      <c r="AG9" s="69">
        <v>31</v>
      </c>
    </row>
    <row r="10" spans="2:50" s="36" customFormat="1" ht="14.1" customHeight="1">
      <c r="B10" s="37" t="s">
        <v>11</v>
      </c>
      <c r="C10" s="76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6"/>
    </row>
    <row r="11" spans="2:50" s="36" customFormat="1" ht="14.1" customHeight="1">
      <c r="B11" s="38" t="s">
        <v>39</v>
      </c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6"/>
    </row>
    <row r="12" spans="2:50" s="36" customFormat="1" ht="12" customHeight="1">
      <c r="B12" s="39"/>
      <c r="AG12" s="40"/>
    </row>
    <row r="13" spans="2:50" s="36" customFormat="1" ht="12" customHeight="1">
      <c r="B13" s="132"/>
      <c r="AG13" s="40"/>
    </row>
    <row r="14" spans="2:50" s="36" customFormat="1" ht="12" customHeight="1">
      <c r="B14" s="132"/>
      <c r="AG14" s="40"/>
    </row>
    <row r="15" spans="2:50" s="36" customFormat="1" ht="12" customHeight="1">
      <c r="B15" s="133"/>
      <c r="AG15" s="40"/>
    </row>
    <row r="16" spans="2:50" s="36" customFormat="1" ht="12" customHeight="1">
      <c r="B16" s="133"/>
      <c r="AG16" s="40"/>
    </row>
    <row r="17" spans="2:33" s="36" customFormat="1" ht="12" customHeight="1">
      <c r="B17" s="133"/>
      <c r="AG17" s="40"/>
    </row>
    <row r="18" spans="2:33" s="36" customFormat="1" ht="12" customHeight="1">
      <c r="B18" s="133"/>
      <c r="AG18" s="40"/>
    </row>
    <row r="19" spans="2:33" s="36" customFormat="1" ht="12" customHeight="1">
      <c r="B19" s="133"/>
      <c r="AG19" s="40"/>
    </row>
    <row r="20" spans="2:33" s="36" customFormat="1" ht="12" customHeight="1">
      <c r="B20" s="133"/>
      <c r="AG20" s="40"/>
    </row>
    <row r="21" spans="2:33" s="36" customFormat="1" ht="12" customHeight="1">
      <c r="B21" s="133"/>
      <c r="AG21" s="40"/>
    </row>
    <row r="22" spans="2:33" s="36" customFormat="1" ht="12" customHeight="1">
      <c r="B22" s="133"/>
      <c r="AG22" s="40"/>
    </row>
    <row r="23" spans="2:33" s="36" customFormat="1" ht="12" customHeight="1">
      <c r="B23" s="132"/>
      <c r="AG23" s="40"/>
    </row>
    <row r="24" spans="2:33" s="36" customFormat="1" ht="12" customHeight="1">
      <c r="B24" s="132"/>
      <c r="AG24" s="40"/>
    </row>
    <row r="25" spans="2:33" s="36" customFormat="1" ht="12" customHeight="1">
      <c r="B25" s="133"/>
      <c r="AG25" s="40"/>
    </row>
    <row r="26" spans="2:33" s="36" customFormat="1" ht="12" customHeight="1">
      <c r="B26" s="133"/>
      <c r="AG26" s="40"/>
    </row>
    <row r="27" spans="2:33" s="36" customFormat="1" ht="12" customHeight="1">
      <c r="B27" s="133"/>
      <c r="AG27" s="40"/>
    </row>
    <row r="28" spans="2:33" s="36" customFormat="1" ht="12" customHeight="1">
      <c r="B28" s="133"/>
      <c r="AG28" s="40"/>
    </row>
    <row r="29" spans="2:33" s="36" customFormat="1" ht="12" customHeight="1">
      <c r="B29" s="133"/>
      <c r="AG29" s="40"/>
    </row>
    <row r="30" spans="2:33" s="36" customFormat="1" ht="12" customHeight="1">
      <c r="B30" s="133"/>
      <c r="AG30" s="40"/>
    </row>
    <row r="31" spans="2:33" s="36" customFormat="1" ht="12" customHeight="1">
      <c r="B31" s="133"/>
      <c r="AG31" s="40"/>
    </row>
    <row r="32" spans="2:33" s="36" customFormat="1" ht="12" customHeight="1">
      <c r="B32" s="133"/>
      <c r="AG32" s="40"/>
    </row>
    <row r="33" spans="2:33" s="36" customFormat="1" ht="12" customHeight="1">
      <c r="B33" s="132"/>
      <c r="AG33" s="40"/>
    </row>
    <row r="34" spans="2:33" s="36" customFormat="1" ht="12" customHeight="1">
      <c r="B34" s="132"/>
      <c r="AG34" s="40"/>
    </row>
    <row r="35" spans="2:33" s="36" customFormat="1" ht="12" customHeight="1" thickBot="1">
      <c r="B35" s="42"/>
      <c r="AG35" s="40"/>
    </row>
    <row r="36" spans="2:33" s="36" customFormat="1" ht="12" customHeight="1">
      <c r="B36" s="134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4"/>
    </row>
    <row r="37" spans="2:33" s="36" customFormat="1" ht="12" customHeight="1">
      <c r="B37" s="132"/>
      <c r="AG37" s="40"/>
    </row>
    <row r="38" spans="2:33" s="36" customFormat="1" ht="12" customHeight="1">
      <c r="B38" s="41"/>
      <c r="AG38" s="40"/>
    </row>
    <row r="39" spans="2:33" s="36" customFormat="1" ht="12" customHeight="1">
      <c r="B39" s="41"/>
      <c r="AG39" s="40"/>
    </row>
    <row r="40" spans="2:33" s="36" customFormat="1" ht="12" customHeight="1">
      <c r="B40" s="41"/>
      <c r="AG40" s="40"/>
    </row>
    <row r="41" spans="2:33" s="36" customFormat="1" ht="12" customHeight="1">
      <c r="B41" s="132"/>
      <c r="AG41" s="40"/>
    </row>
    <row r="42" spans="2:33" s="36" customFormat="1" ht="12" customHeight="1">
      <c r="B42" s="132"/>
      <c r="AG42" s="40"/>
    </row>
    <row r="43" spans="2:33" s="36" customFormat="1" ht="12" customHeight="1">
      <c r="B43" s="41"/>
      <c r="AG43" s="40"/>
    </row>
    <row r="44" spans="2:33" s="36" customFormat="1" ht="12" customHeight="1">
      <c r="B44" s="41"/>
      <c r="AG44" s="40"/>
    </row>
    <row r="45" spans="2:33" s="36" customFormat="1" ht="12" customHeight="1">
      <c r="B45" s="41"/>
      <c r="AG45" s="40"/>
    </row>
    <row r="46" spans="2:33" s="36" customFormat="1" ht="12" customHeight="1" thickBot="1">
      <c r="B46" s="45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7"/>
    </row>
    <row r="47" spans="2:33" s="36" customFormat="1" ht="6" customHeight="1">
      <c r="B47" s="48"/>
      <c r="AG47" s="40"/>
    </row>
    <row r="48" spans="2:33" s="50" customFormat="1" ht="15" customHeight="1">
      <c r="B48" s="49">
        <v>1</v>
      </c>
      <c r="C48" s="78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9"/>
    </row>
    <row r="49" spans="2:55" s="50" customFormat="1" ht="15" customHeight="1">
      <c r="B49" s="51">
        <v>2</v>
      </c>
      <c r="C49" s="80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81"/>
      <c r="V49" s="81"/>
      <c r="W49" s="81"/>
      <c r="X49" s="81"/>
      <c r="Y49" s="81"/>
      <c r="Z49" s="81"/>
      <c r="AA49" s="81"/>
      <c r="AB49" s="81"/>
      <c r="AC49" s="81"/>
      <c r="AD49" s="81"/>
      <c r="AE49" s="81"/>
      <c r="AF49" s="81"/>
      <c r="AG49" s="82"/>
    </row>
    <row r="50" spans="2:55" s="50" customFormat="1" ht="15" customHeight="1">
      <c r="B50" s="51">
        <v>3</v>
      </c>
      <c r="C50" s="80"/>
      <c r="D50" s="81"/>
      <c r="E50" s="81"/>
      <c r="F50" s="81"/>
      <c r="G50" s="81"/>
      <c r="H50" s="81"/>
      <c r="I50" s="81"/>
      <c r="J50" s="81"/>
      <c r="K50" s="81"/>
      <c r="L50" s="81"/>
      <c r="M50" s="81"/>
      <c r="N50" s="81"/>
      <c r="O50" s="81"/>
      <c r="P50" s="81"/>
      <c r="Q50" s="81"/>
      <c r="R50" s="81"/>
      <c r="S50" s="81"/>
      <c r="T50" s="81"/>
      <c r="U50" s="81"/>
      <c r="V50" s="81"/>
      <c r="W50" s="81"/>
      <c r="X50" s="81"/>
      <c r="Y50" s="81"/>
      <c r="Z50" s="81"/>
      <c r="AA50" s="81"/>
      <c r="AB50" s="81"/>
      <c r="AC50" s="81"/>
      <c r="AD50" s="81"/>
      <c r="AE50" s="81"/>
      <c r="AF50" s="81"/>
      <c r="AG50" s="82"/>
    </row>
    <row r="51" spans="2:55" s="50" customFormat="1" ht="15" customHeight="1">
      <c r="B51" s="51">
        <v>4</v>
      </c>
      <c r="C51" s="80"/>
      <c r="D51" s="81"/>
      <c r="E51" s="81"/>
      <c r="F51" s="81"/>
      <c r="G51" s="81"/>
      <c r="H51" s="81"/>
      <c r="I51" s="81"/>
      <c r="J51" s="81"/>
      <c r="K51" s="81"/>
      <c r="L51" s="81"/>
      <c r="M51" s="81"/>
      <c r="N51" s="81"/>
      <c r="O51" s="81"/>
      <c r="P51" s="81"/>
      <c r="Q51" s="81"/>
      <c r="R51" s="81"/>
      <c r="S51" s="81"/>
      <c r="T51" s="81"/>
      <c r="U51" s="81"/>
      <c r="V51" s="81"/>
      <c r="W51" s="81"/>
      <c r="X51" s="81"/>
      <c r="Y51" s="81"/>
      <c r="Z51" s="81"/>
      <c r="AA51" s="81"/>
      <c r="AB51" s="81"/>
      <c r="AC51" s="81"/>
      <c r="AD51" s="81"/>
      <c r="AE51" s="81"/>
      <c r="AF51" s="81"/>
      <c r="AG51" s="82"/>
    </row>
    <row r="52" spans="2:55" s="50" customFormat="1" ht="15" customHeight="1">
      <c r="B52" s="55">
        <v>5</v>
      </c>
      <c r="C52" s="80"/>
      <c r="D52" s="81"/>
      <c r="E52" s="81"/>
      <c r="F52" s="81"/>
      <c r="G52" s="81"/>
      <c r="H52" s="81"/>
      <c r="I52" s="81"/>
      <c r="J52" s="81"/>
      <c r="K52" s="81"/>
      <c r="L52" s="81"/>
      <c r="M52" s="81"/>
      <c r="N52" s="81"/>
      <c r="O52" s="81"/>
      <c r="P52" s="81"/>
      <c r="Q52" s="81"/>
      <c r="R52" s="81"/>
      <c r="S52" s="81"/>
      <c r="T52" s="81"/>
      <c r="U52" s="81"/>
      <c r="V52" s="81"/>
      <c r="W52" s="81"/>
      <c r="X52" s="81"/>
      <c r="Y52" s="81"/>
      <c r="Z52" s="81"/>
      <c r="AA52" s="81"/>
      <c r="AB52" s="81"/>
      <c r="AC52" s="81"/>
      <c r="AD52" s="81"/>
      <c r="AE52" s="81"/>
      <c r="AF52" s="81"/>
      <c r="AG52" s="82"/>
    </row>
    <row r="53" spans="2:55" s="50" customFormat="1" ht="15" customHeight="1">
      <c r="B53" s="55" t="s">
        <v>15</v>
      </c>
      <c r="C53" s="52" t="str">
        <f t="shared" ref="C53:AG53" si="0">IF(ISERR(AVERAGE(C48:C52))," ",AVERAGE(C48:C52))</f>
        <v xml:space="preserve"> </v>
      </c>
      <c r="D53" s="53" t="str">
        <f t="shared" si="0"/>
        <v xml:space="preserve"> </v>
      </c>
      <c r="E53" s="53" t="str">
        <f t="shared" si="0"/>
        <v xml:space="preserve"> </v>
      </c>
      <c r="F53" s="53" t="str">
        <f t="shared" si="0"/>
        <v xml:space="preserve"> </v>
      </c>
      <c r="G53" s="53" t="str">
        <f t="shared" si="0"/>
        <v xml:space="preserve"> </v>
      </c>
      <c r="H53" s="53" t="str">
        <f t="shared" si="0"/>
        <v xml:space="preserve"> </v>
      </c>
      <c r="I53" s="53" t="str">
        <f t="shared" si="0"/>
        <v xml:space="preserve"> </v>
      </c>
      <c r="J53" s="53" t="str">
        <f t="shared" si="0"/>
        <v xml:space="preserve"> </v>
      </c>
      <c r="K53" s="53" t="str">
        <f t="shared" si="0"/>
        <v xml:space="preserve"> </v>
      </c>
      <c r="L53" s="53" t="str">
        <f t="shared" si="0"/>
        <v xml:space="preserve"> </v>
      </c>
      <c r="M53" s="53" t="str">
        <f t="shared" si="0"/>
        <v xml:space="preserve"> </v>
      </c>
      <c r="N53" s="53" t="str">
        <f t="shared" si="0"/>
        <v xml:space="preserve"> </v>
      </c>
      <c r="O53" s="53" t="str">
        <f t="shared" si="0"/>
        <v xml:space="preserve"> </v>
      </c>
      <c r="P53" s="53" t="str">
        <f t="shared" si="0"/>
        <v xml:space="preserve"> </v>
      </c>
      <c r="Q53" s="53" t="str">
        <f t="shared" si="0"/>
        <v xml:space="preserve"> </v>
      </c>
      <c r="R53" s="53" t="str">
        <f t="shared" si="0"/>
        <v xml:space="preserve"> </v>
      </c>
      <c r="S53" s="53" t="str">
        <f t="shared" si="0"/>
        <v xml:space="preserve"> </v>
      </c>
      <c r="T53" s="53" t="str">
        <f t="shared" si="0"/>
        <v xml:space="preserve"> </v>
      </c>
      <c r="U53" s="53" t="str">
        <f t="shared" si="0"/>
        <v xml:space="preserve"> </v>
      </c>
      <c r="V53" s="53" t="str">
        <f t="shared" si="0"/>
        <v xml:space="preserve"> </v>
      </c>
      <c r="W53" s="53" t="str">
        <f t="shared" si="0"/>
        <v xml:space="preserve"> </v>
      </c>
      <c r="X53" s="53" t="str">
        <f t="shared" si="0"/>
        <v xml:space="preserve"> </v>
      </c>
      <c r="Y53" s="53" t="str">
        <f t="shared" si="0"/>
        <v xml:space="preserve"> </v>
      </c>
      <c r="Z53" s="53" t="str">
        <f t="shared" si="0"/>
        <v xml:space="preserve"> </v>
      </c>
      <c r="AA53" s="53" t="str">
        <f t="shared" si="0"/>
        <v xml:space="preserve"> </v>
      </c>
      <c r="AB53" s="53" t="str">
        <f t="shared" si="0"/>
        <v xml:space="preserve"> </v>
      </c>
      <c r="AC53" s="53" t="str">
        <f t="shared" si="0"/>
        <v xml:space="preserve"> </v>
      </c>
      <c r="AD53" s="53" t="str">
        <f t="shared" si="0"/>
        <v xml:space="preserve"> </v>
      </c>
      <c r="AE53" s="53" t="str">
        <f t="shared" si="0"/>
        <v xml:space="preserve"> </v>
      </c>
      <c r="AF53" s="53" t="str">
        <f t="shared" si="0"/>
        <v xml:space="preserve"> </v>
      </c>
      <c r="AG53" s="54" t="str">
        <f t="shared" si="0"/>
        <v xml:space="preserve"> </v>
      </c>
    </row>
    <row r="54" spans="2:55" s="50" customFormat="1" ht="15" customHeight="1">
      <c r="B54" s="55" t="s">
        <v>8</v>
      </c>
      <c r="C54" s="56">
        <f t="shared" ref="C54:AG54" si="1">MAX(C48:C52)-MIN(C48:C52)</f>
        <v>0</v>
      </c>
      <c r="D54" s="57">
        <f t="shared" si="1"/>
        <v>0</v>
      </c>
      <c r="E54" s="57">
        <f t="shared" si="1"/>
        <v>0</v>
      </c>
      <c r="F54" s="57">
        <f t="shared" si="1"/>
        <v>0</v>
      </c>
      <c r="G54" s="57">
        <f t="shared" si="1"/>
        <v>0</v>
      </c>
      <c r="H54" s="57">
        <f t="shared" si="1"/>
        <v>0</v>
      </c>
      <c r="I54" s="57">
        <f t="shared" si="1"/>
        <v>0</v>
      </c>
      <c r="J54" s="57">
        <f t="shared" si="1"/>
        <v>0</v>
      </c>
      <c r="K54" s="57">
        <f t="shared" si="1"/>
        <v>0</v>
      </c>
      <c r="L54" s="57">
        <f t="shared" si="1"/>
        <v>0</v>
      </c>
      <c r="M54" s="57">
        <f t="shared" si="1"/>
        <v>0</v>
      </c>
      <c r="N54" s="57">
        <f t="shared" si="1"/>
        <v>0</v>
      </c>
      <c r="O54" s="57">
        <f t="shared" si="1"/>
        <v>0</v>
      </c>
      <c r="P54" s="57">
        <f t="shared" si="1"/>
        <v>0</v>
      </c>
      <c r="Q54" s="57">
        <f t="shared" si="1"/>
        <v>0</v>
      </c>
      <c r="R54" s="109">
        <f t="shared" si="1"/>
        <v>0</v>
      </c>
      <c r="S54" s="109">
        <f t="shared" si="1"/>
        <v>0</v>
      </c>
      <c r="T54" s="109">
        <f t="shared" si="1"/>
        <v>0</v>
      </c>
      <c r="U54" s="109">
        <f t="shared" si="1"/>
        <v>0</v>
      </c>
      <c r="V54" s="109">
        <f t="shared" si="1"/>
        <v>0</v>
      </c>
      <c r="W54" s="109">
        <f t="shared" si="1"/>
        <v>0</v>
      </c>
      <c r="X54" s="109">
        <f t="shared" si="1"/>
        <v>0</v>
      </c>
      <c r="Y54" s="109">
        <f t="shared" si="1"/>
        <v>0</v>
      </c>
      <c r="Z54" s="109">
        <f t="shared" si="1"/>
        <v>0</v>
      </c>
      <c r="AA54" s="109">
        <f t="shared" si="1"/>
        <v>0</v>
      </c>
      <c r="AB54" s="109">
        <f t="shared" si="1"/>
        <v>0</v>
      </c>
      <c r="AC54" s="109">
        <f t="shared" si="1"/>
        <v>0</v>
      </c>
      <c r="AD54" s="109">
        <f t="shared" si="1"/>
        <v>0</v>
      </c>
      <c r="AE54" s="109">
        <f t="shared" si="1"/>
        <v>0</v>
      </c>
      <c r="AF54" s="109">
        <f t="shared" si="1"/>
        <v>0</v>
      </c>
      <c r="AG54" s="110">
        <f t="shared" si="1"/>
        <v>0</v>
      </c>
    </row>
    <row r="55" spans="2:55" s="50" customFormat="1" ht="20.100000000000001" customHeight="1">
      <c r="B55" s="58" t="s">
        <v>12</v>
      </c>
      <c r="C55" s="70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2"/>
    </row>
    <row r="56" spans="2:55" s="50" customFormat="1" ht="26.25" thickBot="1">
      <c r="B56" s="119" t="str">
        <f>'PESO BOBINA'!B56</f>
        <v>Visto do Lider / Sublíder</v>
      </c>
      <c r="C56" s="73"/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  <c r="AA56" s="74"/>
      <c r="AB56" s="74"/>
      <c r="AC56" s="74"/>
      <c r="AD56" s="74"/>
      <c r="AE56" s="74"/>
      <c r="AF56" s="74"/>
      <c r="AG56" s="75"/>
    </row>
    <row r="57" spans="2:55" s="36" customFormat="1" ht="20.100000000000001" customHeight="1">
      <c r="B57" s="135" t="s">
        <v>28</v>
      </c>
      <c r="C57" s="136"/>
      <c r="D57" s="136"/>
      <c r="E57" s="137"/>
      <c r="F57" s="59" t="s">
        <v>31</v>
      </c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4"/>
    </row>
    <row r="58" spans="2:55" s="36" customFormat="1" ht="20.100000000000001" customHeight="1">
      <c r="B58" s="60"/>
      <c r="C58" s="26" t="s">
        <v>30</v>
      </c>
      <c r="D58" s="26"/>
      <c r="E58" s="40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2"/>
    </row>
    <row r="59" spans="2:55" s="36" customFormat="1" ht="20.100000000000001" customHeight="1">
      <c r="B59" s="138" t="s">
        <v>29</v>
      </c>
      <c r="C59" s="139"/>
      <c r="D59" s="139"/>
      <c r="E59" s="40"/>
      <c r="F59" s="1"/>
      <c r="G59" s="1"/>
      <c r="H59" s="1"/>
      <c r="I59" s="1"/>
      <c r="J59" s="1"/>
      <c r="K59" s="1"/>
      <c r="L59" s="1"/>
      <c r="M59" s="1"/>
      <c r="N59" s="1"/>
      <c r="O59" s="11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2"/>
    </row>
    <row r="60" spans="2:55" s="36" customFormat="1" ht="20.100000000000001" customHeight="1" thickBot="1">
      <c r="B60" s="61"/>
      <c r="C60" s="62" t="s">
        <v>15</v>
      </c>
      <c r="D60" s="46"/>
      <c r="E60" s="47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4"/>
    </row>
    <row r="61" spans="2:55" s="36" customFormat="1" ht="7.5" customHeight="1"/>
    <row r="62" spans="2:55" s="36" customFormat="1" ht="15.75">
      <c r="B62" s="140" t="s">
        <v>33</v>
      </c>
      <c r="C62" s="123"/>
      <c r="D62" s="123"/>
      <c r="E62" s="123"/>
      <c r="F62" s="123"/>
      <c r="G62" s="121" t="s">
        <v>16</v>
      </c>
      <c r="H62" s="121"/>
      <c r="I62" s="121"/>
      <c r="J62" s="121"/>
      <c r="K62" s="130"/>
      <c r="L62" s="121" t="s">
        <v>34</v>
      </c>
      <c r="M62" s="121"/>
      <c r="N62" s="121"/>
      <c r="O62" s="121"/>
      <c r="P62" s="121"/>
      <c r="Q62" s="121"/>
      <c r="R62" s="121"/>
      <c r="S62" s="123" t="s">
        <v>45</v>
      </c>
      <c r="T62" s="123"/>
      <c r="U62" s="123"/>
      <c r="V62" s="123"/>
      <c r="W62" s="125" t="s">
        <v>46</v>
      </c>
      <c r="X62" s="123"/>
      <c r="Y62" s="123"/>
      <c r="Z62" s="123"/>
      <c r="AA62" s="123"/>
      <c r="AB62" s="123"/>
      <c r="AC62" s="123" t="s">
        <v>16</v>
      </c>
      <c r="AD62" s="123"/>
      <c r="AE62" s="123"/>
      <c r="AF62" s="123"/>
      <c r="AG62" s="127"/>
      <c r="AH62" s="63"/>
      <c r="AI62" s="63"/>
      <c r="AJ62" s="63"/>
      <c r="AK62" s="63"/>
      <c r="AL62" s="63"/>
      <c r="AM62" s="63"/>
      <c r="AN62" s="63"/>
      <c r="AO62" s="63"/>
      <c r="AP62" s="63"/>
      <c r="AQ62" s="63"/>
      <c r="AR62" s="63"/>
      <c r="AS62" s="63"/>
      <c r="AT62" s="63"/>
      <c r="AU62" s="63"/>
      <c r="AV62" s="63"/>
      <c r="AW62" s="63"/>
      <c r="AX62" s="63"/>
      <c r="AY62" s="63"/>
      <c r="AZ62" s="63"/>
      <c r="BA62" s="63"/>
      <c r="BB62" s="63"/>
      <c r="BC62" s="63"/>
    </row>
    <row r="63" spans="2:55" s="36" customFormat="1" ht="15.75">
      <c r="B63" s="141"/>
      <c r="C63" s="124"/>
      <c r="D63" s="124"/>
      <c r="E63" s="124"/>
      <c r="F63" s="124"/>
      <c r="G63" s="122"/>
      <c r="H63" s="122"/>
      <c r="I63" s="122"/>
      <c r="J63" s="122"/>
      <c r="K63" s="131"/>
      <c r="L63" s="122"/>
      <c r="M63" s="122"/>
      <c r="N63" s="122"/>
      <c r="O63" s="122"/>
      <c r="P63" s="122"/>
      <c r="Q63" s="122"/>
      <c r="R63" s="122"/>
      <c r="S63" s="124"/>
      <c r="T63" s="124"/>
      <c r="U63" s="124"/>
      <c r="V63" s="124"/>
      <c r="W63" s="126"/>
      <c r="X63" s="124"/>
      <c r="Y63" s="124"/>
      <c r="Z63" s="124"/>
      <c r="AA63" s="124"/>
      <c r="AB63" s="124"/>
      <c r="AC63" s="124"/>
      <c r="AD63" s="124"/>
      <c r="AE63" s="124"/>
      <c r="AF63" s="124"/>
      <c r="AG63" s="128"/>
      <c r="AH63" s="63"/>
      <c r="AI63" s="63"/>
      <c r="AJ63" s="63"/>
      <c r="AK63" s="63"/>
      <c r="AL63" s="63"/>
      <c r="AM63" s="63"/>
      <c r="AN63" s="63"/>
      <c r="AO63" s="63"/>
      <c r="AP63" s="63"/>
      <c r="AQ63" s="63"/>
      <c r="AR63" s="63"/>
      <c r="AS63" s="63"/>
      <c r="AT63" s="63"/>
      <c r="AU63" s="63"/>
      <c r="AV63" s="63"/>
      <c r="AW63" s="63"/>
      <c r="AX63" s="63"/>
      <c r="AY63" s="63"/>
      <c r="AZ63" s="63"/>
      <c r="BA63" s="63"/>
      <c r="BB63" s="63"/>
      <c r="BC63" s="63"/>
    </row>
    <row r="64" spans="2:55" ht="14.25">
      <c r="B64" s="64"/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H64" s="65"/>
      <c r="AI64" s="65"/>
      <c r="AJ64" s="65"/>
      <c r="AK64" s="65"/>
      <c r="AL64" s="65"/>
      <c r="AM64" s="65"/>
      <c r="AN64" s="65"/>
      <c r="AO64" s="65"/>
      <c r="AP64" s="65"/>
      <c r="AQ64" s="65"/>
      <c r="AR64" s="64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</row>
    <row r="65" spans="2:5">
      <c r="B65" s="7" t="s">
        <v>19</v>
      </c>
    </row>
    <row r="66" spans="2:5">
      <c r="B66" s="7" t="s">
        <v>17</v>
      </c>
      <c r="C66" s="66" t="e">
        <f>AVERAGE(C53:AG53)+0.577*C69</f>
        <v>#DIV/0!</v>
      </c>
    </row>
    <row r="67" spans="2:5">
      <c r="B67" s="7" t="s">
        <v>2</v>
      </c>
      <c r="C67" s="66" t="e">
        <f>AVERAGE(C53:AG53)</f>
        <v>#DIV/0!</v>
      </c>
      <c r="D67" s="67" t="s">
        <v>23</v>
      </c>
      <c r="E67" s="7" t="e">
        <f>STDEV(C48:AF52)</f>
        <v>#DIV/0!</v>
      </c>
    </row>
    <row r="68" spans="2:5">
      <c r="B68" s="7" t="s">
        <v>18</v>
      </c>
      <c r="C68" s="66" t="e">
        <f>C67-0.577*C69</f>
        <v>#DIV/0!</v>
      </c>
    </row>
    <row r="69" spans="2:5">
      <c r="B69" s="7" t="s">
        <v>8</v>
      </c>
      <c r="C69" s="66" t="e">
        <f>2.115*(SUM(C54:AG54)/COUNTIF(C54:AG54,"&lt;&gt;0"))</f>
        <v>#DIV/0!</v>
      </c>
    </row>
    <row r="71" spans="2:5">
      <c r="B71" s="7" t="s">
        <v>20</v>
      </c>
    </row>
    <row r="73" spans="2:5">
      <c r="B73" s="7" t="s">
        <v>21</v>
      </c>
      <c r="C73" s="66" t="e">
        <f>E7/(6*E67)</f>
        <v>#DIV/0!</v>
      </c>
    </row>
    <row r="74" spans="2:5">
      <c r="B74" s="7" t="s">
        <v>22</v>
      </c>
      <c r="C74" s="66" t="e">
        <f>MIN((E4-C67)/(3*E67),(C67-E6)/(3*E67))</f>
        <v>#DIV/0!</v>
      </c>
    </row>
    <row r="75" spans="2:5">
      <c r="C75" s="7">
        <f>COUNTIF(C10:AG10,"&gt;0")</f>
        <v>0</v>
      </c>
    </row>
  </sheetData>
  <sheetProtection algorithmName="SHA-512" hashValue="KwJ6i9ipNJm32uamY8JWvKoQUIZJZZWy7hwjnym3gO6CjzDyquLnA9IkEbBXFbzOTQxpN++NpOqZ7UqnFE56pw==" saltValue="7zAmDd1DBkmPSYxv/lkWlQ==" spinCount="100000" sheet="1" objects="1" scenarios="1" selectLockedCells="1"/>
  <mergeCells count="29">
    <mergeCell ref="B21:B22"/>
    <mergeCell ref="I2:J3"/>
    <mergeCell ref="K2:L3"/>
    <mergeCell ref="M2:Q3"/>
    <mergeCell ref="R2:T2"/>
    <mergeCell ref="R3:T3"/>
    <mergeCell ref="AD4:AG5"/>
    <mergeCell ref="B13:B14"/>
    <mergeCell ref="B15:B16"/>
    <mergeCell ref="B17:B18"/>
    <mergeCell ref="B19:B20"/>
    <mergeCell ref="Z4:AC5"/>
    <mergeCell ref="G62:K63"/>
    <mergeCell ref="B23:B24"/>
    <mergeCell ref="B25:B26"/>
    <mergeCell ref="B27:B28"/>
    <mergeCell ref="B29:B30"/>
    <mergeCell ref="B31:B32"/>
    <mergeCell ref="B33:B34"/>
    <mergeCell ref="B36:B37"/>
    <mergeCell ref="B41:B42"/>
    <mergeCell ref="B57:E57"/>
    <mergeCell ref="B59:D59"/>
    <mergeCell ref="B62:F63"/>
    <mergeCell ref="L62:R63"/>
    <mergeCell ref="S62:V63"/>
    <mergeCell ref="W62:AB63"/>
    <mergeCell ref="AC62:AG63"/>
    <mergeCell ref="AS64:BC64"/>
  </mergeCells>
  <conditionalFormatting sqref="C48:AG52">
    <cfRule type="expression" dxfId="1" priority="1">
      <formula>(C48&gt;$G$4)*(C48&lt;&gt;0)</formula>
    </cfRule>
    <cfRule type="expression" dxfId="0" priority="2">
      <formula>(C48&lt;$G$6)*(C48&lt;&gt;0)</formula>
    </cfRule>
  </conditionalFormatting>
  <dataValidations count="3">
    <dataValidation type="whole" showInputMessage="1" showErrorMessage="1" errorTitle="Data" error="Digite apenas o dia entre 1 e 31" sqref="E10:AG10" xr:uid="{00000000-0002-0000-0300-000000000000}">
      <formula1>1</formula1>
      <formula2>31</formula2>
    </dataValidation>
    <dataValidation type="whole" showErrorMessage="1" errorTitle="Data" error="Digite apenas o dia entre 1 e 31" sqref="C10:D10" xr:uid="{00000000-0002-0000-0300-000001000000}">
      <formula1>1</formula1>
      <formula2>31</formula2>
    </dataValidation>
    <dataValidation type="list" showErrorMessage="1" promptTitle="Turno" prompt="Escolha" sqref="C11:AG11" xr:uid="{00000000-0002-0000-0300-000002000000}">
      <formula1>Turnos</formula1>
    </dataValidation>
  </dataValidations>
  <printOptions horizontalCentered="1"/>
  <pageMargins left="0" right="0" top="0.59055118110236227" bottom="0.39370078740157483" header="0.39370078740157483" footer="0.23622047244094491"/>
  <pageSetup paperSize="9" scale="60" orientation="landscape" r:id="rId1"/>
  <headerFooter alignWithMargins="0">
    <oddFooter>&amp;RSJCPIL-R 16-143-02 - &amp;A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3</vt:i4>
      </vt:variant>
    </vt:vector>
  </HeadingPairs>
  <TitlesOfParts>
    <vt:vector size="7" baseType="lpstr">
      <vt:lpstr>Configurações</vt:lpstr>
      <vt:lpstr>PESO BOBINA</vt:lpstr>
      <vt:lpstr>ALTURA A3</vt:lpstr>
      <vt:lpstr>OMBRO SHIMA</vt:lpstr>
      <vt:lpstr>'ALTURA A3'!Area_de_impressao</vt:lpstr>
      <vt:lpstr>'OMBRO SHIMA'!Area_de_impressao</vt:lpstr>
      <vt:lpstr>'PESO BOBINA'!Area_de_impressao</vt:lpstr>
    </vt:vector>
  </TitlesOfParts>
  <Company>Panasonic do Brasil LTDA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TSAITO</dc:creator>
  <cp:lastModifiedBy>Osvaldo Martins Torquati</cp:lastModifiedBy>
  <cp:lastPrinted>2021-11-22T13:27:05Z</cp:lastPrinted>
  <dcterms:created xsi:type="dcterms:W3CDTF">2006-05-22T13:55:53Z</dcterms:created>
  <dcterms:modified xsi:type="dcterms:W3CDTF">2022-02-18T18:08:03Z</dcterms:modified>
</cp:coreProperties>
</file>