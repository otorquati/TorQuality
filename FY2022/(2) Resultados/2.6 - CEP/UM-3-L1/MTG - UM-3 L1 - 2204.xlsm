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DADOS\PIL\PUB\QUALIDADE\FY2021\(2) Resultados\2.6 - CEP\UM-3-L1\"/>
    </mc:Choice>
  </mc:AlternateContent>
  <xr:revisionPtr revIDLastSave="0" documentId="13_ncr:1_{19179DAE-988A-41FA-9737-3781996AA906}" xr6:coauthVersionLast="47" xr6:coauthVersionMax="47" xr10:uidLastSave="{00000000-0000-0000-0000-000000000000}"/>
  <bookViews>
    <workbookView xWindow="-120" yWindow="-120" windowWidth="29040" windowHeight="16440" tabRatio="891" activeTab="3" xr2:uid="{00000000-000D-0000-FFFF-FFFF00000000}"/>
  </bookViews>
  <sheets>
    <sheet name="Configurações" sheetId="23" r:id="rId1"/>
    <sheet name="SJCPIL-R 16-303-03 - T1" sheetId="22" r:id="rId2"/>
    <sheet name="SJCPIL-R 16-304-03" sheetId="17" r:id="rId3"/>
    <sheet name="SJCPIL-R 16-308-02" sheetId="21" r:id="rId4"/>
  </sheets>
  <definedNames>
    <definedName name="_xlnm.Print_Area" localSheetId="1">'SJCPIL-R 16-303-03 - T1'!$A$1:$AH$63</definedName>
    <definedName name="_xlnm.Print_Area" localSheetId="2">'SJCPIL-R 16-304-03'!$A$1:$AH$63</definedName>
    <definedName name="_xlnm.Print_Area" localSheetId="3">'SJCPIL-R 16-308-02'!$A$1:$AH$63</definedName>
    <definedName name="Turnos">OFFSET(Configurações!$D$10,,,COUNTA(Configurações!$D$10:$D$16))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6" i="21" l="1"/>
  <c r="B56" i="17"/>
  <c r="AD4" i="22"/>
  <c r="Z4" i="22"/>
  <c r="K2" i="21" l="1"/>
  <c r="K2" i="17"/>
  <c r="AD4" i="21"/>
  <c r="AD4" i="17"/>
  <c r="Z4" i="21"/>
  <c r="Z4" i="17"/>
  <c r="C75" i="22"/>
  <c r="E67" i="22"/>
  <c r="C73" i="22" s="1"/>
  <c r="AG54" i="22"/>
  <c r="AF54" i="22"/>
  <c r="AE54" i="22"/>
  <c r="AD54" i="22"/>
  <c r="AC54" i="22"/>
  <c r="AB54" i="22"/>
  <c r="AA54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AG53" i="22"/>
  <c r="AF53" i="22"/>
  <c r="AE53" i="22"/>
  <c r="AD53" i="22"/>
  <c r="AC53" i="22"/>
  <c r="AB53" i="22"/>
  <c r="AA53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E6" i="22"/>
  <c r="G5" i="22"/>
  <c r="G6" i="22" s="1"/>
  <c r="E4" i="22"/>
  <c r="G4" i="22" l="1"/>
  <c r="C67" i="22"/>
  <c r="C74" i="22" s="1"/>
  <c r="C69" i="22"/>
  <c r="C66" i="22" s="1"/>
  <c r="C68" i="22" l="1"/>
  <c r="E6" i="21"/>
  <c r="G5" i="21"/>
  <c r="G4" i="21" s="1"/>
  <c r="E4" i="21"/>
  <c r="C75" i="21"/>
  <c r="E67" i="21"/>
  <c r="C73" i="21" s="1"/>
  <c r="AG54" i="21"/>
  <c r="AF54" i="21"/>
  <c r="AE54" i="21"/>
  <c r="AD54" i="21"/>
  <c r="AC54" i="21"/>
  <c r="AB54" i="21"/>
  <c r="AA54" i="21"/>
  <c r="Z54" i="21"/>
  <c r="Y54" i="21"/>
  <c r="X54" i="21"/>
  <c r="W54" i="21"/>
  <c r="V54" i="21"/>
  <c r="U54" i="21"/>
  <c r="T54" i="21"/>
  <c r="S54" i="21"/>
  <c r="R54" i="21"/>
  <c r="Q54" i="21"/>
  <c r="P54" i="21"/>
  <c r="O54" i="21"/>
  <c r="N54" i="21"/>
  <c r="M54" i="21"/>
  <c r="L54" i="21"/>
  <c r="K54" i="21"/>
  <c r="J54" i="21"/>
  <c r="I54" i="21"/>
  <c r="H54" i="21"/>
  <c r="G54" i="21"/>
  <c r="F54" i="21"/>
  <c r="E54" i="21"/>
  <c r="D54" i="21"/>
  <c r="C54" i="21"/>
  <c r="AG53" i="21"/>
  <c r="AF53" i="21"/>
  <c r="AE53" i="21"/>
  <c r="AD53" i="21"/>
  <c r="AC53" i="21"/>
  <c r="AB53" i="21"/>
  <c r="AA53" i="21"/>
  <c r="Z53" i="21"/>
  <c r="Y53" i="21"/>
  <c r="X53" i="21"/>
  <c r="W53" i="21"/>
  <c r="V53" i="21"/>
  <c r="U53" i="21"/>
  <c r="T53" i="21"/>
  <c r="S53" i="21"/>
  <c r="R53" i="21"/>
  <c r="Q53" i="21"/>
  <c r="P53" i="21"/>
  <c r="O53" i="21"/>
  <c r="N53" i="21"/>
  <c r="M53" i="21"/>
  <c r="L53" i="21"/>
  <c r="K53" i="21"/>
  <c r="J53" i="21"/>
  <c r="I53" i="21"/>
  <c r="H53" i="21"/>
  <c r="G53" i="21"/>
  <c r="F53" i="21"/>
  <c r="E53" i="21"/>
  <c r="D53" i="21"/>
  <c r="C53" i="21"/>
  <c r="E6" i="17"/>
  <c r="G5" i="17"/>
  <c r="G6" i="17" s="1"/>
  <c r="E4" i="17"/>
  <c r="C75" i="17"/>
  <c r="E67" i="17"/>
  <c r="C73" i="17" s="1"/>
  <c r="AG54" i="17"/>
  <c r="AF54" i="17"/>
  <c r="AE54" i="17"/>
  <c r="AD54" i="17"/>
  <c r="AC54" i="17"/>
  <c r="AB54" i="17"/>
  <c r="AA54" i="17"/>
  <c r="Z54" i="17"/>
  <c r="Y54" i="17"/>
  <c r="X54" i="17"/>
  <c r="W54" i="17"/>
  <c r="V54" i="17"/>
  <c r="U54" i="17"/>
  <c r="T54" i="17"/>
  <c r="S54" i="17"/>
  <c r="R54" i="17"/>
  <c r="Q54" i="17"/>
  <c r="P54" i="17"/>
  <c r="O54" i="17"/>
  <c r="N54" i="17"/>
  <c r="M54" i="17"/>
  <c r="L54" i="17"/>
  <c r="K54" i="17"/>
  <c r="J54" i="17"/>
  <c r="I54" i="17"/>
  <c r="H54" i="17"/>
  <c r="G54" i="17"/>
  <c r="F54" i="17"/>
  <c r="E54" i="17"/>
  <c r="D54" i="17"/>
  <c r="C54" i="17"/>
  <c r="AG53" i="17"/>
  <c r="AF53" i="17"/>
  <c r="AE53" i="17"/>
  <c r="AD53" i="17"/>
  <c r="AC53" i="17"/>
  <c r="AB53" i="17"/>
  <c r="AA53" i="17"/>
  <c r="Z53" i="17"/>
  <c r="Y53" i="17"/>
  <c r="X53" i="17"/>
  <c r="W53" i="17"/>
  <c r="V53" i="17"/>
  <c r="U53" i="17"/>
  <c r="T53" i="17"/>
  <c r="S53" i="17"/>
  <c r="R53" i="17"/>
  <c r="Q53" i="17"/>
  <c r="P53" i="17"/>
  <c r="O53" i="17"/>
  <c r="N53" i="17"/>
  <c r="M53" i="17"/>
  <c r="L53" i="17"/>
  <c r="K53" i="17"/>
  <c r="J53" i="17"/>
  <c r="I53" i="17"/>
  <c r="H53" i="17"/>
  <c r="G53" i="17"/>
  <c r="F53" i="17"/>
  <c r="E53" i="17"/>
  <c r="D53" i="17"/>
  <c r="C53" i="17"/>
  <c r="G4" i="17" l="1"/>
  <c r="G6" i="21"/>
  <c r="C69" i="21"/>
  <c r="C66" i="21" s="1"/>
  <c r="C67" i="21"/>
  <c r="C74" i="21" s="1"/>
  <c r="C69" i="17"/>
  <c r="C66" i="17" s="1"/>
  <c r="C67" i="17"/>
  <c r="C74" i="17" s="1"/>
  <c r="C68" i="21" l="1"/>
  <c r="C68" i="17"/>
</calcChain>
</file>

<file path=xl/sharedStrings.xml><?xml version="1.0" encoding="utf-8"?>
<sst xmlns="http://schemas.openxmlformats.org/spreadsheetml/2006/main" count="166" uniqueCount="58">
  <si>
    <t>SETOR:  MONTAGEM</t>
  </si>
  <si>
    <t>LSE=</t>
  </si>
  <si>
    <t>X</t>
  </si>
  <si>
    <t xml:space="preserve"> LC=</t>
  </si>
  <si>
    <t>D=diurno</t>
  </si>
  <si>
    <t>LIE=</t>
  </si>
  <si>
    <t>1 vez / turno</t>
  </si>
  <si>
    <t>N=noturno</t>
  </si>
  <si>
    <t>R</t>
  </si>
  <si>
    <t>Medida: unid.(mm)</t>
  </si>
  <si>
    <t>Grupo</t>
  </si>
  <si>
    <t>Data</t>
  </si>
  <si>
    <t>Visto do operador</t>
  </si>
  <si>
    <t>Especificação</t>
  </si>
  <si>
    <t>Visto:</t>
  </si>
  <si>
    <t>Média</t>
  </si>
  <si>
    <t>Data:</t>
  </si>
  <si>
    <t>LSC</t>
  </si>
  <si>
    <t>LIC</t>
  </si>
  <si>
    <t>Limites Calculados</t>
  </si>
  <si>
    <t>Cálculo de Cp e Cpk</t>
  </si>
  <si>
    <t>Cp</t>
  </si>
  <si>
    <t>Cpk</t>
  </si>
  <si>
    <t>S</t>
  </si>
  <si>
    <t>Característica:</t>
  </si>
  <si>
    <t>Máquina:</t>
  </si>
  <si>
    <t>Modelo:</t>
  </si>
  <si>
    <t>Legenda:</t>
  </si>
  <si>
    <t>Limites de Controle</t>
  </si>
  <si>
    <t>Limites de Especificação</t>
  </si>
  <si>
    <t>Diário de Bordo:</t>
  </si>
  <si>
    <t>Amostra n= 5</t>
  </si>
  <si>
    <t>Produção:</t>
  </si>
  <si>
    <t>Controle da Qualidade:</t>
  </si>
  <si>
    <t>LSC=</t>
  </si>
  <si>
    <t>LIC=</t>
  </si>
  <si>
    <t>Peso da Bobina</t>
  </si>
  <si>
    <t>Máquina de Carvão</t>
  </si>
  <si>
    <t>Altura ombro da bobina (A3)</t>
  </si>
  <si>
    <t>Shima</t>
  </si>
  <si>
    <t>Altura ombro após Shima</t>
  </si>
  <si>
    <t>Turno</t>
  </si>
  <si>
    <t>CONTROLE ESTATÍSTICO DO PROCESSO (CEP)</t>
  </si>
  <si>
    <t>Tampão Nº  1</t>
  </si>
  <si>
    <t xml:space="preserve">Data: </t>
  </si>
  <si>
    <t>Gerência</t>
  </si>
  <si>
    <t>Sistema de Gestão Integrado</t>
  </si>
  <si>
    <t>Panasonic do Brasil Limitada</t>
  </si>
  <si>
    <t>SJCPIL-i 16-301-XX</t>
  </si>
  <si>
    <t>SJCPIL-I 16-303-XX</t>
  </si>
  <si>
    <t>SJCPIL-I 16-309-XX</t>
  </si>
  <si>
    <t>UM-3 L1</t>
  </si>
  <si>
    <t>Configurações</t>
  </si>
  <si>
    <t>Responsável</t>
  </si>
  <si>
    <t>D</t>
  </si>
  <si>
    <t>Turnos</t>
  </si>
  <si>
    <t>N</t>
  </si>
  <si>
    <t>Visto do Lider / Sublíder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</si>
</sst>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_);_(* \(#,##0\);_(* &quot;-&quot;_);_(@_)"/>
    <numFmt numFmtId="165" formatCode="_(* #,##0.00_);_(* \(#,##0.00\);_(* &quot;-&quot;??_);_(@_)"/>
    <numFmt numFmtId="166" formatCode="&quot;W&quot;#,##0;[Red]\-&quot;W&quot;#,##0"/>
    <numFmt numFmtId="167" formatCode="&quot;W&quot;#,##0.00;[Red]\-&quot;W&quot;#,##0.00"/>
    <numFmt numFmtId="168" formatCode="0.00_)"/>
  </numFmts>
  <fonts count="26">
    <font>
      <sz val="10"/>
      <name val="Arial"/>
    </font>
    <font>
      <sz val="8"/>
      <name val="Arial"/>
      <family val="2"/>
    </font>
    <font>
      <b/>
      <i/>
      <sz val="16"/>
      <name val="Helv"/>
      <family val="2"/>
    </font>
    <font>
      <sz val="11"/>
      <name val="明朝"/>
      <family val="1"/>
      <charset val="128"/>
    </font>
    <font>
      <sz val="10"/>
      <name val="Arial"/>
      <family val="2"/>
    </font>
    <font>
      <sz val="12"/>
      <name val="ＭＳ ゴシック"/>
      <family val="3"/>
      <charset val="128"/>
    </font>
    <font>
      <sz val="10"/>
      <name val="Times New Roman"/>
      <family val="1"/>
    </font>
    <font>
      <sz val="9"/>
      <name val="Times New Roman"/>
      <family val="1"/>
    </font>
    <font>
      <sz val="12"/>
      <name val="Times New Roman"/>
      <family val="1"/>
    </font>
    <font>
      <b/>
      <u/>
      <sz val="16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name val="Arial Narrow"/>
      <family val="2"/>
    </font>
    <font>
      <sz val="14"/>
      <name val="Arial Narrow"/>
      <family val="2"/>
    </font>
    <font>
      <sz val="11"/>
      <name val="Arial Narrow"/>
      <family val="2"/>
    </font>
    <font>
      <sz val="8"/>
      <name val="Arial Narrow"/>
      <family val="2"/>
    </font>
    <font>
      <sz val="12"/>
      <name val="Arial Narrow"/>
      <family val="2"/>
    </font>
    <font>
      <sz val="11"/>
      <name val="Arial"/>
      <family val="2"/>
    </font>
    <font>
      <sz val="16"/>
      <name val="SwitzerlandBlack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indexed="8"/>
      <name val="Arial Narrow"/>
      <family val="2"/>
    </font>
    <font>
      <sz val="16"/>
      <name val="Franklin Gothic Book"/>
      <family val="2"/>
    </font>
    <font>
      <b/>
      <sz val="16"/>
      <name val="Arial"/>
      <family val="2"/>
    </font>
    <font>
      <sz val="16"/>
      <name val="Arial"/>
      <family val="2"/>
    </font>
    <font>
      <sz val="20"/>
      <color rgb="FF0070C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38" fontId="1" fillId="2" borderId="0" applyNumberFormat="0" applyBorder="0" applyAlignment="0" applyProtection="0"/>
    <xf numFmtId="10" fontId="1" fillId="3" borderId="1" applyNumberFormat="0" applyBorder="0" applyAlignment="0" applyProtection="0"/>
    <xf numFmtId="168" fontId="2" fillId="0" borderId="0"/>
    <xf numFmtId="0" fontId="3" fillId="0" borderId="0"/>
    <xf numFmtId="10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37" fontId="5" fillId="0" borderId="0"/>
    <xf numFmtId="167" fontId="3" fillId="0" borderId="0" applyFont="0" applyFill="0" applyBorder="0" applyAlignment="0" applyProtection="0"/>
    <xf numFmtId="166" fontId="3" fillId="0" borderId="0" applyFont="0" applyFill="0" applyBorder="0" applyAlignment="0" applyProtection="0"/>
    <xf numFmtId="0" fontId="4" fillId="0" borderId="0"/>
  </cellStyleXfs>
  <cellXfs count="165">
    <xf numFmtId="0" fontId="0" fillId="0" borderId="0" xfId="0"/>
    <xf numFmtId="0" fontId="12" fillId="0" borderId="0" xfId="4" applyFont="1" applyProtection="1">
      <protection locked="0"/>
    </xf>
    <xf numFmtId="0" fontId="12" fillId="0" borderId="2" xfId="4" applyFont="1" applyBorder="1" applyProtection="1">
      <protection locked="0"/>
    </xf>
    <xf numFmtId="0" fontId="12" fillId="0" borderId="3" xfId="4" applyFont="1" applyBorder="1" applyProtection="1">
      <protection locked="0"/>
    </xf>
    <xf numFmtId="0" fontId="12" fillId="0" borderId="4" xfId="4" applyFont="1" applyBorder="1" applyProtection="1">
      <protection locked="0"/>
    </xf>
    <xf numFmtId="2" fontId="14" fillId="0" borderId="5" xfId="4" applyNumberFormat="1" applyFont="1" applyBorder="1" applyProtection="1">
      <protection locked="0"/>
    </xf>
    <xf numFmtId="2" fontId="14" fillId="0" borderId="6" xfId="4" applyNumberFormat="1" applyFont="1" applyBorder="1" applyProtection="1">
      <protection locked="0"/>
    </xf>
    <xf numFmtId="0" fontId="12" fillId="0" borderId="1" xfId="4" applyFont="1" applyBorder="1" applyAlignment="1" applyProtection="1">
      <alignment horizontal="center"/>
      <protection locked="0"/>
    </xf>
    <xf numFmtId="2" fontId="14" fillId="0" borderId="7" xfId="4" applyNumberFormat="1" applyFont="1" applyBorder="1" applyProtection="1">
      <protection locked="0"/>
    </xf>
    <xf numFmtId="2" fontId="14" fillId="0" borderId="8" xfId="4" applyNumberFormat="1" applyFont="1" applyBorder="1" applyProtection="1">
      <protection locked="0"/>
    </xf>
    <xf numFmtId="0" fontId="12" fillId="0" borderId="9" xfId="4" applyFont="1" applyBorder="1" applyAlignment="1" applyProtection="1">
      <alignment horizontal="center"/>
      <protection locked="0"/>
    </xf>
    <xf numFmtId="2" fontId="14" fillId="0" borderId="10" xfId="4" applyNumberFormat="1" applyFont="1" applyBorder="1" applyProtection="1">
      <protection locked="0"/>
    </xf>
    <xf numFmtId="2" fontId="14" fillId="0" borderId="11" xfId="4" applyNumberFormat="1" applyFont="1" applyBorder="1" applyProtection="1">
      <protection locked="0"/>
    </xf>
    <xf numFmtId="0" fontId="6" fillId="0" borderId="0" xfId="4" applyFont="1"/>
    <xf numFmtId="0" fontId="7" fillId="0" borderId="0" xfId="4" applyFont="1"/>
    <xf numFmtId="0" fontId="8" fillId="0" borderId="0" xfId="4" applyFont="1"/>
    <xf numFmtId="2" fontId="10" fillId="0" borderId="12" xfId="0" applyNumberFormat="1" applyFont="1" applyBorder="1" applyAlignment="1">
      <alignment vertical="center"/>
    </xf>
    <xf numFmtId="2" fontId="9" fillId="0" borderId="12" xfId="0" applyNumberFormat="1" applyFont="1" applyBorder="1" applyAlignment="1">
      <alignment vertical="center"/>
    </xf>
    <xf numFmtId="0" fontId="8" fillId="0" borderId="12" xfId="4" applyFont="1" applyBorder="1"/>
    <xf numFmtId="0" fontId="11" fillId="0" borderId="12" xfId="0" applyFont="1" applyBorder="1" applyAlignment="1">
      <alignment vertical="center"/>
    </xf>
    <xf numFmtId="0" fontId="11" fillId="0" borderId="13" xfId="0" applyFont="1" applyBorder="1" applyAlignment="1">
      <alignment vertical="center"/>
    </xf>
    <xf numFmtId="0" fontId="10" fillId="0" borderId="14" xfId="4" applyFont="1" applyBorder="1"/>
    <xf numFmtId="0" fontId="6" fillId="0" borderId="14" xfId="4" applyFont="1" applyBorder="1"/>
    <xf numFmtId="0" fontId="11" fillId="0" borderId="3" xfId="0" applyFont="1" applyBorder="1" applyAlignment="1">
      <alignment vertical="center"/>
    </xf>
    <xf numFmtId="0" fontId="11" fillId="0" borderId="4" xfId="0" applyFont="1" applyBorder="1" applyAlignment="1">
      <alignment vertical="center"/>
    </xf>
    <xf numFmtId="0" fontId="12" fillId="0" borderId="15" xfId="4" applyFont="1" applyBorder="1"/>
    <xf numFmtId="0" fontId="12" fillId="0" borderId="16" xfId="0" applyFont="1" applyBorder="1" applyAlignment="1">
      <alignment horizontal="left" vertical="center"/>
    </xf>
    <xf numFmtId="2" fontId="12" fillId="0" borderId="17" xfId="4" applyNumberFormat="1" applyFont="1" applyBorder="1" applyAlignment="1">
      <alignment horizontal="center"/>
    </xf>
    <xf numFmtId="0" fontId="12" fillId="4" borderId="18" xfId="0" applyFont="1" applyFill="1" applyBorder="1" applyAlignment="1">
      <alignment horizontal="left" vertical="center"/>
    </xf>
    <xf numFmtId="2" fontId="12" fillId="4" borderId="13" xfId="4" applyNumberFormat="1" applyFont="1" applyFill="1" applyBorder="1" applyAlignment="1">
      <alignment horizontal="center"/>
    </xf>
    <xf numFmtId="0" fontId="12" fillId="0" borderId="0" xfId="0" applyFont="1" applyAlignment="1">
      <alignment vertical="center"/>
    </xf>
    <xf numFmtId="2" fontId="12" fillId="0" borderId="0" xfId="4" applyNumberFormat="1" applyFont="1"/>
    <xf numFmtId="0" fontId="12" fillId="0" borderId="0" xfId="4" applyFont="1" applyAlignment="1">
      <alignment vertical="center"/>
    </xf>
    <xf numFmtId="0" fontId="12" fillId="0" borderId="0" xfId="4" applyFont="1" applyAlignment="1">
      <alignment horizontal="center" vertical="center"/>
    </xf>
    <xf numFmtId="0" fontId="12" fillId="0" borderId="19" xfId="0" applyFont="1" applyBorder="1" applyAlignment="1">
      <alignment horizontal="left" vertical="center"/>
    </xf>
    <xf numFmtId="2" fontId="12" fillId="0" borderId="20" xfId="4" applyNumberFormat="1" applyFont="1" applyBorder="1" applyAlignment="1">
      <alignment horizontal="center" vertical="center"/>
    </xf>
    <xf numFmtId="0" fontId="12" fillId="4" borderId="21" xfId="0" applyFont="1" applyFill="1" applyBorder="1" applyAlignment="1">
      <alignment horizontal="left" vertical="center"/>
    </xf>
    <xf numFmtId="2" fontId="21" fillId="4" borderId="22" xfId="4" applyNumberFormat="1" applyFont="1" applyFill="1" applyBorder="1" applyAlignment="1">
      <alignment horizontal="center" vertical="center"/>
    </xf>
    <xf numFmtId="0" fontId="12" fillId="0" borderId="23" xfId="4" applyFont="1" applyBorder="1" applyAlignment="1">
      <alignment vertical="center"/>
    </xf>
    <xf numFmtId="0" fontId="12" fillId="4" borderId="25" xfId="0" applyFont="1" applyFill="1" applyBorder="1" applyAlignment="1">
      <alignment horizontal="left" vertical="center"/>
    </xf>
    <xf numFmtId="2" fontId="12" fillId="4" borderId="26" xfId="4" applyNumberFormat="1" applyFont="1" applyFill="1" applyBorder="1" applyAlignment="1">
      <alignment horizontal="center" vertical="center"/>
    </xf>
    <xf numFmtId="0" fontId="12" fillId="0" borderId="18" xfId="4" applyFont="1" applyBorder="1" applyAlignment="1">
      <alignment horizontal="center"/>
    </xf>
    <xf numFmtId="0" fontId="12" fillId="0" borderId="0" xfId="4" applyFont="1"/>
    <xf numFmtId="0" fontId="12" fillId="0" borderId="21" xfId="4" applyFont="1" applyBorder="1" applyAlignment="1">
      <alignment horizontal="center"/>
    </xf>
    <xf numFmtId="0" fontId="12" fillId="0" borderId="27" xfId="4" applyFont="1" applyBorder="1" applyAlignment="1">
      <alignment horizontal="center"/>
    </xf>
    <xf numFmtId="0" fontId="12" fillId="0" borderId="27" xfId="4" applyFont="1" applyBorder="1"/>
    <xf numFmtId="0" fontId="12" fillId="0" borderId="2" xfId="4" applyFont="1" applyBorder="1"/>
    <xf numFmtId="2" fontId="12" fillId="0" borderId="28" xfId="4" applyNumberFormat="1" applyFont="1" applyBorder="1" applyAlignment="1">
      <alignment horizontal="right" vertical="center"/>
    </xf>
    <xf numFmtId="0" fontId="15" fillId="0" borderId="28" xfId="4" applyFont="1" applyBorder="1" applyAlignment="1">
      <alignment horizontal="right" vertical="center"/>
    </xf>
    <xf numFmtId="0" fontId="12" fillId="0" borderId="29" xfId="4" applyFont="1" applyBorder="1"/>
    <xf numFmtId="0" fontId="12" fillId="0" borderId="30" xfId="4" applyFont="1" applyBorder="1"/>
    <xf numFmtId="0" fontId="15" fillId="0" borderId="31" xfId="4" applyFont="1" applyBorder="1" applyAlignment="1">
      <alignment horizontal="right" vertical="center"/>
    </xf>
    <xf numFmtId="0" fontId="12" fillId="0" borderId="3" xfId="4" applyFont="1" applyBorder="1"/>
    <xf numFmtId="0" fontId="12" fillId="0" borderId="4" xfId="4" applyFont="1" applyBorder="1"/>
    <xf numFmtId="0" fontId="12" fillId="0" borderId="28" xfId="4" applyFont="1" applyBorder="1" applyAlignment="1">
      <alignment vertical="center"/>
    </xf>
    <xf numFmtId="0" fontId="12" fillId="0" borderId="32" xfId="4" applyFont="1" applyBorder="1" applyAlignment="1">
      <alignment horizontal="center" vertical="center"/>
    </xf>
    <xf numFmtId="0" fontId="14" fillId="0" borderId="0" xfId="4" applyFont="1"/>
    <xf numFmtId="0" fontId="12" fillId="0" borderId="21" xfId="4" quotePrefix="1" applyFont="1" applyBorder="1" applyAlignment="1">
      <alignment horizontal="center" vertical="center"/>
    </xf>
    <xf numFmtId="2" fontId="14" fillId="0" borderId="5" xfId="4" applyNumberFormat="1" applyFont="1" applyBorder="1"/>
    <xf numFmtId="2" fontId="14" fillId="0" borderId="8" xfId="4" applyNumberFormat="1" applyFont="1" applyBorder="1"/>
    <xf numFmtId="2" fontId="14" fillId="0" borderId="11" xfId="4" applyNumberFormat="1" applyFont="1" applyBorder="1"/>
    <xf numFmtId="0" fontId="12" fillId="0" borderId="21" xfId="4" applyFont="1" applyBorder="1" applyAlignment="1">
      <alignment horizontal="center" vertical="center"/>
    </xf>
    <xf numFmtId="2" fontId="14" fillId="0" borderId="33" xfId="4" applyNumberFormat="1" applyFont="1" applyBorder="1"/>
    <xf numFmtId="2" fontId="14" fillId="0" borderId="34" xfId="4" applyNumberFormat="1" applyFont="1" applyBorder="1"/>
    <xf numFmtId="0" fontId="4" fillId="0" borderId="36" xfId="0" applyFont="1" applyBorder="1" applyAlignment="1">
      <alignment horizontal="center" vertical="center"/>
    </xf>
    <xf numFmtId="0" fontId="12" fillId="0" borderId="29" xfId="4" applyFont="1" applyBorder="1" applyAlignment="1">
      <alignment vertical="top"/>
    </xf>
    <xf numFmtId="0" fontId="12" fillId="0" borderId="28" xfId="4" applyFont="1" applyBorder="1"/>
    <xf numFmtId="0" fontId="12" fillId="0" borderId="31" xfId="4" applyFont="1" applyBorder="1" applyAlignment="1">
      <alignment horizontal="center" vertical="top"/>
    </xf>
    <xf numFmtId="0" fontId="12" fillId="0" borderId="3" xfId="4" applyFont="1" applyBorder="1" applyAlignment="1">
      <alignment horizontal="left" vertical="top"/>
    </xf>
    <xf numFmtId="0" fontId="16" fillId="0" borderId="0" xfId="0" applyFont="1" applyAlignment="1">
      <alignment horizontal="left"/>
    </xf>
    <xf numFmtId="0" fontId="1" fillId="0" borderId="0" xfId="0" applyFont="1"/>
    <xf numFmtId="0" fontId="17" fillId="0" borderId="0" xfId="0" applyFont="1"/>
    <xf numFmtId="2" fontId="6" fillId="0" borderId="0" xfId="4" applyNumberFormat="1" applyFont="1"/>
    <xf numFmtId="0" fontId="6" fillId="0" borderId="0" xfId="4" applyFont="1" applyAlignment="1">
      <alignment horizontal="center"/>
    </xf>
    <xf numFmtId="0" fontId="12" fillId="0" borderId="38" xfId="4" applyFont="1" applyBorder="1" applyProtection="1">
      <protection locked="0"/>
    </xf>
    <xf numFmtId="0" fontId="12" fillId="0" borderId="39" xfId="4" applyFont="1" applyBorder="1" applyProtection="1">
      <protection locked="0"/>
    </xf>
    <xf numFmtId="0" fontId="14" fillId="0" borderId="40" xfId="4" applyFont="1" applyBorder="1" applyProtection="1">
      <protection locked="0"/>
    </xf>
    <xf numFmtId="0" fontId="14" fillId="0" borderId="41" xfId="4" applyFont="1" applyBorder="1" applyProtection="1">
      <protection locked="0"/>
    </xf>
    <xf numFmtId="0" fontId="14" fillId="0" borderId="42" xfId="4" applyFont="1" applyBorder="1" applyProtection="1">
      <protection locked="0"/>
    </xf>
    <xf numFmtId="0" fontId="14" fillId="0" borderId="43" xfId="4" applyFont="1" applyBorder="1" applyProtection="1">
      <protection locked="0"/>
    </xf>
    <xf numFmtId="0" fontId="14" fillId="0" borderId="44" xfId="4" applyFont="1" applyBorder="1" applyProtection="1">
      <protection locked="0"/>
    </xf>
    <xf numFmtId="0" fontId="14" fillId="0" borderId="45" xfId="4" applyFont="1" applyBorder="1" applyProtection="1">
      <protection locked="0"/>
    </xf>
    <xf numFmtId="0" fontId="6" fillId="0" borderId="28" xfId="4" applyFont="1" applyBorder="1"/>
    <xf numFmtId="0" fontId="15" fillId="0" borderId="57" xfId="4" applyFont="1" applyBorder="1" applyAlignment="1">
      <alignment horizontal="center" vertical="center"/>
    </xf>
    <xf numFmtId="0" fontId="15" fillId="0" borderId="58" xfId="4" applyFont="1" applyBorder="1" applyAlignment="1">
      <alignment horizontal="center" vertical="center"/>
    </xf>
    <xf numFmtId="0" fontId="15" fillId="0" borderId="57" xfId="4" applyFont="1" applyBorder="1" applyAlignment="1">
      <alignment horizontal="left" vertical="center"/>
    </xf>
    <xf numFmtId="0" fontId="12" fillId="0" borderId="0" xfId="4" applyFont="1" applyAlignment="1">
      <alignment vertical="center" wrapText="1"/>
    </xf>
    <xf numFmtId="0" fontId="12" fillId="0" borderId="2" xfId="4" applyFont="1" applyBorder="1" applyAlignment="1">
      <alignment vertical="center"/>
    </xf>
    <xf numFmtId="0" fontId="12" fillId="0" borderId="59" xfId="4" applyFont="1" applyBorder="1" applyAlignment="1">
      <alignment vertical="center"/>
    </xf>
    <xf numFmtId="0" fontId="12" fillId="0" borderId="3" xfId="4" applyFont="1" applyBorder="1" applyAlignment="1">
      <alignment horizontal="center" vertical="center"/>
    </xf>
    <xf numFmtId="0" fontId="12" fillId="0" borderId="60" xfId="0" applyFont="1" applyBorder="1" applyAlignment="1">
      <alignment horizontal="left" vertical="center"/>
    </xf>
    <xf numFmtId="2" fontId="12" fillId="0" borderId="14" xfId="4" applyNumberFormat="1" applyFont="1" applyBorder="1" applyAlignment="1">
      <alignment horizontal="center" vertical="center"/>
    </xf>
    <xf numFmtId="0" fontId="12" fillId="0" borderId="3" xfId="0" applyFont="1" applyBorder="1" applyAlignment="1">
      <alignment vertical="center"/>
    </xf>
    <xf numFmtId="0" fontId="12" fillId="0" borderId="3" xfId="4" applyFont="1" applyBorder="1" applyAlignment="1">
      <alignment vertical="center"/>
    </xf>
    <xf numFmtId="0" fontId="12" fillId="0" borderId="3" xfId="4" applyFont="1" applyBorder="1" applyAlignment="1">
      <alignment vertical="center" wrapText="1"/>
    </xf>
    <xf numFmtId="0" fontId="12" fillId="0" borderId="4" xfId="4" applyFont="1" applyBorder="1" applyAlignment="1">
      <alignment vertical="center"/>
    </xf>
    <xf numFmtId="0" fontId="6" fillId="0" borderId="62" xfId="4" applyFont="1" applyBorder="1"/>
    <xf numFmtId="0" fontId="6" fillId="0" borderId="63" xfId="4" applyFont="1" applyBorder="1"/>
    <xf numFmtId="0" fontId="22" fillId="0" borderId="61" xfId="4" quotePrefix="1" applyFont="1" applyBorder="1" applyAlignment="1">
      <alignment horizontal="left"/>
    </xf>
    <xf numFmtId="0" fontId="17" fillId="0" borderId="53" xfId="0" applyFont="1" applyBorder="1" applyAlignment="1">
      <alignment horizontal="centerContinuous" vertical="center"/>
    </xf>
    <xf numFmtId="0" fontId="17" fillId="0" borderId="29" xfId="0" applyFont="1" applyBorder="1" applyAlignment="1">
      <alignment horizontal="centerContinuous" vertical="center"/>
    </xf>
    <xf numFmtId="0" fontId="17" fillId="0" borderId="29" xfId="0" applyFont="1" applyBorder="1" applyAlignment="1">
      <alignment horizontal="centerContinuous"/>
    </xf>
    <xf numFmtId="0" fontId="17" fillId="0" borderId="29" xfId="4" applyFont="1" applyBorder="1" applyAlignment="1">
      <alignment horizontal="centerContinuous"/>
    </xf>
    <xf numFmtId="0" fontId="23" fillId="0" borderId="28" xfId="0" applyFont="1" applyBorder="1" applyAlignment="1">
      <alignment horizontal="centerContinuous" vertical="center"/>
    </xf>
    <xf numFmtId="0" fontId="23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/>
    </xf>
    <xf numFmtId="0" fontId="24" fillId="0" borderId="0" xfId="4" applyFont="1" applyAlignment="1">
      <alignment horizontal="centerContinuous"/>
    </xf>
    <xf numFmtId="1" fontId="12" fillId="0" borderId="1" xfId="4" applyNumberFormat="1" applyFont="1" applyBorder="1" applyAlignment="1" applyProtection="1">
      <alignment horizontal="center"/>
      <protection locked="0"/>
    </xf>
    <xf numFmtId="0" fontId="14" fillId="0" borderId="34" xfId="4" applyFont="1" applyBorder="1"/>
    <xf numFmtId="0" fontId="14" fillId="0" borderId="35" xfId="4" applyFont="1" applyBorder="1"/>
    <xf numFmtId="14" fontId="12" fillId="0" borderId="0" xfId="4" applyNumberFormat="1" applyFont="1" applyProtection="1">
      <protection locked="0"/>
    </xf>
    <xf numFmtId="0" fontId="25" fillId="0" borderId="0" xfId="11" applyFont="1"/>
    <xf numFmtId="0" fontId="4" fillId="0" borderId="0" xfId="11"/>
    <xf numFmtId="0" fontId="4" fillId="5" borderId="0" xfId="11" applyFill="1" applyProtection="1">
      <protection locked="0"/>
    </xf>
    <xf numFmtId="0" fontId="19" fillId="0" borderId="0" xfId="11" applyFont="1"/>
    <xf numFmtId="0" fontId="4" fillId="0" borderId="37" xfId="0" applyFont="1" applyBorder="1" applyAlignment="1">
      <alignment horizontal="center" vertical="center" wrapText="1"/>
    </xf>
    <xf numFmtId="0" fontId="19" fillId="0" borderId="0" xfId="11" applyFont="1" applyAlignment="1">
      <alignment horizontal="right"/>
    </xf>
    <xf numFmtId="0" fontId="0" fillId="0" borderId="46" xfId="0" applyBorder="1" applyAlignment="1">
      <alignment horizontal="left" vertical="center"/>
    </xf>
    <xf numFmtId="0" fontId="0" fillId="0" borderId="24" xfId="0" applyBorder="1" applyAlignment="1">
      <alignment horizontal="left" vertical="center"/>
    </xf>
    <xf numFmtId="0" fontId="16" fillId="0" borderId="46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16" fillId="0" borderId="47" xfId="0" applyFont="1" applyBorder="1" applyAlignment="1">
      <alignment horizontal="left" vertical="center"/>
    </xf>
    <xf numFmtId="0" fontId="16" fillId="0" borderId="48" xfId="0" applyFont="1" applyBorder="1" applyAlignment="1">
      <alignment horizontal="left" vertical="center"/>
    </xf>
    <xf numFmtId="0" fontId="16" fillId="0" borderId="49" xfId="0" applyFont="1" applyBorder="1" applyAlignment="1">
      <alignment horizontal="left" vertical="center"/>
    </xf>
    <xf numFmtId="0" fontId="16" fillId="0" borderId="50" xfId="0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0" fontId="0" fillId="0" borderId="55" xfId="0" applyBorder="1" applyAlignment="1">
      <alignment horizontal="left" vertical="center"/>
    </xf>
    <xf numFmtId="0" fontId="0" fillId="0" borderId="56" xfId="0" applyBorder="1" applyAlignment="1">
      <alignment horizontal="left" vertical="center"/>
    </xf>
    <xf numFmtId="2" fontId="12" fillId="0" borderId="28" xfId="4" applyNumberFormat="1" applyFont="1" applyBorder="1" applyAlignment="1">
      <alignment horizontal="right" vertical="center"/>
    </xf>
    <xf numFmtId="49" fontId="12" fillId="0" borderId="28" xfId="4" applyNumberFormat="1" applyFont="1" applyBorder="1" applyAlignment="1">
      <alignment horizontal="right" vertical="center"/>
    </xf>
    <xf numFmtId="2" fontId="12" fillId="0" borderId="53" xfId="4" applyNumberFormat="1" applyFont="1" applyBorder="1" applyAlignment="1">
      <alignment horizontal="right" vertical="center"/>
    </xf>
    <xf numFmtId="0" fontId="12" fillId="0" borderId="53" xfId="4" applyFont="1" applyBorder="1" applyAlignment="1">
      <alignment horizontal="center" vertical="top"/>
    </xf>
    <xf numFmtId="0" fontId="12" fillId="0" borderId="29" xfId="4" applyFont="1" applyBorder="1" applyAlignment="1">
      <alignment horizontal="center" vertical="top"/>
    </xf>
    <xf numFmtId="0" fontId="12" fillId="0" borderId="30" xfId="4" applyFont="1" applyBorder="1" applyAlignment="1">
      <alignment horizontal="center" vertical="top"/>
    </xf>
    <xf numFmtId="0" fontId="12" fillId="0" borderId="28" xfId="4" applyFont="1" applyBorder="1" applyAlignment="1">
      <alignment horizontal="right" vertical="center"/>
    </xf>
    <xf numFmtId="0" fontId="12" fillId="0" borderId="0" xfId="4" applyFont="1" applyAlignment="1">
      <alignment horizontal="right" vertical="center"/>
    </xf>
    <xf numFmtId="0" fontId="16" fillId="0" borderId="15" xfId="0" applyFont="1" applyBorder="1" applyAlignment="1">
      <alignment horizontal="left" vertical="center"/>
    </xf>
    <xf numFmtId="0" fontId="16" fillId="0" borderId="54" xfId="0" applyFont="1" applyBorder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28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9" fillId="0" borderId="53" xfId="4" applyFont="1" applyBorder="1" applyAlignment="1">
      <alignment horizontal="center" vertical="center"/>
    </xf>
    <xf numFmtId="0" fontId="19" fillId="0" borderId="29" xfId="4" applyFont="1" applyBorder="1" applyAlignment="1">
      <alignment horizontal="center" vertical="center"/>
    </xf>
    <xf numFmtId="0" fontId="19" fillId="0" borderId="31" xfId="4" applyFont="1" applyBorder="1" applyAlignment="1">
      <alignment horizontal="center" vertical="center"/>
    </xf>
    <xf numFmtId="0" fontId="19" fillId="0" borderId="3" xfId="4" applyFont="1" applyBorder="1" applyAlignment="1">
      <alignment horizontal="center" vertical="center"/>
    </xf>
    <xf numFmtId="0" fontId="18" fillId="0" borderId="29" xfId="4" applyFont="1" applyBorder="1" applyAlignment="1">
      <alignment horizontal="center" vertical="center"/>
    </xf>
    <xf numFmtId="0" fontId="18" fillId="0" borderId="30" xfId="4" applyFont="1" applyBorder="1" applyAlignment="1">
      <alignment horizontal="center" vertical="center"/>
    </xf>
    <xf numFmtId="0" fontId="18" fillId="0" borderId="3" xfId="4" applyFont="1" applyBorder="1" applyAlignment="1">
      <alignment horizontal="center" vertical="center"/>
    </xf>
    <xf numFmtId="0" fontId="18" fillId="0" borderId="4" xfId="4" applyFont="1" applyBorder="1" applyAlignment="1">
      <alignment horizontal="center" vertical="center"/>
    </xf>
    <xf numFmtId="0" fontId="20" fillId="0" borderId="53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2" fontId="10" fillId="0" borderId="18" xfId="0" applyNumberFormat="1" applyFont="1" applyBorder="1" applyAlignment="1">
      <alignment horizontal="center" vertical="center"/>
    </xf>
    <xf numFmtId="2" fontId="10" fillId="0" borderId="12" xfId="0" applyNumberFormat="1" applyFont="1" applyBorder="1" applyAlignment="1">
      <alignment horizontal="center" vertical="center"/>
    </xf>
    <xf numFmtId="2" fontId="10" fillId="0" borderId="51" xfId="0" applyNumberFormat="1" applyFont="1" applyBorder="1" applyAlignment="1">
      <alignment horizontal="center" vertical="center"/>
    </xf>
    <xf numFmtId="0" fontId="10" fillId="0" borderId="25" xfId="4" applyFont="1" applyBorder="1" applyAlignment="1">
      <alignment horizontal="center"/>
    </xf>
    <xf numFmtId="0" fontId="10" fillId="0" borderId="14" xfId="4" applyFont="1" applyBorder="1" applyAlignment="1">
      <alignment horizontal="center"/>
    </xf>
    <xf numFmtId="0" fontId="10" fillId="0" borderId="52" xfId="4" applyFont="1" applyBorder="1" applyAlignment="1">
      <alignment horizontal="center"/>
    </xf>
  </cellXfs>
  <cellStyles count="12">
    <cellStyle name="Grey" xfId="1" xr:uid="{00000000-0005-0000-0000-000000000000}"/>
    <cellStyle name="Input [yellow]" xfId="2" xr:uid="{00000000-0005-0000-0000-000001000000}"/>
    <cellStyle name="Normal" xfId="0" builtinId="0"/>
    <cellStyle name="Normal - Style1" xfId="3" xr:uid="{00000000-0005-0000-0000-000003000000}"/>
    <cellStyle name="Normal 2" xfId="11" xr:uid="{00000000-0005-0000-0000-000004000000}"/>
    <cellStyle name="Normal_FA" xfId="4" xr:uid="{00000000-0005-0000-0000-000005000000}"/>
    <cellStyle name="Percent [2]" xfId="5" xr:uid="{00000000-0005-0000-0000-000006000000}"/>
    <cellStyle name="桁区切り [0.00]_laroux" xfId="6" xr:uid="{00000000-0005-0000-0000-000007000000}"/>
    <cellStyle name="桁区切り_laroux" xfId="7" xr:uid="{00000000-0005-0000-0000-000008000000}"/>
    <cellStyle name="標準_22生産1" xfId="8" xr:uid="{00000000-0005-0000-0000-000009000000}"/>
    <cellStyle name="通貨 [0.00]_９７上" xfId="9" xr:uid="{00000000-0005-0000-0000-00000A000000}"/>
    <cellStyle name="通貨_９７上" xfId="10" xr:uid="{00000000-0005-0000-0000-00000B000000}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16-303-03 - T1'!$B$53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16-303-03 - T1'!$C$9:$AG$9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'SJCPIL-R 16-303-03 - T1'!$C$53:$AG$53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B7-4B4A-9DAE-A9F65D5CD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889760"/>
        <c:axId val="225887016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16-303-03 - T1'!$E$4</c:f>
              <c:numCache>
                <c:formatCode>0.00</c:formatCode>
                <c:ptCount val="1"/>
                <c:pt idx="0">
                  <c:v>8.43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B7-4B4A-9DAE-A9F65D5CD6C6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'SJCPIL-R 16-303-03 - T1'!$G$4</c:f>
              <c:numCache>
                <c:formatCode>0.00</c:formatCode>
                <c:ptCount val="1"/>
                <c:pt idx="0">
                  <c:v>8.3800000000000008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9B7-4B4A-9DAE-A9F65D5CD6C6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'SJCPIL-R 16-303-03 - T1'!$G$5</c:f>
              <c:numCache>
                <c:formatCode>0.00</c:formatCode>
                <c:ptCount val="1"/>
                <c:pt idx="0">
                  <c:v>8.23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B7-4B4A-9DAE-A9F65D5CD6C6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16-303-03 - T1'!$G$6</c:f>
              <c:numCache>
                <c:formatCode>0.00</c:formatCode>
                <c:ptCount val="1"/>
                <c:pt idx="0">
                  <c:v>8.08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9B7-4B4A-9DAE-A9F65D5CD6C6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16-303-03 - T1'!$E$6</c:f>
              <c:numCache>
                <c:formatCode>0.00</c:formatCode>
                <c:ptCount val="1"/>
                <c:pt idx="0">
                  <c:v>8.0300000000000011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9B7-4B4A-9DAE-A9F65D5CD6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5448"/>
        <c:axId val="225891720"/>
      </c:scatterChart>
      <c:catAx>
        <c:axId val="2258897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5887016"/>
        <c:crosses val="autoZero"/>
        <c:auto val="1"/>
        <c:lblAlgn val="ctr"/>
        <c:lblOffset val="100"/>
        <c:tickMarkSkip val="1"/>
        <c:noMultiLvlLbl val="0"/>
      </c:catAx>
      <c:valAx>
        <c:axId val="225887016"/>
        <c:scaling>
          <c:orientation val="minMax"/>
          <c:max val="8.5299999999999994"/>
          <c:min val="7.930000000000000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889760"/>
        <c:crosses val="autoZero"/>
        <c:crossBetween val="between"/>
        <c:majorUnit val="5.000000000000001E-2"/>
        <c:minorUnit val="5.000000000000001E-2"/>
      </c:valAx>
      <c:valAx>
        <c:axId val="22589172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5885448"/>
        <c:crosses val="max"/>
        <c:crossBetween val="midCat"/>
      </c:valAx>
      <c:valAx>
        <c:axId val="225885448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589172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16-303-03 - T1'!$C$54:$AG$54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24-4944-BE7A-54E83FAE0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885056"/>
        <c:axId val="22589015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16-303-03 - T1'!$G$7</c:f>
              <c:numCache>
                <c:formatCode>0.00</c:formatCode>
                <c:ptCount val="1"/>
                <c:pt idx="0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24-4944-BE7A-54E83FAE0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90544"/>
        <c:axId val="225887408"/>
      </c:scatterChart>
      <c:catAx>
        <c:axId val="22588505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5890152"/>
        <c:crosses val="autoZero"/>
        <c:auto val="1"/>
        <c:lblAlgn val="ctr"/>
        <c:lblOffset val="100"/>
        <c:noMultiLvlLbl val="0"/>
      </c:catAx>
      <c:valAx>
        <c:axId val="225890152"/>
        <c:scaling>
          <c:orientation val="minMax"/>
          <c:max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885056"/>
        <c:crosses val="autoZero"/>
        <c:crossBetween val="between"/>
        <c:majorUnit val="0.1"/>
        <c:minorUnit val="0.05"/>
      </c:valAx>
      <c:valAx>
        <c:axId val="22588740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5890544"/>
        <c:crosses val="max"/>
        <c:crossBetween val="midCat"/>
      </c:valAx>
      <c:valAx>
        <c:axId val="22589054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588740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16-304-03'!$B$53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16-304-03'!$C$9:$AG$9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'SJCPIL-R 16-304-03'!$C$53:$AG$53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CB-4188-AB0B-D34BD861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890936"/>
        <c:axId val="225885840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16-304-03'!$E$4</c:f>
              <c:numCache>
                <c:formatCode>0.00</c:formatCode>
                <c:ptCount val="1"/>
                <c:pt idx="0">
                  <c:v>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ECB-4188-AB0B-D34BD86116D8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'SJCPIL-R 16-304-03'!$G$4</c:f>
              <c:numCache>
                <c:formatCode>0.00</c:formatCode>
                <c:ptCount val="1"/>
                <c:pt idx="0">
                  <c:v>40.799999999999997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ECB-4188-AB0B-D34BD86116D8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'SJCPIL-R 16-304-03'!$G$5</c:f>
              <c:numCache>
                <c:formatCode>0.00</c:formatCode>
                <c:ptCount val="1"/>
                <c:pt idx="0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ECB-4188-AB0B-D34BD86116D8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16-304-03'!$G$6</c:f>
              <c:numCache>
                <c:formatCode>0.00</c:formatCode>
                <c:ptCount val="1"/>
                <c:pt idx="0">
                  <c:v>39.200000000000003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ECB-4188-AB0B-D34BD86116D8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16-304-03'!$E$6</c:f>
              <c:numCache>
                <c:formatCode>0.00</c:formatCode>
                <c:ptCount val="1"/>
                <c:pt idx="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ECB-4188-AB0B-D34BD8611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7800"/>
        <c:axId val="225891328"/>
      </c:scatterChart>
      <c:catAx>
        <c:axId val="225890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5885840"/>
        <c:crosses val="autoZero"/>
        <c:auto val="1"/>
        <c:lblAlgn val="ctr"/>
        <c:lblOffset val="100"/>
        <c:tickMarkSkip val="1"/>
        <c:noMultiLvlLbl val="0"/>
      </c:catAx>
      <c:valAx>
        <c:axId val="225885840"/>
        <c:scaling>
          <c:orientation val="minMax"/>
          <c:min val="38.799999999999997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890936"/>
        <c:crosses val="autoZero"/>
        <c:crossBetween val="between"/>
        <c:majorUnit val="0.2"/>
        <c:minorUnit val="0.1"/>
      </c:valAx>
      <c:valAx>
        <c:axId val="225891328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5887800"/>
        <c:crosses val="max"/>
        <c:crossBetween val="midCat"/>
      </c:valAx>
      <c:valAx>
        <c:axId val="225887800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5891328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16-304-03'!$C$54:$AG$54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B3-41AF-8D25-62FBC2E6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5889368"/>
        <c:axId val="225886232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16-304-03'!$G$7</c:f>
              <c:numCache>
                <c:formatCode>0.00</c:formatCode>
                <c:ptCount val="1"/>
                <c:pt idx="0">
                  <c:v>1.6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B3-41AF-8D25-62FBC2E67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5888192"/>
        <c:axId val="225886624"/>
      </c:scatterChart>
      <c:catAx>
        <c:axId val="225889368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5886232"/>
        <c:crosses val="autoZero"/>
        <c:auto val="1"/>
        <c:lblAlgn val="ctr"/>
        <c:lblOffset val="100"/>
        <c:noMultiLvlLbl val="0"/>
      </c:catAx>
      <c:valAx>
        <c:axId val="225886232"/>
        <c:scaling>
          <c:orientation val="minMax"/>
          <c:max val="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5889368"/>
        <c:crosses val="autoZero"/>
        <c:crossBetween val="between"/>
        <c:majorUnit val="1"/>
        <c:minorUnit val="0.2"/>
      </c:valAx>
      <c:valAx>
        <c:axId val="225886624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5888192"/>
        <c:crosses val="max"/>
        <c:crossBetween val="midCat"/>
      </c:valAx>
      <c:valAx>
        <c:axId val="22588819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5886624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989616444161893E-2"/>
          <c:y val="2.1701388888888888E-2"/>
          <c:w val="0.9281630344593812"/>
          <c:h val="0.9423385826771653"/>
        </c:manualLayout>
      </c:layout>
      <c:lineChart>
        <c:grouping val="standard"/>
        <c:varyColors val="0"/>
        <c:ser>
          <c:idx val="0"/>
          <c:order val="0"/>
          <c:tx>
            <c:strRef>
              <c:f>'SJCPIL-R 16-308-02'!$B$53</c:f>
              <c:strCache>
                <c:ptCount val="1"/>
                <c:pt idx="0">
                  <c:v>Média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'SJCPIL-R 16-308-02'!$C$9:$AG$9</c:f>
              <c:numCache>
                <c:formatCode>General</c:formatCode>
                <c:ptCount val="31"/>
                <c:pt idx="0">
                  <c:v>1</c:v>
                </c:pt>
                <c:pt idx="1">
                  <c:v>2</c:v>
                </c:pt>
                <c:pt idx="2">
                  <c:v>47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</c:numCache>
            </c:numRef>
          </c:cat>
          <c:val>
            <c:numRef>
              <c:f>'SJCPIL-R 16-308-02'!$C$53:$AG$53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AD-4DE8-A99A-488AFB792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633160"/>
        <c:axId val="226630808"/>
      </c:lineChart>
      <c:scatterChart>
        <c:scatterStyle val="lineMarker"/>
        <c:varyColors val="0"/>
        <c:ser>
          <c:idx val="1"/>
          <c:order val="1"/>
          <c:tx>
            <c:v>LSE</c:v>
          </c:tx>
          <c:spPr>
            <a:ln w="44450">
              <a:solidFill>
                <a:srgbClr val="FF0000"/>
              </a:solidFill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16-308-02'!$E$4</c:f>
              <c:numCache>
                <c:formatCode>0.00</c:formatCode>
                <c:ptCount val="1"/>
                <c:pt idx="0">
                  <c:v>47.7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AD-4DE8-A99A-488AFB7924A1}"/>
            </c:ext>
          </c:extLst>
        </c:ser>
        <c:ser>
          <c:idx val="2"/>
          <c:order val="2"/>
          <c:tx>
            <c:v>LSC</c:v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4925">
                <a:solidFill>
                  <a:schemeClr val="accent6">
                    <a:lumMod val="75000"/>
                  </a:schemeClr>
                </a:solidFill>
              </a:ln>
            </c:spPr>
          </c:errBars>
          <c:yVal>
            <c:numRef>
              <c:f>'SJCPIL-R 16-308-02'!$G$4</c:f>
              <c:numCache>
                <c:formatCode>0.00</c:formatCode>
                <c:ptCount val="1"/>
                <c:pt idx="0">
                  <c:v>47.65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AD-4DE8-A99A-488AFB7924A1}"/>
            </c:ext>
          </c:extLst>
        </c:ser>
        <c:ser>
          <c:idx val="3"/>
          <c:order val="3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chemeClr val="accent6">
                    <a:lumMod val="75000"/>
                  </a:schemeClr>
                </a:solidFill>
                <a:prstDash val="lgDashDotDot"/>
              </a:ln>
            </c:spPr>
          </c:errBars>
          <c:yVal>
            <c:numRef>
              <c:f>'SJCPIL-R 16-308-02'!$G$5</c:f>
              <c:numCache>
                <c:formatCode>0.00</c:formatCode>
                <c:ptCount val="1"/>
                <c:pt idx="0">
                  <c:v>47.6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AD-4DE8-A99A-488AFB7924A1}"/>
            </c:ext>
          </c:extLst>
        </c:ser>
        <c:ser>
          <c:idx val="5"/>
          <c:order val="4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chemeClr val="accent6">
                    <a:lumMod val="75000"/>
                  </a:schemeClr>
                </a:solidFill>
              </a:ln>
            </c:spPr>
          </c:errBars>
          <c:xVal>
            <c:numLit>
              <c:formatCode>General</c:formatCode>
              <c:ptCount val="1"/>
              <c:pt idx="0">
                <c:v>1</c:v>
              </c:pt>
            </c:numLit>
          </c:xVal>
          <c:yVal>
            <c:numRef>
              <c:f>'SJCPIL-R 16-308-02'!$G$6</c:f>
              <c:numCache>
                <c:formatCode>0.00</c:formatCode>
                <c:ptCount val="1"/>
                <c:pt idx="0">
                  <c:v>47.550000000000004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AD-4DE8-A99A-488AFB7924A1}"/>
            </c:ext>
          </c:extLst>
        </c:ser>
        <c:ser>
          <c:idx val="4"/>
          <c:order val="5"/>
          <c:tx>
            <c:strRef>
              <c:f>'SJCPIL-R 15-CEP-PP'!#REF!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28575">
                <a:solidFill>
                  <a:srgbClr val="FF0000"/>
                </a:solidFill>
              </a:ln>
            </c:spPr>
          </c:errBars>
          <c:yVal>
            <c:numRef>
              <c:f>'SJCPIL-R 16-308-02'!$E$6</c:f>
              <c:numCache>
                <c:formatCode>0.00</c:formatCode>
                <c:ptCount val="1"/>
                <c:pt idx="0">
                  <c:v>47.5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AD-4DE8-A99A-488AFB792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33944"/>
        <c:axId val="226631592"/>
      </c:scatterChart>
      <c:catAx>
        <c:axId val="2266331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one"/>
        <c:spPr>
          <a:ln w="3175">
            <a:solidFill>
              <a:srgbClr val="000000"/>
            </a:solidFill>
            <a:prstDash val="solid"/>
          </a:ln>
        </c:spPr>
        <c:crossAx val="226630808"/>
        <c:crosses val="autoZero"/>
        <c:auto val="1"/>
        <c:lblAlgn val="ctr"/>
        <c:lblOffset val="100"/>
        <c:tickMarkSkip val="1"/>
        <c:noMultiLvlLbl val="0"/>
      </c:catAx>
      <c:valAx>
        <c:axId val="226630808"/>
        <c:scaling>
          <c:orientation val="minMax"/>
          <c:min val="47.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6633160"/>
        <c:crosses val="autoZero"/>
        <c:crossBetween val="between"/>
        <c:majorUnit val="0.1"/>
        <c:minorUnit val="1.0000000000000002E-2"/>
      </c:valAx>
      <c:valAx>
        <c:axId val="226631592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6633944"/>
        <c:crosses val="max"/>
        <c:crossBetween val="midCat"/>
      </c:valAx>
      <c:valAx>
        <c:axId val="226633944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663159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077249315030825E-2"/>
          <c:y val="5.6677495575681358E-2"/>
          <c:w val="0.96659832231918197"/>
          <c:h val="0.88902903778050368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none"/>
          </c:marker>
          <c:val>
            <c:numRef>
              <c:f>'SJCPIL-R 16-308-02'!$C$54:$AG$54</c:f>
              <c:numCache>
                <c:formatCode>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 formatCode="General">
                  <c:v>0</c:v>
                </c:pt>
                <c:pt idx="16" formatCode="General">
                  <c:v>0</c:v>
                </c:pt>
                <c:pt idx="17" formatCode="General">
                  <c:v>0</c:v>
                </c:pt>
                <c:pt idx="18" formatCode="General">
                  <c:v>0</c:v>
                </c:pt>
                <c:pt idx="19" formatCode="General">
                  <c:v>0</c:v>
                </c:pt>
                <c:pt idx="20" formatCode="General">
                  <c:v>0</c:v>
                </c:pt>
                <c:pt idx="21" formatCode="General">
                  <c:v>0</c:v>
                </c:pt>
                <c:pt idx="22" formatCode="General">
                  <c:v>0</c:v>
                </c:pt>
                <c:pt idx="23" formatCode="General">
                  <c:v>0</c:v>
                </c:pt>
                <c:pt idx="24" formatCode="General">
                  <c:v>0</c:v>
                </c:pt>
                <c:pt idx="25" formatCode="General">
                  <c:v>0</c:v>
                </c:pt>
                <c:pt idx="26" formatCode="General">
                  <c:v>0</c:v>
                </c:pt>
                <c:pt idx="27" formatCode="General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2A-4F5C-B63E-9F6A8216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26632376"/>
        <c:axId val="226636296"/>
      </c:lineChart>
      <c:scatterChart>
        <c:scatterStyle val="lineMarker"/>
        <c:varyColors val="0"/>
        <c:ser>
          <c:idx val="1"/>
          <c:order val="1"/>
          <c:tx>
            <c:v>R</c:v>
          </c:tx>
          <c:spPr>
            <a:ln w="25400">
              <a:noFill/>
            </a:ln>
          </c:spPr>
          <c:marker>
            <c:symbol val="none"/>
          </c:marker>
          <c:errBars>
            <c:errDir val="x"/>
            <c:errBarType val="both"/>
            <c:errValType val="fixedVal"/>
            <c:noEndCap val="0"/>
            <c:val val="1"/>
            <c:spPr>
              <a:ln w="31750">
                <a:solidFill>
                  <a:srgbClr val="FF0000"/>
                </a:solidFill>
              </a:ln>
            </c:spPr>
          </c:errBars>
          <c:yVal>
            <c:numRef>
              <c:f>'SJCPIL-R 16-308-02'!$G$7</c:f>
              <c:numCache>
                <c:formatCode>0.00</c:formatCode>
                <c:ptCount val="1"/>
                <c:pt idx="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2A-4F5C-B63E-9F6A82163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6635512"/>
        <c:axId val="226635120"/>
      </c:scatterChart>
      <c:catAx>
        <c:axId val="226632376"/>
        <c:scaling>
          <c:orientation val="minMax"/>
        </c:scaling>
        <c:delete val="1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ajorTickMark val="out"/>
        <c:minorTickMark val="none"/>
        <c:tickLblPos val="nextTo"/>
        <c:crossAx val="226636296"/>
        <c:crosses val="autoZero"/>
        <c:auto val="1"/>
        <c:lblAlgn val="ctr"/>
        <c:lblOffset val="100"/>
        <c:noMultiLvlLbl val="0"/>
      </c:catAx>
      <c:valAx>
        <c:axId val="226636296"/>
        <c:scaling>
          <c:orientation val="minMax"/>
          <c:max val="0.4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226632376"/>
        <c:crosses val="autoZero"/>
        <c:crossBetween val="between"/>
        <c:majorUnit val="0.1"/>
        <c:minorUnit val="2.0000000000000004E-2"/>
      </c:valAx>
      <c:valAx>
        <c:axId val="226635120"/>
        <c:scaling>
          <c:orientation val="minMax"/>
        </c:scaling>
        <c:delete val="1"/>
        <c:axPos val="r"/>
        <c:numFmt formatCode="0.00" sourceLinked="1"/>
        <c:majorTickMark val="out"/>
        <c:minorTickMark val="none"/>
        <c:tickLblPos val="nextTo"/>
        <c:crossAx val="226635512"/>
        <c:crosses val="max"/>
        <c:crossBetween val="midCat"/>
      </c:valAx>
      <c:valAx>
        <c:axId val="226635512"/>
        <c:scaling>
          <c:orientation val="minMax"/>
          <c:max val="2"/>
        </c:scaling>
        <c:delete val="1"/>
        <c:axPos val="t"/>
        <c:majorTickMark val="out"/>
        <c:minorTickMark val="none"/>
        <c:tickLblPos val="nextTo"/>
        <c:crossAx val="226635120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/>
    <c:pageMargins b="0.984251969" l="0.78740157499999996" r="0.78740157499999996" t="0.984251969" header="0.49212598499999999" footer="0.49212598499999999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2C9CE38F-21F2-4DF3-BC98-56BC59DD49BD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501AF28F-6B6A-499B-9CDB-83DF33376780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7E9EE244-A7F3-42B8-A374-593297ED4340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DF937E51-7F74-4E0D-9187-0FC3DFA445C8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38ECECCB-D0E0-4538-88BC-961ADA5423BF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7F099B06-9384-4F51-8CBD-0C66D9657690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2EA2D5D5-9062-43DB-9CA6-E053B301E1C3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8D8186FD-001A-443C-9134-5521422877ED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7D340FC5-4FF1-4CA0-B1AD-40BC58D8E7CE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97D926B9-DD5D-4969-AB8C-0EF5E99F6D9D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DCF5219D-2BA6-498D-AE7E-A652C4CF3198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B60A7F90-EDCB-4EA5-BF9D-F369384C46F5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608FC08-F8FA-4D90-8E81-5720061F23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B8D8955-A831-43D2-ABDC-6A183C2100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05CACC45-A4CD-48FB-806B-E7A01FF0B712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B29AB4B4-CF93-4CF5-B27D-F5ED8C4A3710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1515CB7B-F2C2-4339-9924-B989FFAC9BA7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53B97F81-9919-42DF-AA82-4F64E644D72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D4869FC6-EE4C-4001-AEEA-8C82C537DC4F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01BB0BD-A016-497A-90FC-404C831DF490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45DF6D3F-FCCC-4C2C-A154-6980C577F19F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8183B0E0-7A01-44DA-9068-34506B185641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C9007777-61CD-4F83-9676-50697F2CB8F0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05D1D84-ED68-4467-8334-7091D00B402D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D643AD86-FE3A-4FA7-90D3-5EBE58664C10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F27AA7F6-A58A-4877-9965-31FDBCDB6231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E56F90F6-337E-4C87-8A4D-EA41FD54E91A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1F4F42BC-4B9D-42B3-B5E3-081963B8C8EF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E521C4FD-ECF3-4941-B54E-EFDFDC4E3F85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89E23007-9BA4-4C15-A6A0-B0229328852E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19C32A4B-9994-44D5-A585-EEE47BA23E25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620ACD12-8AEC-49BF-9BDE-0531B597F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6A4EE86-243F-4E51-90EB-1C7D2024E5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7EF2A294-660B-414D-97AA-5C964CB15891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FC9C9291-A51A-41C7-B1C0-E87400D41027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A5F67344-6711-4576-B4B6-DA771E1FA612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8B4B827C-4573-4294-A5F0-D0298379C320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A5850663-F192-46B4-9A54-8DBD8A80CA81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494A4B2F-7610-4A2D-B6B0-9ABAB3637A7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37</xdr:row>
      <xdr:rowOff>66675</xdr:rowOff>
    </xdr:from>
    <xdr:to>
      <xdr:col>2</xdr:col>
      <xdr:colOff>0</xdr:colOff>
      <xdr:row>37</xdr:row>
      <xdr:rowOff>66675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AF9E90FC-CF3F-4066-938F-771CAC31EF9A}"/>
            </a:ext>
          </a:extLst>
        </xdr:cNvPr>
        <xdr:cNvSpPr>
          <a:spLocks noChangeShapeType="1"/>
        </xdr:cNvSpPr>
      </xdr:nvSpPr>
      <xdr:spPr bwMode="auto">
        <a:xfrm>
          <a:off x="1181100" y="6162675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FF00" mc:Ignorable="a14" a14:legacySpreadsheetColorIndex="11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28575</xdr:colOff>
      <xdr:row>20</xdr:row>
      <xdr:rowOff>0</xdr:rowOff>
    </xdr:from>
    <xdr:to>
      <xdr:col>1</xdr:col>
      <xdr:colOff>238125</xdr:colOff>
      <xdr:row>23</xdr:row>
      <xdr:rowOff>9525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EE203BF-851C-4809-A98E-63D47E7AEE4E}"/>
            </a:ext>
          </a:extLst>
        </xdr:cNvPr>
        <xdr:cNvGrpSpPr>
          <a:grpSpLocks/>
        </xdr:cNvGrpSpPr>
      </xdr:nvGrpSpPr>
      <xdr:grpSpPr bwMode="auto">
        <a:xfrm>
          <a:off x="133350" y="3505200"/>
          <a:ext cx="209550" cy="466725"/>
          <a:chOff x="14" y="324"/>
          <a:chExt cx="22" cy="37"/>
        </a:xfrm>
      </xdr:grpSpPr>
      <xdr:sp macro="" textlink="">
        <xdr:nvSpPr>
          <xdr:cNvPr id="4" name="Text Box 3">
            <a:extLst>
              <a:ext uri="{FF2B5EF4-FFF2-40B4-BE49-F238E27FC236}">
                <a16:creationId xmlns:a16="http://schemas.microsoft.com/office/drawing/2014/main" id="{F2740ECE-CE86-4AE5-8AC7-5913D084FED1}"/>
              </a:ext>
            </a:extLst>
          </xdr:cNvPr>
          <xdr:cNvSpPr txBox="1">
            <a:spLocks noChangeArrowheads="1"/>
          </xdr:cNvSpPr>
        </xdr:nvSpPr>
        <xdr:spPr bwMode="auto">
          <a:xfrm>
            <a:off x="14" y="333"/>
            <a:ext cx="22" cy="2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36576" tIns="27432" rIns="0" bIns="0" anchor="t" upright="1"/>
          <a:lstStyle/>
          <a:p>
            <a:pPr algn="l" rtl="0">
              <a:defRPr sz="1000"/>
            </a:pPr>
            <a:r>
              <a:rPr lang="pt-BR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X</a:t>
            </a:r>
          </a:p>
        </xdr:txBody>
      </xdr:sp>
      <xdr:sp macro="" textlink="">
        <xdr:nvSpPr>
          <xdr:cNvPr id="5" name="Line 4">
            <a:extLst>
              <a:ext uri="{FF2B5EF4-FFF2-40B4-BE49-F238E27FC236}">
                <a16:creationId xmlns:a16="http://schemas.microsoft.com/office/drawing/2014/main" id="{BBAD9999-F1CA-4DC1-8E4F-E7EB4487E8F0}"/>
              </a:ext>
            </a:extLst>
          </xdr:cNvPr>
          <xdr:cNvSpPr>
            <a:spLocks noChangeShapeType="1"/>
          </xdr:cNvSpPr>
        </xdr:nvSpPr>
        <xdr:spPr bwMode="auto">
          <a:xfrm>
            <a:off x="18" y="324"/>
            <a:ext cx="11" cy="0"/>
          </a:xfrm>
          <a:prstGeom prst="line">
            <a:avLst/>
          </a:prstGeom>
          <a:noFill/>
          <a:ln w="2857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1</xdr:col>
      <xdr:colOff>47625</xdr:colOff>
      <xdr:row>39</xdr:row>
      <xdr:rowOff>104775</xdr:rowOff>
    </xdr:from>
    <xdr:to>
      <xdr:col>1</xdr:col>
      <xdr:colOff>333375</xdr:colOff>
      <xdr:row>42</xdr:row>
      <xdr:rowOff>76200</xdr:rowOff>
    </xdr:to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95DD62F7-F61E-46FD-B0DC-9D6618247D25}"/>
            </a:ext>
          </a:extLst>
        </xdr:cNvPr>
        <xdr:cNvSpPr txBox="1">
          <a:spLocks noChangeArrowheads="1"/>
        </xdr:cNvSpPr>
      </xdr:nvSpPr>
      <xdr:spPr bwMode="auto">
        <a:xfrm>
          <a:off x="152400" y="6505575"/>
          <a:ext cx="2857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R</a:t>
          </a:r>
        </a:p>
      </xdr:txBody>
    </xdr:sp>
    <xdr:clientData/>
  </xdr:twoCellAnchor>
  <xdr:twoCellAnchor>
    <xdr:from>
      <xdr:col>25</xdr:col>
      <xdr:colOff>0</xdr:colOff>
      <xdr:row>1</xdr:row>
      <xdr:rowOff>9525</xdr:rowOff>
    </xdr:from>
    <xdr:to>
      <xdr:col>25</xdr:col>
      <xdr:colOff>0</xdr:colOff>
      <xdr:row>1</xdr:row>
      <xdr:rowOff>9525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40300DEB-4B56-4A31-91FD-FA34D203CEE7}"/>
            </a:ext>
          </a:extLst>
        </xdr:cNvPr>
        <xdr:cNvSpPr>
          <a:spLocks noChangeShapeType="1"/>
        </xdr:cNvSpPr>
      </xdr:nvSpPr>
      <xdr:spPr bwMode="auto">
        <a:xfrm>
          <a:off x="11477625" y="285750"/>
          <a:ext cx="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0</xdr:colOff>
      <xdr:row>11</xdr:row>
      <xdr:rowOff>85725</xdr:rowOff>
    </xdr:from>
    <xdr:to>
      <xdr:col>2</xdr:col>
      <xdr:colOff>0</xdr:colOff>
      <xdr:row>13</xdr:row>
      <xdr:rowOff>9525</xdr:rowOff>
    </xdr:to>
    <xdr:sp macro="" textlink="">
      <xdr:nvSpPr>
        <xdr:cNvPr id="8" name="Text Box 7">
          <a:extLst>
            <a:ext uri="{FF2B5EF4-FFF2-40B4-BE49-F238E27FC236}">
              <a16:creationId xmlns:a16="http://schemas.microsoft.com/office/drawing/2014/main" id="{C38CD002-BD76-4767-A2F4-B16C5B018396}"/>
            </a:ext>
          </a:extLst>
        </xdr:cNvPr>
        <xdr:cNvSpPr txBox="1">
          <a:spLocks noChangeArrowheads="1"/>
        </xdr:cNvSpPr>
      </xdr:nvSpPr>
      <xdr:spPr bwMode="auto">
        <a:xfrm>
          <a:off x="1181100" y="2219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16</xdr:row>
      <xdr:rowOff>85725</xdr:rowOff>
    </xdr:from>
    <xdr:to>
      <xdr:col>2</xdr:col>
      <xdr:colOff>0</xdr:colOff>
      <xdr:row>18</xdr:row>
      <xdr:rowOff>9525</xdr:rowOff>
    </xdr:to>
    <xdr:sp macro="" textlink="">
      <xdr:nvSpPr>
        <xdr:cNvPr id="9" name="Text Box 8">
          <a:extLst>
            <a:ext uri="{FF2B5EF4-FFF2-40B4-BE49-F238E27FC236}">
              <a16:creationId xmlns:a16="http://schemas.microsoft.com/office/drawing/2014/main" id="{F6FB88F0-13EC-4EC9-8DE3-4DC70148B62F}"/>
            </a:ext>
          </a:extLst>
        </xdr:cNvPr>
        <xdr:cNvSpPr txBox="1">
          <a:spLocks noChangeArrowheads="1"/>
        </xdr:cNvSpPr>
      </xdr:nvSpPr>
      <xdr:spPr bwMode="auto">
        <a:xfrm>
          <a:off x="1181100" y="2981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2</xdr:col>
      <xdr:colOff>0</xdr:colOff>
      <xdr:row>26</xdr:row>
      <xdr:rowOff>76200</xdr:rowOff>
    </xdr:from>
    <xdr:to>
      <xdr:col>2</xdr:col>
      <xdr:colOff>0</xdr:colOff>
      <xdr:row>28</xdr:row>
      <xdr:rowOff>0</xdr:rowOff>
    </xdr:to>
    <xdr:sp macro="" textlink="">
      <xdr:nvSpPr>
        <xdr:cNvPr id="10" name="Text Box 9">
          <a:extLst>
            <a:ext uri="{FF2B5EF4-FFF2-40B4-BE49-F238E27FC236}">
              <a16:creationId xmlns:a16="http://schemas.microsoft.com/office/drawing/2014/main" id="{4588F58E-B503-46DE-8521-3F15AE307CBD}"/>
            </a:ext>
          </a:extLst>
        </xdr:cNvPr>
        <xdr:cNvSpPr txBox="1">
          <a:spLocks noChangeArrowheads="1"/>
        </xdr:cNvSpPr>
      </xdr:nvSpPr>
      <xdr:spPr bwMode="auto">
        <a:xfrm>
          <a:off x="1181100" y="4495800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LIC-VERDE</a:t>
          </a:r>
        </a:p>
      </xdr:txBody>
    </xdr:sp>
    <xdr:clientData/>
  </xdr:twoCellAnchor>
  <xdr:twoCellAnchor>
    <xdr:from>
      <xdr:col>2</xdr:col>
      <xdr:colOff>0</xdr:colOff>
      <xdr:row>31</xdr:row>
      <xdr:rowOff>85725</xdr:rowOff>
    </xdr:from>
    <xdr:to>
      <xdr:col>2</xdr:col>
      <xdr:colOff>0</xdr:colOff>
      <xdr:row>33</xdr:row>
      <xdr:rowOff>9525</xdr:rowOff>
    </xdr:to>
    <xdr:sp macro="" textlink="">
      <xdr:nvSpPr>
        <xdr:cNvPr id="11" name="Text Box 10">
          <a:extLst>
            <a:ext uri="{FF2B5EF4-FFF2-40B4-BE49-F238E27FC236}">
              <a16:creationId xmlns:a16="http://schemas.microsoft.com/office/drawing/2014/main" id="{2DEF62E1-40A7-44B5-84FB-D25DB79DE050}"/>
            </a:ext>
          </a:extLst>
        </xdr:cNvPr>
        <xdr:cNvSpPr txBox="1">
          <a:spLocks noChangeArrowheads="1"/>
        </xdr:cNvSpPr>
      </xdr:nvSpPr>
      <xdr:spPr bwMode="auto">
        <a:xfrm>
          <a:off x="1181100" y="5267325"/>
          <a:ext cx="0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LIE-VERMELHO</a:t>
          </a:r>
        </a:p>
      </xdr:txBody>
    </xdr:sp>
    <xdr:clientData/>
  </xdr:twoCellAnchor>
  <xdr:twoCellAnchor>
    <xdr:from>
      <xdr:col>2</xdr:col>
      <xdr:colOff>0</xdr:colOff>
      <xdr:row>34</xdr:row>
      <xdr:rowOff>114300</xdr:rowOff>
    </xdr:from>
    <xdr:to>
      <xdr:col>2</xdr:col>
      <xdr:colOff>0</xdr:colOff>
      <xdr:row>36</xdr:row>
      <xdr:rowOff>0</xdr:rowOff>
    </xdr:to>
    <xdr:sp macro="" textlink="">
      <xdr:nvSpPr>
        <xdr:cNvPr id="12" name="Text Box 11">
          <a:extLst>
            <a:ext uri="{FF2B5EF4-FFF2-40B4-BE49-F238E27FC236}">
              <a16:creationId xmlns:a16="http://schemas.microsoft.com/office/drawing/2014/main" id="{48D382F8-62D1-4A7B-A951-BBC6CFABBCDB}"/>
            </a:ext>
          </a:extLst>
        </xdr:cNvPr>
        <xdr:cNvSpPr txBox="1">
          <a:spLocks noChangeArrowheads="1"/>
        </xdr:cNvSpPr>
      </xdr:nvSpPr>
      <xdr:spPr bwMode="auto">
        <a:xfrm>
          <a:off x="1181100" y="5753100"/>
          <a:ext cx="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LSE-VERMELHO</a:t>
          </a:r>
        </a:p>
      </xdr:txBody>
    </xdr:sp>
    <xdr:clientData/>
  </xdr:twoCellAnchor>
  <xdr:twoCellAnchor>
    <xdr:from>
      <xdr:col>2</xdr:col>
      <xdr:colOff>0</xdr:colOff>
      <xdr:row>36</xdr:row>
      <xdr:rowOff>38100</xdr:rowOff>
    </xdr:from>
    <xdr:to>
      <xdr:col>2</xdr:col>
      <xdr:colOff>0</xdr:colOff>
      <xdr:row>37</xdr:row>
      <xdr:rowOff>66675</xdr:rowOff>
    </xdr:to>
    <xdr:sp macro="" textlink="">
      <xdr:nvSpPr>
        <xdr:cNvPr id="13" name="Text Box 12">
          <a:extLst>
            <a:ext uri="{FF2B5EF4-FFF2-40B4-BE49-F238E27FC236}">
              <a16:creationId xmlns:a16="http://schemas.microsoft.com/office/drawing/2014/main" id="{75852855-F261-428C-9A20-DC7B8E58888E}"/>
            </a:ext>
          </a:extLst>
        </xdr:cNvPr>
        <xdr:cNvSpPr txBox="1">
          <a:spLocks noChangeArrowheads="1"/>
        </xdr:cNvSpPr>
      </xdr:nvSpPr>
      <xdr:spPr bwMode="auto">
        <a:xfrm>
          <a:off x="1181100" y="5981700"/>
          <a:ext cx="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0" tIns="27432" rIns="27432" bIns="0" anchor="t" upright="1"/>
        <a:lstStyle/>
        <a:p>
          <a:pPr algn="r" rtl="0">
            <a:defRPr sz="1000"/>
          </a:pPr>
          <a:r>
            <a:rPr lang="pt-BR" sz="800" b="0" i="0" u="none" strike="noStrike" baseline="0">
              <a:solidFill>
                <a:srgbClr val="000000"/>
              </a:solidFill>
              <a:latin typeface="Arial Narrow"/>
            </a:rPr>
            <a:t>LSC-VERDE</a:t>
          </a:r>
        </a:p>
      </xdr:txBody>
    </xdr:sp>
    <xdr:clientData/>
  </xdr:twoCellAnchor>
  <xdr:twoCellAnchor>
    <xdr:from>
      <xdr:col>1</xdr:col>
      <xdr:colOff>19051</xdr:colOff>
      <xdr:row>11</xdr:row>
      <xdr:rowOff>0</xdr:rowOff>
    </xdr:from>
    <xdr:to>
      <xdr:col>33</xdr:col>
      <xdr:colOff>0</xdr:colOff>
      <xdr:row>35</xdr:row>
      <xdr:rowOff>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A83E8433-2F41-4CE4-AD46-5586AC6239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613833</xdr:colOff>
      <xdr:row>35</xdr:row>
      <xdr:rowOff>19050</xdr:rowOff>
    </xdr:from>
    <xdr:to>
      <xdr:col>33</xdr:col>
      <xdr:colOff>10584</xdr:colOff>
      <xdr:row>45</xdr:row>
      <xdr:rowOff>95250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D00E7874-3A26-4357-AF55-532F89EDEF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133350</xdr:colOff>
      <xdr:row>57</xdr:row>
      <xdr:rowOff>152400</xdr:rowOff>
    </xdr:from>
    <xdr:to>
      <xdr:col>1</xdr:col>
      <xdr:colOff>885825</xdr:colOff>
      <xdr:row>57</xdr:row>
      <xdr:rowOff>152400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1B0C0638-BEBE-4E05-A063-8F8BDB066FF4}"/>
            </a:ext>
          </a:extLst>
        </xdr:cNvPr>
        <xdr:cNvSpPr>
          <a:spLocks noChangeShapeType="1"/>
        </xdr:cNvSpPr>
      </xdr:nvSpPr>
      <xdr:spPr bwMode="auto">
        <a:xfrm>
          <a:off x="238125" y="9772650"/>
          <a:ext cx="752475" cy="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58</xdr:row>
      <xdr:rowOff>142875</xdr:rowOff>
    </xdr:from>
    <xdr:to>
      <xdr:col>1</xdr:col>
      <xdr:colOff>876300</xdr:colOff>
      <xdr:row>58</xdr:row>
      <xdr:rowOff>142875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C609803D-85B5-4957-8982-0CF41242DFE8}"/>
            </a:ext>
          </a:extLst>
        </xdr:cNvPr>
        <xdr:cNvSpPr>
          <a:spLocks noChangeShapeType="1"/>
        </xdr:cNvSpPr>
      </xdr:nvSpPr>
      <xdr:spPr bwMode="auto">
        <a:xfrm>
          <a:off x="247650" y="1001077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142875</xdr:colOff>
      <xdr:row>59</xdr:row>
      <xdr:rowOff>104775</xdr:rowOff>
    </xdr:from>
    <xdr:to>
      <xdr:col>1</xdr:col>
      <xdr:colOff>876300</xdr:colOff>
      <xdr:row>59</xdr:row>
      <xdr:rowOff>104775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51400AC4-A3A0-4E79-9F66-4C5FC9FE6A84}"/>
            </a:ext>
          </a:extLst>
        </xdr:cNvPr>
        <xdr:cNvSpPr>
          <a:spLocks noChangeShapeType="1"/>
        </xdr:cNvSpPr>
      </xdr:nvSpPr>
      <xdr:spPr bwMode="auto">
        <a:xfrm>
          <a:off x="247650" y="10220325"/>
          <a:ext cx="73342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97EB60E4-18CB-4669-8ABE-58A9507F1BF2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0" name="Line 18">
          <a:extLst>
            <a:ext uri="{FF2B5EF4-FFF2-40B4-BE49-F238E27FC236}">
              <a16:creationId xmlns:a16="http://schemas.microsoft.com/office/drawing/2014/main" id="{77B8B9E1-58FF-4B5E-A376-6BE627D70CE7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1" name="Line 18">
          <a:extLst>
            <a:ext uri="{FF2B5EF4-FFF2-40B4-BE49-F238E27FC236}">
              <a16:creationId xmlns:a16="http://schemas.microsoft.com/office/drawing/2014/main" id="{1FD3FC91-E5B5-45E9-9EDB-9AFB76E8B9C0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2" name="Line 18">
          <a:extLst>
            <a:ext uri="{FF2B5EF4-FFF2-40B4-BE49-F238E27FC236}">
              <a16:creationId xmlns:a16="http://schemas.microsoft.com/office/drawing/2014/main" id="{ADAEFA84-2F88-453F-BE03-266C9473F068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3" name="Line 18">
          <a:extLst>
            <a:ext uri="{FF2B5EF4-FFF2-40B4-BE49-F238E27FC236}">
              <a16:creationId xmlns:a16="http://schemas.microsoft.com/office/drawing/2014/main" id="{8D7FE894-0CE2-475E-9F48-8A33AF84669C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4" name="Line 18">
          <a:extLst>
            <a:ext uri="{FF2B5EF4-FFF2-40B4-BE49-F238E27FC236}">
              <a16:creationId xmlns:a16="http://schemas.microsoft.com/office/drawing/2014/main" id="{4AD724C1-E858-4165-A7A6-ED67C136CF3A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171450</xdr:colOff>
      <xdr:row>4</xdr:row>
      <xdr:rowOff>38100</xdr:rowOff>
    </xdr:from>
    <xdr:to>
      <xdr:col>2</xdr:col>
      <xdr:colOff>266700</xdr:colOff>
      <xdr:row>4</xdr:row>
      <xdr:rowOff>38100</xdr:rowOff>
    </xdr:to>
    <xdr:sp macro="" textlink="">
      <xdr:nvSpPr>
        <xdr:cNvPr id="25" name="Line 18">
          <a:extLst>
            <a:ext uri="{FF2B5EF4-FFF2-40B4-BE49-F238E27FC236}">
              <a16:creationId xmlns:a16="http://schemas.microsoft.com/office/drawing/2014/main" id="{AB84ECDD-CBDC-4522-813C-1E4B4B6B0A29}"/>
            </a:ext>
          </a:extLst>
        </xdr:cNvPr>
        <xdr:cNvSpPr>
          <a:spLocks noChangeShapeType="1"/>
        </xdr:cNvSpPr>
      </xdr:nvSpPr>
      <xdr:spPr bwMode="auto">
        <a:xfrm>
          <a:off x="1352550" y="981075"/>
          <a:ext cx="952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indexed="47"/>
  </sheetPr>
  <dimension ref="B2:D16"/>
  <sheetViews>
    <sheetView zoomScaleNormal="100" workbookViewId="0">
      <selection activeCell="D4" sqref="D4"/>
    </sheetView>
  </sheetViews>
  <sheetFormatPr defaultRowHeight="12.75"/>
  <cols>
    <col min="1" max="3" width="9.140625" style="113"/>
    <col min="4" max="4" width="27.28515625" style="113" customWidth="1"/>
    <col min="5" max="16384" width="9.140625" style="113"/>
  </cols>
  <sheetData>
    <row r="2" spans="2:4" ht="25.5">
      <c r="B2" s="112" t="s">
        <v>52</v>
      </c>
    </row>
    <row r="4" spans="2:4">
      <c r="B4" s="117" t="s">
        <v>53</v>
      </c>
      <c r="C4" s="117"/>
      <c r="D4" s="114"/>
    </row>
    <row r="10" spans="2:4">
      <c r="C10" s="115" t="s">
        <v>55</v>
      </c>
      <c r="D10" s="114" t="s">
        <v>54</v>
      </c>
    </row>
    <row r="11" spans="2:4">
      <c r="D11" s="114" t="s">
        <v>56</v>
      </c>
    </row>
    <row r="12" spans="2:4">
      <c r="D12" s="114"/>
    </row>
    <row r="13" spans="2:4">
      <c r="D13" s="114"/>
    </row>
    <row r="14" spans="2:4">
      <c r="D14" s="114"/>
    </row>
    <row r="15" spans="2:4">
      <c r="D15" s="114"/>
    </row>
    <row r="16" spans="2:4">
      <c r="D16" s="114"/>
    </row>
  </sheetData>
  <sheetProtection algorithmName="SHA-512" hashValue="YrkVrs8mCRfrN6YZQhQKUp6oY0042DUdUUayUPpPlCDnDXhydY/rzgb/tg7Y7slcMDYS9x72H011AVwvEMK5wg==" saltValue="fP1nEUHxaqKEsH6zz/qX4w==" spinCount="100000" sheet="1" objects="1" scenarios="1" selectLockedCells="1"/>
  <mergeCells count="1">
    <mergeCell ref="B4:C4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>
    <tabColor indexed="47"/>
    <pageSetUpPr fitToPage="1"/>
  </sheetPr>
  <dimension ref="B1:BC75"/>
  <sheetViews>
    <sheetView showZeros="0" topLeftCell="A2" zoomScaleNormal="100" workbookViewId="0">
      <selection activeCell="L49" sqref="L49"/>
    </sheetView>
  </sheetViews>
  <sheetFormatPr defaultColWidth="10.28515625" defaultRowHeight="12.75"/>
  <cols>
    <col min="1" max="1" width="1.5703125" style="13" customWidth="1"/>
    <col min="2" max="2" width="16.140625" style="13" customWidth="1"/>
    <col min="3" max="33" width="6.7109375" style="13" customWidth="1"/>
    <col min="34" max="34" width="3.140625" style="13" customWidth="1"/>
    <col min="35" max="55" width="6.7109375" style="13" customWidth="1"/>
    <col min="56" max="16384" width="10.28515625" style="13"/>
  </cols>
  <sheetData>
    <row r="1" spans="2:50" ht="21.75" thickBot="1">
      <c r="B1" s="99" t="s">
        <v>46</v>
      </c>
      <c r="C1" s="100"/>
      <c r="D1" s="100"/>
      <c r="E1" s="100"/>
      <c r="F1" s="101"/>
      <c r="G1" s="101"/>
      <c r="H1" s="102"/>
      <c r="I1" s="98" t="s">
        <v>42</v>
      </c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7"/>
      <c r="AX1" s="14"/>
    </row>
    <row r="2" spans="2:50" s="15" customFormat="1" ht="19.5" customHeight="1">
      <c r="B2" s="103" t="s">
        <v>47</v>
      </c>
      <c r="C2" s="104"/>
      <c r="D2" s="105"/>
      <c r="E2" s="105"/>
      <c r="F2" s="106"/>
      <c r="G2" s="106"/>
      <c r="H2" s="107"/>
      <c r="I2" s="145" t="s">
        <v>26</v>
      </c>
      <c r="J2" s="146"/>
      <c r="K2" s="149" t="s">
        <v>51</v>
      </c>
      <c r="L2" s="150"/>
      <c r="M2" s="153" t="s">
        <v>0</v>
      </c>
      <c r="N2" s="154"/>
      <c r="O2" s="154"/>
      <c r="P2" s="154"/>
      <c r="Q2" s="155"/>
      <c r="R2" s="159" t="s">
        <v>25</v>
      </c>
      <c r="S2" s="160"/>
      <c r="T2" s="161"/>
      <c r="U2" s="16" t="s">
        <v>43</v>
      </c>
      <c r="V2" s="17"/>
      <c r="W2" s="17"/>
      <c r="X2" s="17"/>
      <c r="Y2" s="17"/>
      <c r="Z2" s="18"/>
      <c r="AA2" s="18"/>
      <c r="AB2" s="18"/>
      <c r="AC2" s="18"/>
      <c r="AD2" s="18"/>
      <c r="AE2" s="19"/>
      <c r="AF2" s="19"/>
      <c r="AG2" s="20"/>
    </row>
    <row r="3" spans="2:50" ht="16.899999999999999" customHeight="1" thickBot="1">
      <c r="B3" s="82"/>
      <c r="I3" s="147"/>
      <c r="J3" s="148"/>
      <c r="K3" s="151"/>
      <c r="L3" s="152"/>
      <c r="M3" s="156"/>
      <c r="N3" s="157"/>
      <c r="O3" s="157"/>
      <c r="P3" s="157"/>
      <c r="Q3" s="158"/>
      <c r="R3" s="162" t="s">
        <v>24</v>
      </c>
      <c r="S3" s="163"/>
      <c r="T3" s="164"/>
      <c r="U3" s="21" t="s">
        <v>36</v>
      </c>
      <c r="V3" s="22"/>
      <c r="W3" s="22"/>
      <c r="X3" s="22"/>
      <c r="Y3" s="22"/>
      <c r="Z3" s="22"/>
      <c r="AA3" s="22"/>
      <c r="AB3" s="22"/>
      <c r="AC3" s="22"/>
      <c r="AD3" s="22"/>
      <c r="AE3" s="23"/>
      <c r="AF3" s="23"/>
      <c r="AG3" s="24"/>
    </row>
    <row r="4" spans="2:50" s="32" customFormat="1" ht="16.899999999999999" customHeight="1">
      <c r="B4" s="83" t="s">
        <v>13</v>
      </c>
      <c r="C4" s="25"/>
      <c r="D4" s="26" t="s">
        <v>1</v>
      </c>
      <c r="E4" s="27">
        <f>E5+E7/2</f>
        <v>8.43</v>
      </c>
      <c r="F4" s="28" t="s">
        <v>34</v>
      </c>
      <c r="G4" s="29">
        <f>G5+G7/2</f>
        <v>8.3800000000000008</v>
      </c>
      <c r="H4" s="30"/>
      <c r="I4" s="31"/>
      <c r="Z4" s="143" t="str">
        <f ca="1">"MÊS: "&amp;MID(CELL("nome.arquivo"),SEARCH(".xl",CELL("nome.arquivo"))-2,2)</f>
        <v>MÊS: 03</v>
      </c>
      <c r="AA4" s="139"/>
      <c r="AB4" s="139"/>
      <c r="AC4" s="139"/>
      <c r="AD4" s="139" t="str">
        <f ca="1">"ANO: 20"&amp;MID(CELL("nome.arquivo"),SEARCH(".xl",CELL("nome.arquivo"))-4,2)</f>
        <v>ANO: 2022</v>
      </c>
      <c r="AE4" s="139"/>
      <c r="AF4" s="139"/>
      <c r="AG4" s="140"/>
    </row>
    <row r="5" spans="2:50" s="32" customFormat="1" ht="16.899999999999999" customHeight="1" thickBot="1">
      <c r="B5" s="84" t="s">
        <v>48</v>
      </c>
      <c r="C5" s="33" t="s">
        <v>2</v>
      </c>
      <c r="D5" s="34" t="s">
        <v>3</v>
      </c>
      <c r="E5" s="35">
        <v>8.23</v>
      </c>
      <c r="F5" s="36" t="s">
        <v>3</v>
      </c>
      <c r="G5" s="37">
        <f>E5</f>
        <v>8.23</v>
      </c>
      <c r="H5" s="30"/>
      <c r="I5" s="32" t="s">
        <v>31</v>
      </c>
      <c r="R5" s="32" t="s">
        <v>4</v>
      </c>
      <c r="Z5" s="144"/>
      <c r="AA5" s="141"/>
      <c r="AB5" s="141"/>
      <c r="AC5" s="141"/>
      <c r="AD5" s="141"/>
      <c r="AE5" s="141"/>
      <c r="AF5" s="141"/>
      <c r="AG5" s="142"/>
    </row>
    <row r="6" spans="2:50" s="32" customFormat="1" ht="16.899999999999999" customHeight="1">
      <c r="B6" s="85" t="s">
        <v>14</v>
      </c>
      <c r="C6" s="38"/>
      <c r="D6" s="34" t="s">
        <v>5</v>
      </c>
      <c r="E6" s="35">
        <f>E5-E7/2</f>
        <v>8.0300000000000011</v>
      </c>
      <c r="F6" s="36" t="s">
        <v>35</v>
      </c>
      <c r="G6" s="37">
        <f>G5-G7/2</f>
        <v>8.08</v>
      </c>
      <c r="H6" s="30"/>
      <c r="I6" s="32" t="s">
        <v>6</v>
      </c>
      <c r="R6" s="32" t="s">
        <v>7</v>
      </c>
      <c r="AC6" s="86"/>
      <c r="AD6" s="86"/>
      <c r="AG6" s="87"/>
    </row>
    <row r="7" spans="2:50" s="32" customFormat="1" ht="16.899999999999999" customHeight="1" thickBot="1">
      <c r="B7" s="88"/>
      <c r="C7" s="89" t="s">
        <v>8</v>
      </c>
      <c r="D7" s="90" t="s">
        <v>1</v>
      </c>
      <c r="E7" s="91">
        <v>0.4</v>
      </c>
      <c r="F7" s="39" t="s">
        <v>34</v>
      </c>
      <c r="G7" s="40">
        <v>0.3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4"/>
      <c r="AE7" s="93"/>
      <c r="AF7" s="93"/>
      <c r="AG7" s="95"/>
    </row>
    <row r="8" spans="2:50" s="32" customFormat="1" ht="4.5" customHeight="1" thickBot="1"/>
    <row r="9" spans="2:50" s="42" customFormat="1">
      <c r="B9" s="41" t="s">
        <v>10</v>
      </c>
      <c r="C9" s="74">
        <v>1</v>
      </c>
      <c r="D9" s="74">
        <v>2</v>
      </c>
      <c r="E9" s="74">
        <v>3</v>
      </c>
      <c r="F9" s="74">
        <v>4</v>
      </c>
      <c r="G9" s="74">
        <v>5</v>
      </c>
      <c r="H9" s="74">
        <v>6</v>
      </c>
      <c r="I9" s="74">
        <v>7</v>
      </c>
      <c r="J9" s="74">
        <v>8</v>
      </c>
      <c r="K9" s="74">
        <v>9</v>
      </c>
      <c r="L9" s="74">
        <v>10</v>
      </c>
      <c r="M9" s="74">
        <v>11</v>
      </c>
      <c r="N9" s="74">
        <v>12</v>
      </c>
      <c r="O9" s="74">
        <v>13</v>
      </c>
      <c r="P9" s="74">
        <v>14</v>
      </c>
      <c r="Q9" s="74">
        <v>15</v>
      </c>
      <c r="R9" s="74">
        <v>16</v>
      </c>
      <c r="S9" s="74">
        <v>17</v>
      </c>
      <c r="T9" s="74">
        <v>18</v>
      </c>
      <c r="U9" s="74">
        <v>19</v>
      </c>
      <c r="V9" s="74">
        <v>20</v>
      </c>
      <c r="W9" s="74">
        <v>21</v>
      </c>
      <c r="X9" s="74">
        <v>22</v>
      </c>
      <c r="Y9" s="74">
        <v>23</v>
      </c>
      <c r="Z9" s="74">
        <v>24</v>
      </c>
      <c r="AA9" s="74">
        <v>25</v>
      </c>
      <c r="AB9" s="74">
        <v>26</v>
      </c>
      <c r="AC9" s="74">
        <v>27</v>
      </c>
      <c r="AD9" s="74">
        <v>28</v>
      </c>
      <c r="AE9" s="74">
        <v>29</v>
      </c>
      <c r="AF9" s="74">
        <v>30</v>
      </c>
      <c r="AG9" s="75">
        <v>31</v>
      </c>
    </row>
    <row r="10" spans="2:50" s="42" customFormat="1" ht="14.1" customHeight="1">
      <c r="B10" s="43" t="s">
        <v>11</v>
      </c>
      <c r="C10" s="10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10"/>
    </row>
    <row r="11" spans="2:50" s="42" customFormat="1" ht="14.1" customHeight="1">
      <c r="B11" s="44" t="s">
        <v>41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10"/>
    </row>
    <row r="12" spans="2:50" s="42" customFormat="1" ht="12" customHeight="1">
      <c r="B12" s="45"/>
      <c r="AG12" s="46"/>
    </row>
    <row r="13" spans="2:50" s="42" customFormat="1" ht="12" customHeight="1">
      <c r="B13" s="129"/>
      <c r="AG13" s="46"/>
    </row>
    <row r="14" spans="2:50" s="42" customFormat="1" ht="12" customHeight="1">
      <c r="B14" s="129"/>
      <c r="AG14" s="46"/>
    </row>
    <row r="15" spans="2:50" s="42" customFormat="1" ht="12" customHeight="1">
      <c r="B15" s="130"/>
      <c r="AG15" s="46"/>
    </row>
    <row r="16" spans="2:50" s="42" customFormat="1" ht="12" customHeight="1">
      <c r="B16" s="130"/>
      <c r="AG16" s="46"/>
    </row>
    <row r="17" spans="2:33" s="42" customFormat="1" ht="12" customHeight="1">
      <c r="B17" s="130"/>
      <c r="AG17" s="46"/>
    </row>
    <row r="18" spans="2:33" s="42" customFormat="1" ht="12" customHeight="1">
      <c r="B18" s="130"/>
      <c r="AG18" s="46"/>
    </row>
    <row r="19" spans="2:33" s="42" customFormat="1" ht="12" customHeight="1">
      <c r="B19" s="130"/>
      <c r="AG19" s="46"/>
    </row>
    <row r="20" spans="2:33" s="42" customFormat="1" ht="12" customHeight="1">
      <c r="B20" s="130"/>
      <c r="AG20" s="46"/>
    </row>
    <row r="21" spans="2:33" s="42" customFormat="1" ht="12" customHeight="1">
      <c r="B21" s="130"/>
      <c r="AG21" s="46"/>
    </row>
    <row r="22" spans="2:33" s="42" customFormat="1" ht="12" customHeight="1">
      <c r="B22" s="130"/>
      <c r="AG22" s="46"/>
    </row>
    <row r="23" spans="2:33" s="42" customFormat="1" ht="12" customHeight="1">
      <c r="B23" s="129"/>
      <c r="AG23" s="46"/>
    </row>
    <row r="24" spans="2:33" s="42" customFormat="1" ht="12" customHeight="1">
      <c r="B24" s="129"/>
      <c r="AG24" s="46"/>
    </row>
    <row r="25" spans="2:33" s="42" customFormat="1" ht="12" customHeight="1">
      <c r="B25" s="130"/>
      <c r="AG25" s="46"/>
    </row>
    <row r="26" spans="2:33" s="42" customFormat="1" ht="12" customHeight="1">
      <c r="B26" s="130"/>
      <c r="AG26" s="46"/>
    </row>
    <row r="27" spans="2:33" s="42" customFormat="1" ht="12" customHeight="1">
      <c r="B27" s="130"/>
      <c r="AG27" s="46"/>
    </row>
    <row r="28" spans="2:33" s="42" customFormat="1" ht="12" customHeight="1">
      <c r="B28" s="130"/>
      <c r="AG28" s="46"/>
    </row>
    <row r="29" spans="2:33" s="42" customFormat="1" ht="12" customHeight="1">
      <c r="B29" s="130"/>
      <c r="AG29" s="46"/>
    </row>
    <row r="30" spans="2:33" s="42" customFormat="1" ht="12" customHeight="1">
      <c r="B30" s="130"/>
      <c r="AG30" s="46"/>
    </row>
    <row r="31" spans="2:33" s="42" customFormat="1" ht="12" customHeight="1">
      <c r="B31" s="130"/>
      <c r="AG31" s="46"/>
    </row>
    <row r="32" spans="2:33" s="42" customFormat="1" ht="12" customHeight="1">
      <c r="B32" s="130"/>
      <c r="AG32" s="46"/>
    </row>
    <row r="33" spans="2:33" s="42" customFormat="1" ht="12" customHeight="1">
      <c r="B33" s="129"/>
      <c r="AG33" s="46"/>
    </row>
    <row r="34" spans="2:33" s="42" customFormat="1" ht="12" customHeight="1">
      <c r="B34" s="129"/>
      <c r="AG34" s="46"/>
    </row>
    <row r="35" spans="2:33" s="42" customFormat="1" ht="12" customHeight="1" thickBot="1">
      <c r="B35" s="48"/>
      <c r="AG35" s="46"/>
    </row>
    <row r="36" spans="2:33" s="42" customFormat="1" ht="12" customHeight="1">
      <c r="B36" s="131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50"/>
    </row>
    <row r="37" spans="2:33" s="42" customFormat="1" ht="12" customHeight="1">
      <c r="B37" s="129"/>
      <c r="AG37" s="46"/>
    </row>
    <row r="38" spans="2:33" s="42" customFormat="1" ht="12" customHeight="1">
      <c r="B38" s="47"/>
      <c r="AG38" s="46"/>
    </row>
    <row r="39" spans="2:33" s="42" customFormat="1" ht="12" customHeight="1">
      <c r="B39" s="47"/>
      <c r="AG39" s="46"/>
    </row>
    <row r="40" spans="2:33" s="42" customFormat="1" ht="12" customHeight="1">
      <c r="B40" s="47"/>
      <c r="AG40" s="46"/>
    </row>
    <row r="41" spans="2:33" s="42" customFormat="1" ht="12" customHeight="1">
      <c r="B41" s="129"/>
      <c r="AG41" s="46"/>
    </row>
    <row r="42" spans="2:33" s="42" customFormat="1" ht="12" customHeight="1">
      <c r="B42" s="129"/>
      <c r="AG42" s="46"/>
    </row>
    <row r="43" spans="2:33" s="42" customFormat="1" ht="12" customHeight="1">
      <c r="B43" s="47"/>
      <c r="AG43" s="46"/>
    </row>
    <row r="44" spans="2:33" s="42" customFormat="1" ht="12" customHeight="1">
      <c r="B44" s="47"/>
      <c r="AG44" s="46"/>
    </row>
    <row r="45" spans="2:33" s="42" customFormat="1" ht="12" customHeight="1">
      <c r="B45" s="47"/>
      <c r="AG45" s="46"/>
    </row>
    <row r="46" spans="2:33" s="42" customFormat="1" ht="12" customHeight="1" thickBot="1"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3"/>
    </row>
    <row r="47" spans="2:33" s="42" customFormat="1" ht="6" customHeight="1">
      <c r="B47" s="54"/>
      <c r="AG47" s="46"/>
    </row>
    <row r="48" spans="2:33" s="56" customFormat="1" ht="15" customHeight="1">
      <c r="B48" s="55">
        <v>1</v>
      </c>
      <c r="C48" s="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11"/>
    </row>
    <row r="49" spans="2:55" s="56" customFormat="1" ht="15" customHeight="1">
      <c r="B49" s="57">
        <v>2</v>
      </c>
      <c r="C49" s="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12"/>
    </row>
    <row r="50" spans="2:55" s="56" customFormat="1" ht="15" customHeight="1">
      <c r="B50" s="57">
        <v>3</v>
      </c>
      <c r="C50" s="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12"/>
    </row>
    <row r="51" spans="2:55" s="56" customFormat="1" ht="15" customHeight="1">
      <c r="B51" s="57">
        <v>4</v>
      </c>
      <c r="C51" s="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12"/>
    </row>
    <row r="52" spans="2:55" s="56" customFormat="1" ht="15" customHeight="1">
      <c r="B52" s="61">
        <v>5</v>
      </c>
      <c r="C52" s="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12"/>
    </row>
    <row r="53" spans="2:55" s="56" customFormat="1" ht="15" customHeight="1">
      <c r="B53" s="61" t="s">
        <v>15</v>
      </c>
      <c r="C53" s="58" t="str">
        <f t="shared" ref="C53:AG53" si="0">IF(ISERR(AVERAGE(C48:C52))," ",AVERAGE(C48:C52))</f>
        <v xml:space="preserve"> </v>
      </c>
      <c r="D53" s="59" t="str">
        <f t="shared" si="0"/>
        <v xml:space="preserve"> </v>
      </c>
      <c r="E53" s="59" t="str">
        <f t="shared" si="0"/>
        <v xml:space="preserve"> </v>
      </c>
      <c r="F53" s="59" t="str">
        <f t="shared" si="0"/>
        <v xml:space="preserve"> </v>
      </c>
      <c r="G53" s="59" t="str">
        <f t="shared" si="0"/>
        <v xml:space="preserve"> </v>
      </c>
      <c r="H53" s="59" t="str">
        <f t="shared" si="0"/>
        <v xml:space="preserve"> </v>
      </c>
      <c r="I53" s="59" t="str">
        <f t="shared" si="0"/>
        <v xml:space="preserve"> </v>
      </c>
      <c r="J53" s="59" t="str">
        <f t="shared" si="0"/>
        <v xml:space="preserve"> </v>
      </c>
      <c r="K53" s="59" t="str">
        <f t="shared" si="0"/>
        <v xml:space="preserve"> </v>
      </c>
      <c r="L53" s="59" t="str">
        <f t="shared" si="0"/>
        <v xml:space="preserve"> </v>
      </c>
      <c r="M53" s="59" t="str">
        <f t="shared" si="0"/>
        <v xml:space="preserve"> </v>
      </c>
      <c r="N53" s="59" t="str">
        <f t="shared" si="0"/>
        <v xml:space="preserve"> </v>
      </c>
      <c r="O53" s="59" t="str">
        <f t="shared" si="0"/>
        <v xml:space="preserve"> </v>
      </c>
      <c r="P53" s="59" t="str">
        <f t="shared" si="0"/>
        <v xml:space="preserve"> </v>
      </c>
      <c r="Q53" s="59" t="str">
        <f t="shared" si="0"/>
        <v xml:space="preserve"> </v>
      </c>
      <c r="R53" s="59" t="str">
        <f t="shared" si="0"/>
        <v xml:space="preserve"> </v>
      </c>
      <c r="S53" s="59" t="str">
        <f t="shared" si="0"/>
        <v xml:space="preserve"> </v>
      </c>
      <c r="T53" s="59" t="str">
        <f t="shared" si="0"/>
        <v xml:space="preserve"> </v>
      </c>
      <c r="U53" s="59" t="str">
        <f t="shared" si="0"/>
        <v xml:space="preserve"> </v>
      </c>
      <c r="V53" s="59" t="str">
        <f t="shared" si="0"/>
        <v xml:space="preserve"> </v>
      </c>
      <c r="W53" s="59" t="str">
        <f t="shared" si="0"/>
        <v xml:space="preserve"> </v>
      </c>
      <c r="X53" s="59" t="str">
        <f t="shared" si="0"/>
        <v xml:space="preserve"> </v>
      </c>
      <c r="Y53" s="59" t="str">
        <f t="shared" si="0"/>
        <v xml:space="preserve"> </v>
      </c>
      <c r="Z53" s="59" t="str">
        <f t="shared" si="0"/>
        <v xml:space="preserve"> </v>
      </c>
      <c r="AA53" s="59" t="str">
        <f t="shared" si="0"/>
        <v xml:space="preserve"> </v>
      </c>
      <c r="AB53" s="59" t="str">
        <f t="shared" si="0"/>
        <v xml:space="preserve"> </v>
      </c>
      <c r="AC53" s="59" t="str">
        <f t="shared" si="0"/>
        <v xml:space="preserve"> </v>
      </c>
      <c r="AD53" s="59" t="str">
        <f t="shared" si="0"/>
        <v xml:space="preserve"> </v>
      </c>
      <c r="AE53" s="59" t="str">
        <f t="shared" si="0"/>
        <v xml:space="preserve"> </v>
      </c>
      <c r="AF53" s="59" t="str">
        <f t="shared" si="0"/>
        <v xml:space="preserve"> </v>
      </c>
      <c r="AG53" s="60" t="str">
        <f t="shared" si="0"/>
        <v xml:space="preserve"> </v>
      </c>
    </row>
    <row r="54" spans="2:55" s="56" customFormat="1" ht="15" customHeight="1">
      <c r="B54" s="61" t="s">
        <v>8</v>
      </c>
      <c r="C54" s="62">
        <f t="shared" ref="C54:AG54" si="1">MAX(C48:C52)-MIN(C48:C52)</f>
        <v>0</v>
      </c>
      <c r="D54" s="63">
        <f t="shared" si="1"/>
        <v>0</v>
      </c>
      <c r="E54" s="63">
        <f t="shared" si="1"/>
        <v>0</v>
      </c>
      <c r="F54" s="63">
        <f t="shared" si="1"/>
        <v>0</v>
      </c>
      <c r="G54" s="63">
        <f t="shared" si="1"/>
        <v>0</v>
      </c>
      <c r="H54" s="63">
        <f t="shared" si="1"/>
        <v>0</v>
      </c>
      <c r="I54" s="63">
        <f t="shared" si="1"/>
        <v>0</v>
      </c>
      <c r="J54" s="63">
        <f t="shared" si="1"/>
        <v>0</v>
      </c>
      <c r="K54" s="63">
        <f t="shared" si="1"/>
        <v>0</v>
      </c>
      <c r="L54" s="63">
        <f t="shared" si="1"/>
        <v>0</v>
      </c>
      <c r="M54" s="63">
        <f t="shared" si="1"/>
        <v>0</v>
      </c>
      <c r="N54" s="63">
        <f t="shared" si="1"/>
        <v>0</v>
      </c>
      <c r="O54" s="63">
        <f t="shared" si="1"/>
        <v>0</v>
      </c>
      <c r="P54" s="63">
        <f t="shared" si="1"/>
        <v>0</v>
      </c>
      <c r="Q54" s="63">
        <f t="shared" si="1"/>
        <v>0</v>
      </c>
      <c r="R54" s="109">
        <f t="shared" si="1"/>
        <v>0</v>
      </c>
      <c r="S54" s="109">
        <f t="shared" si="1"/>
        <v>0</v>
      </c>
      <c r="T54" s="109">
        <f t="shared" si="1"/>
        <v>0</v>
      </c>
      <c r="U54" s="109">
        <f t="shared" si="1"/>
        <v>0</v>
      </c>
      <c r="V54" s="109">
        <f t="shared" si="1"/>
        <v>0</v>
      </c>
      <c r="W54" s="109">
        <f t="shared" si="1"/>
        <v>0</v>
      </c>
      <c r="X54" s="109">
        <f t="shared" si="1"/>
        <v>0</v>
      </c>
      <c r="Y54" s="109">
        <f t="shared" si="1"/>
        <v>0</v>
      </c>
      <c r="Z54" s="109">
        <f t="shared" si="1"/>
        <v>0</v>
      </c>
      <c r="AA54" s="109">
        <f t="shared" si="1"/>
        <v>0</v>
      </c>
      <c r="AB54" s="109">
        <f t="shared" si="1"/>
        <v>0</v>
      </c>
      <c r="AC54" s="109">
        <f t="shared" si="1"/>
        <v>0</v>
      </c>
      <c r="AD54" s="109">
        <f t="shared" si="1"/>
        <v>0</v>
      </c>
      <c r="AE54" s="109">
        <f t="shared" si="1"/>
        <v>0</v>
      </c>
      <c r="AF54" s="109">
        <f t="shared" si="1"/>
        <v>0</v>
      </c>
      <c r="AG54" s="110">
        <f t="shared" si="1"/>
        <v>0</v>
      </c>
    </row>
    <row r="55" spans="2:55" s="56" customFormat="1" ht="20.100000000000001" customHeight="1">
      <c r="B55" s="64" t="s">
        <v>12</v>
      </c>
      <c r="C55" s="76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8"/>
    </row>
    <row r="56" spans="2:55" s="56" customFormat="1" ht="26.25" thickBot="1">
      <c r="B56" s="116" t="s">
        <v>57</v>
      </c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1"/>
    </row>
    <row r="57" spans="2:55" s="42" customFormat="1" ht="20.100000000000001" customHeight="1">
      <c r="B57" s="132" t="s">
        <v>27</v>
      </c>
      <c r="C57" s="133"/>
      <c r="D57" s="133"/>
      <c r="E57" s="134"/>
      <c r="F57" s="65" t="s">
        <v>30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50"/>
    </row>
    <row r="58" spans="2:55" s="42" customFormat="1" ht="20.100000000000001" customHeight="1">
      <c r="B58" s="66"/>
      <c r="C58" s="32" t="s">
        <v>29</v>
      </c>
      <c r="D58" s="32"/>
      <c r="E58" s="46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42" customFormat="1" ht="20.100000000000001" customHeight="1">
      <c r="B59" s="135" t="s">
        <v>28</v>
      </c>
      <c r="C59" s="136"/>
      <c r="D59" s="136"/>
      <c r="E59" s="46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42" customFormat="1" ht="20.100000000000001" customHeight="1" thickBot="1">
      <c r="B60" s="67"/>
      <c r="C60" s="68" t="s">
        <v>15</v>
      </c>
      <c r="D60" s="52"/>
      <c r="E60" s="5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42" customFormat="1" ht="7.5" customHeight="1"/>
    <row r="62" spans="2:55" s="42" customFormat="1" ht="15.75">
      <c r="B62" s="137" t="s">
        <v>32</v>
      </c>
      <c r="C62" s="120"/>
      <c r="D62" s="120"/>
      <c r="E62" s="120"/>
      <c r="F62" s="120"/>
      <c r="G62" s="118" t="s">
        <v>16</v>
      </c>
      <c r="H62" s="118"/>
      <c r="I62" s="118"/>
      <c r="J62" s="118"/>
      <c r="K62" s="127"/>
      <c r="L62" s="118" t="s">
        <v>33</v>
      </c>
      <c r="M62" s="118"/>
      <c r="N62" s="118"/>
      <c r="O62" s="118"/>
      <c r="P62" s="118"/>
      <c r="Q62" s="118"/>
      <c r="R62" s="118"/>
      <c r="S62" s="120" t="s">
        <v>44</v>
      </c>
      <c r="T62" s="120"/>
      <c r="U62" s="120"/>
      <c r="V62" s="120"/>
      <c r="W62" s="122" t="s">
        <v>45</v>
      </c>
      <c r="X62" s="120"/>
      <c r="Y62" s="120"/>
      <c r="Z62" s="120"/>
      <c r="AA62" s="120"/>
      <c r="AB62" s="120"/>
      <c r="AC62" s="120" t="s">
        <v>16</v>
      </c>
      <c r="AD62" s="120"/>
      <c r="AE62" s="120"/>
      <c r="AF62" s="120"/>
      <c r="AG62" s="124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</row>
    <row r="63" spans="2:55" s="42" customFormat="1" ht="15.75">
      <c r="B63" s="138"/>
      <c r="C63" s="121"/>
      <c r="D63" s="121"/>
      <c r="E63" s="121"/>
      <c r="F63" s="121"/>
      <c r="G63" s="119"/>
      <c r="H63" s="119"/>
      <c r="I63" s="119"/>
      <c r="J63" s="119"/>
      <c r="K63" s="128"/>
      <c r="L63" s="119"/>
      <c r="M63" s="119"/>
      <c r="N63" s="119"/>
      <c r="O63" s="119"/>
      <c r="P63" s="119"/>
      <c r="Q63" s="119"/>
      <c r="R63" s="119"/>
      <c r="S63" s="121"/>
      <c r="T63" s="121"/>
      <c r="U63" s="121"/>
      <c r="V63" s="121"/>
      <c r="W63" s="123"/>
      <c r="X63" s="121"/>
      <c r="Y63" s="121"/>
      <c r="Z63" s="121"/>
      <c r="AA63" s="121"/>
      <c r="AB63" s="121"/>
      <c r="AC63" s="121"/>
      <c r="AD63" s="121"/>
      <c r="AE63" s="121"/>
      <c r="AF63" s="121"/>
      <c r="AG63" s="125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</row>
    <row r="64" spans="2:55" ht="14.25">
      <c r="B64" s="70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0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</row>
    <row r="65" spans="2:5">
      <c r="B65" s="13" t="s">
        <v>19</v>
      </c>
    </row>
    <row r="66" spans="2:5">
      <c r="B66" s="13" t="s">
        <v>17</v>
      </c>
      <c r="C66" s="72" t="e">
        <f>AVERAGE(C53:AG53)+0.577*C69</f>
        <v>#DIV/0!</v>
      </c>
    </row>
    <row r="67" spans="2:5">
      <c r="B67" s="13" t="s">
        <v>2</v>
      </c>
      <c r="C67" s="72" t="e">
        <f>AVERAGE(C53:AG53)</f>
        <v>#DIV/0!</v>
      </c>
      <c r="D67" s="73" t="s">
        <v>23</v>
      </c>
      <c r="E67" s="13" t="e">
        <f>STDEV(C48:AF52)</f>
        <v>#DIV/0!</v>
      </c>
    </row>
    <row r="68" spans="2:5">
      <c r="B68" s="13" t="s">
        <v>18</v>
      </c>
      <c r="C68" s="72" t="e">
        <f>C67-0.577*C69</f>
        <v>#DIV/0!</v>
      </c>
    </row>
    <row r="69" spans="2:5">
      <c r="B69" s="13" t="s">
        <v>8</v>
      </c>
      <c r="C69" s="72" t="e">
        <f>2.115*(SUM(C54:AG54)/COUNTIF(C54:AG54,"&lt;&gt;0"))</f>
        <v>#DIV/0!</v>
      </c>
    </row>
    <row r="71" spans="2:5">
      <c r="B71" s="13" t="s">
        <v>20</v>
      </c>
    </row>
    <row r="73" spans="2:5">
      <c r="B73" s="13" t="s">
        <v>21</v>
      </c>
      <c r="C73" s="72" t="e">
        <f>E7/(6*E67)</f>
        <v>#DIV/0!</v>
      </c>
    </row>
    <row r="74" spans="2:5">
      <c r="B74" s="13" t="s">
        <v>22</v>
      </c>
      <c r="C74" s="72" t="e">
        <f>MIN((E4-C67)/(3*E67),(C67-E6)/(3*E67))</f>
        <v>#DIV/0!</v>
      </c>
    </row>
    <row r="75" spans="2:5">
      <c r="C75" s="13">
        <f>COUNTIF(C10:AG10,"&gt;0")</f>
        <v>0</v>
      </c>
    </row>
  </sheetData>
  <sheetProtection algorithmName="SHA-512" hashValue="75D6s9ISVDDnsohWayRFoCoN7i7gygjnojbltAR+U3y0BFZPwLnoJ1r/0v5ndMALsaftZY0d+IFcbw0GuU6c2w==" saltValue="yyDFAkK1WBt2AReoEQGlsw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5" priority="1">
      <formula>(C48&gt;$G$4)*(C48&lt;&gt;0)</formula>
    </cfRule>
    <cfRule type="expression" dxfId="4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100-000000000000}">
      <formula1>1</formula1>
      <formula2>31</formula2>
    </dataValidation>
    <dataValidation type="whole" showInputMessage="1" showErrorMessage="1" errorTitle="Data" error="Digite apenas o dia entre 1 e 31" sqref="E10:AG10" xr:uid="{00000000-0002-0000-0100-000001000000}">
      <formula1>1</formula1>
      <formula2>31</formula2>
    </dataValidation>
    <dataValidation type="list" showErrorMessage="1" promptTitle="Turno" prompt="Escolha" sqref="C11:AG11" xr:uid="{00000000-0002-0000-01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>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tabColor indexed="47"/>
    <pageSetUpPr fitToPage="1"/>
  </sheetPr>
  <dimension ref="B1:BC75"/>
  <sheetViews>
    <sheetView showZeros="0" topLeftCell="B2" zoomScaleNormal="100" workbookViewId="0">
      <selection activeCell="P55" sqref="P55"/>
    </sheetView>
  </sheetViews>
  <sheetFormatPr defaultColWidth="10.28515625" defaultRowHeight="12.75"/>
  <cols>
    <col min="1" max="1" width="1.5703125" style="13" customWidth="1"/>
    <col min="2" max="2" width="16.140625" style="13" customWidth="1"/>
    <col min="3" max="33" width="6.7109375" style="13" customWidth="1"/>
    <col min="34" max="34" width="3.140625" style="13" customWidth="1"/>
    <col min="35" max="55" width="6.7109375" style="13" customWidth="1"/>
    <col min="56" max="16384" width="10.28515625" style="13"/>
  </cols>
  <sheetData>
    <row r="1" spans="2:50" ht="21.75" thickBot="1">
      <c r="B1" s="99" t="s">
        <v>46</v>
      </c>
      <c r="C1" s="100"/>
      <c r="D1" s="100"/>
      <c r="E1" s="100"/>
      <c r="F1" s="101"/>
      <c r="G1" s="101"/>
      <c r="H1" s="102"/>
      <c r="I1" s="98" t="s">
        <v>42</v>
      </c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7"/>
      <c r="AX1" s="14"/>
    </row>
    <row r="2" spans="2:50" s="15" customFormat="1" ht="19.5" customHeight="1">
      <c r="B2" s="103" t="s">
        <v>47</v>
      </c>
      <c r="C2" s="104"/>
      <c r="D2" s="105"/>
      <c r="E2" s="105"/>
      <c r="F2" s="106"/>
      <c r="G2" s="106"/>
      <c r="H2" s="107"/>
      <c r="I2" s="145" t="s">
        <v>26</v>
      </c>
      <c r="J2" s="146"/>
      <c r="K2" s="149" t="str">
        <f>'SJCPIL-R 16-303-03 - T1'!K2:L3</f>
        <v>UM-3 L1</v>
      </c>
      <c r="L2" s="150"/>
      <c r="M2" s="153" t="s">
        <v>0</v>
      </c>
      <c r="N2" s="154"/>
      <c r="O2" s="154"/>
      <c r="P2" s="154"/>
      <c r="Q2" s="155"/>
      <c r="R2" s="159" t="s">
        <v>25</v>
      </c>
      <c r="S2" s="160"/>
      <c r="T2" s="161"/>
      <c r="U2" s="16" t="s">
        <v>37</v>
      </c>
      <c r="V2" s="17"/>
      <c r="W2" s="17"/>
      <c r="X2" s="17"/>
      <c r="Y2" s="17"/>
      <c r="Z2" s="18"/>
      <c r="AA2" s="18"/>
      <c r="AB2" s="18"/>
      <c r="AC2" s="18"/>
      <c r="AD2" s="18"/>
      <c r="AE2" s="19"/>
      <c r="AF2" s="19"/>
      <c r="AG2" s="20"/>
    </row>
    <row r="3" spans="2:50" ht="16.899999999999999" customHeight="1" thickBot="1">
      <c r="B3" s="82"/>
      <c r="I3" s="147"/>
      <c r="J3" s="148"/>
      <c r="K3" s="151"/>
      <c r="L3" s="152"/>
      <c r="M3" s="156"/>
      <c r="N3" s="157"/>
      <c r="O3" s="157"/>
      <c r="P3" s="157"/>
      <c r="Q3" s="158"/>
      <c r="R3" s="162" t="s">
        <v>24</v>
      </c>
      <c r="S3" s="163"/>
      <c r="T3" s="164"/>
      <c r="U3" s="21" t="s">
        <v>38</v>
      </c>
      <c r="V3" s="22"/>
      <c r="W3" s="22"/>
      <c r="X3" s="22"/>
      <c r="Y3" s="22"/>
      <c r="Z3" s="22"/>
      <c r="AA3" s="22"/>
      <c r="AB3" s="22"/>
      <c r="AC3" s="22"/>
      <c r="AD3" s="22"/>
      <c r="AE3" s="23"/>
      <c r="AF3" s="23"/>
      <c r="AG3" s="24"/>
    </row>
    <row r="4" spans="2:50" s="32" customFormat="1" ht="16.899999999999999" customHeight="1">
      <c r="B4" s="83" t="s">
        <v>13</v>
      </c>
      <c r="C4" s="25"/>
      <c r="D4" s="26" t="s">
        <v>1</v>
      </c>
      <c r="E4" s="27">
        <f>E5+E7/2</f>
        <v>41</v>
      </c>
      <c r="F4" s="28" t="s">
        <v>34</v>
      </c>
      <c r="G4" s="29">
        <f>G5+G7/2</f>
        <v>40.799999999999997</v>
      </c>
      <c r="H4" s="30"/>
      <c r="I4" s="31"/>
      <c r="Z4" s="143" t="str">
        <f ca="1">'SJCPIL-R 16-303-03 - T1'!Z4:AC5</f>
        <v>MÊS: 03</v>
      </c>
      <c r="AA4" s="139"/>
      <c r="AB4" s="139"/>
      <c r="AC4" s="139"/>
      <c r="AD4" s="139" t="str">
        <f ca="1">'SJCPIL-R 16-303-03 - T1'!AD4:AG5</f>
        <v>ANO: 2022</v>
      </c>
      <c r="AE4" s="139"/>
      <c r="AF4" s="139"/>
      <c r="AG4" s="140"/>
    </row>
    <row r="5" spans="2:50" s="32" customFormat="1" ht="16.899999999999999" customHeight="1" thickBot="1">
      <c r="B5" s="84" t="s">
        <v>49</v>
      </c>
      <c r="C5" s="33" t="s">
        <v>2</v>
      </c>
      <c r="D5" s="34" t="s">
        <v>3</v>
      </c>
      <c r="E5" s="35">
        <v>40</v>
      </c>
      <c r="F5" s="36" t="s">
        <v>3</v>
      </c>
      <c r="G5" s="37">
        <f>E5</f>
        <v>40</v>
      </c>
      <c r="H5" s="30"/>
      <c r="I5" s="32" t="s">
        <v>31</v>
      </c>
      <c r="R5" s="32" t="s">
        <v>4</v>
      </c>
      <c r="Z5" s="144"/>
      <c r="AA5" s="141"/>
      <c r="AB5" s="141"/>
      <c r="AC5" s="141"/>
      <c r="AD5" s="141"/>
      <c r="AE5" s="141"/>
      <c r="AF5" s="141"/>
      <c r="AG5" s="142"/>
    </row>
    <row r="6" spans="2:50" s="32" customFormat="1" ht="16.899999999999999" customHeight="1">
      <c r="B6" s="85" t="s">
        <v>14</v>
      </c>
      <c r="C6" s="38"/>
      <c r="D6" s="34" t="s">
        <v>5</v>
      </c>
      <c r="E6" s="35">
        <f>E5-E7/2</f>
        <v>39</v>
      </c>
      <c r="F6" s="36" t="s">
        <v>35</v>
      </c>
      <c r="G6" s="37">
        <f>G5-G7/2</f>
        <v>39.200000000000003</v>
      </c>
      <c r="H6" s="30"/>
      <c r="I6" s="32" t="s">
        <v>6</v>
      </c>
      <c r="R6" s="32" t="s">
        <v>7</v>
      </c>
      <c r="AC6" s="86"/>
      <c r="AD6" s="86"/>
      <c r="AG6" s="87"/>
    </row>
    <row r="7" spans="2:50" s="32" customFormat="1" ht="16.899999999999999" customHeight="1" thickBot="1">
      <c r="B7" s="88"/>
      <c r="C7" s="89" t="s">
        <v>8</v>
      </c>
      <c r="D7" s="90" t="s">
        <v>1</v>
      </c>
      <c r="E7" s="91">
        <v>2</v>
      </c>
      <c r="F7" s="39" t="s">
        <v>34</v>
      </c>
      <c r="G7" s="40">
        <v>1.6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4"/>
      <c r="AE7" s="93"/>
      <c r="AF7" s="93"/>
      <c r="AG7" s="95"/>
    </row>
    <row r="8" spans="2:50" s="32" customFormat="1" ht="4.5" customHeight="1" thickBot="1"/>
    <row r="9" spans="2:50" s="42" customFormat="1">
      <c r="B9" s="41" t="s">
        <v>10</v>
      </c>
      <c r="C9" s="74">
        <v>1</v>
      </c>
      <c r="D9" s="74">
        <v>2</v>
      </c>
      <c r="E9" s="74">
        <v>3</v>
      </c>
      <c r="F9" s="74">
        <v>4</v>
      </c>
      <c r="G9" s="74">
        <v>5</v>
      </c>
      <c r="H9" s="74">
        <v>6</v>
      </c>
      <c r="I9" s="74">
        <v>7</v>
      </c>
      <c r="J9" s="74">
        <v>8</v>
      </c>
      <c r="K9" s="74">
        <v>9</v>
      </c>
      <c r="L9" s="74">
        <v>10</v>
      </c>
      <c r="M9" s="74">
        <v>11</v>
      </c>
      <c r="N9" s="74">
        <v>12</v>
      </c>
      <c r="O9" s="74">
        <v>13</v>
      </c>
      <c r="P9" s="74">
        <v>14</v>
      </c>
      <c r="Q9" s="74">
        <v>15</v>
      </c>
      <c r="R9" s="74">
        <v>16</v>
      </c>
      <c r="S9" s="74">
        <v>17</v>
      </c>
      <c r="T9" s="74">
        <v>18</v>
      </c>
      <c r="U9" s="74">
        <v>19</v>
      </c>
      <c r="V9" s="74">
        <v>20</v>
      </c>
      <c r="W9" s="74">
        <v>21</v>
      </c>
      <c r="X9" s="74">
        <v>22</v>
      </c>
      <c r="Y9" s="74">
        <v>23</v>
      </c>
      <c r="Z9" s="74">
        <v>24</v>
      </c>
      <c r="AA9" s="74">
        <v>25</v>
      </c>
      <c r="AB9" s="74">
        <v>26</v>
      </c>
      <c r="AC9" s="74">
        <v>27</v>
      </c>
      <c r="AD9" s="74">
        <v>28</v>
      </c>
      <c r="AE9" s="74">
        <v>29</v>
      </c>
      <c r="AF9" s="74">
        <v>30</v>
      </c>
      <c r="AG9" s="75">
        <v>31</v>
      </c>
    </row>
    <row r="10" spans="2:50" s="42" customFormat="1" ht="14.1" customHeight="1">
      <c r="B10" s="43" t="s">
        <v>11</v>
      </c>
      <c r="C10" s="10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10"/>
    </row>
    <row r="11" spans="2:50" s="42" customFormat="1" ht="14.1" customHeight="1">
      <c r="B11" s="44" t="s">
        <v>41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10"/>
    </row>
    <row r="12" spans="2:50" s="42" customFormat="1" ht="12" customHeight="1">
      <c r="B12" s="45"/>
      <c r="AG12" s="46"/>
    </row>
    <row r="13" spans="2:50" s="42" customFormat="1" ht="12" customHeight="1">
      <c r="B13" s="129"/>
      <c r="AG13" s="46"/>
    </row>
    <row r="14" spans="2:50" s="42" customFormat="1" ht="12" customHeight="1">
      <c r="B14" s="129"/>
      <c r="AG14" s="46"/>
    </row>
    <row r="15" spans="2:50" s="42" customFormat="1" ht="12" customHeight="1">
      <c r="B15" s="130"/>
      <c r="AG15" s="46"/>
    </row>
    <row r="16" spans="2:50" s="42" customFormat="1" ht="12" customHeight="1">
      <c r="B16" s="130"/>
      <c r="AG16" s="46"/>
    </row>
    <row r="17" spans="2:33" s="42" customFormat="1" ht="12" customHeight="1">
      <c r="B17" s="130"/>
      <c r="AG17" s="46"/>
    </row>
    <row r="18" spans="2:33" s="42" customFormat="1" ht="12" customHeight="1">
      <c r="B18" s="130"/>
      <c r="AG18" s="46"/>
    </row>
    <row r="19" spans="2:33" s="42" customFormat="1" ht="12" customHeight="1">
      <c r="B19" s="130"/>
      <c r="AG19" s="46"/>
    </row>
    <row r="20" spans="2:33" s="42" customFormat="1" ht="12" customHeight="1">
      <c r="B20" s="130"/>
      <c r="AG20" s="46"/>
    </row>
    <row r="21" spans="2:33" s="42" customFormat="1" ht="12" customHeight="1">
      <c r="B21" s="130"/>
      <c r="AG21" s="46"/>
    </row>
    <row r="22" spans="2:33" s="42" customFormat="1" ht="12" customHeight="1">
      <c r="B22" s="130"/>
      <c r="AG22" s="46"/>
    </row>
    <row r="23" spans="2:33" s="42" customFormat="1" ht="12" customHeight="1">
      <c r="B23" s="129"/>
      <c r="AG23" s="46"/>
    </row>
    <row r="24" spans="2:33" s="42" customFormat="1" ht="12" customHeight="1">
      <c r="B24" s="129"/>
      <c r="AG24" s="46"/>
    </row>
    <row r="25" spans="2:33" s="42" customFormat="1" ht="12" customHeight="1">
      <c r="B25" s="130"/>
      <c r="AG25" s="46"/>
    </row>
    <row r="26" spans="2:33" s="42" customFormat="1" ht="12" customHeight="1">
      <c r="B26" s="130"/>
      <c r="AG26" s="46"/>
    </row>
    <row r="27" spans="2:33" s="42" customFormat="1" ht="12" customHeight="1">
      <c r="B27" s="130"/>
      <c r="AG27" s="46"/>
    </row>
    <row r="28" spans="2:33" s="42" customFormat="1" ht="12" customHeight="1">
      <c r="B28" s="130"/>
      <c r="AG28" s="46"/>
    </row>
    <row r="29" spans="2:33" s="42" customFormat="1" ht="12" customHeight="1">
      <c r="B29" s="130"/>
      <c r="AG29" s="46"/>
    </row>
    <row r="30" spans="2:33" s="42" customFormat="1" ht="12" customHeight="1">
      <c r="B30" s="130"/>
      <c r="AG30" s="46"/>
    </row>
    <row r="31" spans="2:33" s="42" customFormat="1" ht="12" customHeight="1">
      <c r="B31" s="130"/>
      <c r="AG31" s="46"/>
    </row>
    <row r="32" spans="2:33" s="42" customFormat="1" ht="12" customHeight="1">
      <c r="B32" s="130"/>
      <c r="AG32" s="46"/>
    </row>
    <row r="33" spans="2:33" s="42" customFormat="1" ht="12" customHeight="1">
      <c r="B33" s="129"/>
      <c r="AG33" s="46"/>
    </row>
    <row r="34" spans="2:33" s="42" customFormat="1" ht="12" customHeight="1">
      <c r="B34" s="129"/>
      <c r="AG34" s="46"/>
    </row>
    <row r="35" spans="2:33" s="42" customFormat="1" ht="12" customHeight="1" thickBot="1">
      <c r="B35" s="48"/>
      <c r="AG35" s="46"/>
    </row>
    <row r="36" spans="2:33" s="42" customFormat="1" ht="12" customHeight="1">
      <c r="B36" s="131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50"/>
    </row>
    <row r="37" spans="2:33" s="42" customFormat="1" ht="12" customHeight="1">
      <c r="B37" s="129"/>
      <c r="AG37" s="46"/>
    </row>
    <row r="38" spans="2:33" s="42" customFormat="1" ht="12" customHeight="1">
      <c r="B38" s="47"/>
      <c r="AG38" s="46"/>
    </row>
    <row r="39" spans="2:33" s="42" customFormat="1" ht="12" customHeight="1">
      <c r="B39" s="47"/>
      <c r="AG39" s="46"/>
    </row>
    <row r="40" spans="2:33" s="42" customFormat="1" ht="12" customHeight="1">
      <c r="B40" s="47"/>
      <c r="AG40" s="46"/>
    </row>
    <row r="41" spans="2:33" s="42" customFormat="1" ht="12" customHeight="1">
      <c r="B41" s="129"/>
      <c r="AG41" s="46"/>
    </row>
    <row r="42" spans="2:33" s="42" customFormat="1" ht="12" customHeight="1">
      <c r="B42" s="129"/>
      <c r="AG42" s="46"/>
    </row>
    <row r="43" spans="2:33" s="42" customFormat="1" ht="12" customHeight="1">
      <c r="B43" s="47"/>
      <c r="AG43" s="46"/>
    </row>
    <row r="44" spans="2:33" s="42" customFormat="1" ht="12" customHeight="1">
      <c r="B44" s="47"/>
      <c r="AG44" s="46"/>
    </row>
    <row r="45" spans="2:33" s="42" customFormat="1" ht="12" customHeight="1">
      <c r="B45" s="47"/>
      <c r="AG45" s="46"/>
    </row>
    <row r="46" spans="2:33" s="42" customFormat="1" ht="12" customHeight="1" thickBot="1"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3"/>
    </row>
    <row r="47" spans="2:33" s="42" customFormat="1" ht="6" customHeight="1">
      <c r="B47" s="54"/>
      <c r="AG47" s="46"/>
    </row>
    <row r="48" spans="2:33" s="56" customFormat="1" ht="15" customHeight="1">
      <c r="B48" s="55">
        <v>1</v>
      </c>
      <c r="C48" s="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11"/>
    </row>
    <row r="49" spans="2:55" s="56" customFormat="1" ht="15" customHeight="1">
      <c r="B49" s="57">
        <v>2</v>
      </c>
      <c r="C49" s="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12"/>
    </row>
    <row r="50" spans="2:55" s="56" customFormat="1" ht="15" customHeight="1">
      <c r="B50" s="57">
        <v>3</v>
      </c>
      <c r="C50" s="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12"/>
    </row>
    <row r="51" spans="2:55" s="56" customFormat="1" ht="15" customHeight="1">
      <c r="B51" s="57">
        <v>4</v>
      </c>
      <c r="C51" s="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12"/>
    </row>
    <row r="52" spans="2:55" s="56" customFormat="1" ht="15" customHeight="1">
      <c r="B52" s="61">
        <v>5</v>
      </c>
      <c r="C52" s="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12"/>
    </row>
    <row r="53" spans="2:55" s="56" customFormat="1" ht="15" customHeight="1">
      <c r="B53" s="61" t="s">
        <v>15</v>
      </c>
      <c r="C53" s="58" t="str">
        <f t="shared" ref="C53:AG53" si="0">IF(ISERR(AVERAGE(C48:C52))," ",AVERAGE(C48:C52))</f>
        <v xml:space="preserve"> </v>
      </c>
      <c r="D53" s="59" t="str">
        <f t="shared" si="0"/>
        <v xml:space="preserve"> </v>
      </c>
      <c r="E53" s="59" t="str">
        <f t="shared" si="0"/>
        <v xml:space="preserve"> </v>
      </c>
      <c r="F53" s="59" t="str">
        <f t="shared" si="0"/>
        <v xml:space="preserve"> </v>
      </c>
      <c r="G53" s="59" t="str">
        <f t="shared" si="0"/>
        <v xml:space="preserve"> </v>
      </c>
      <c r="H53" s="59" t="str">
        <f t="shared" si="0"/>
        <v xml:space="preserve"> </v>
      </c>
      <c r="I53" s="59" t="str">
        <f t="shared" si="0"/>
        <v xml:space="preserve"> </v>
      </c>
      <c r="J53" s="59" t="str">
        <f t="shared" si="0"/>
        <v xml:space="preserve"> </v>
      </c>
      <c r="K53" s="59" t="str">
        <f t="shared" si="0"/>
        <v xml:space="preserve"> </v>
      </c>
      <c r="L53" s="59" t="str">
        <f t="shared" si="0"/>
        <v xml:space="preserve"> </v>
      </c>
      <c r="M53" s="59" t="str">
        <f t="shared" si="0"/>
        <v xml:space="preserve"> </v>
      </c>
      <c r="N53" s="59" t="str">
        <f t="shared" si="0"/>
        <v xml:space="preserve"> </v>
      </c>
      <c r="O53" s="59" t="str">
        <f t="shared" si="0"/>
        <v xml:space="preserve"> </v>
      </c>
      <c r="P53" s="59" t="str">
        <f t="shared" si="0"/>
        <v xml:space="preserve"> </v>
      </c>
      <c r="Q53" s="59" t="str">
        <f t="shared" si="0"/>
        <v xml:space="preserve"> </v>
      </c>
      <c r="R53" s="59" t="str">
        <f t="shared" si="0"/>
        <v xml:space="preserve"> </v>
      </c>
      <c r="S53" s="59" t="str">
        <f t="shared" si="0"/>
        <v xml:space="preserve"> </v>
      </c>
      <c r="T53" s="59" t="str">
        <f t="shared" si="0"/>
        <v xml:space="preserve"> </v>
      </c>
      <c r="U53" s="59" t="str">
        <f t="shared" si="0"/>
        <v xml:space="preserve"> </v>
      </c>
      <c r="V53" s="59" t="str">
        <f t="shared" si="0"/>
        <v xml:space="preserve"> </v>
      </c>
      <c r="W53" s="59" t="str">
        <f t="shared" si="0"/>
        <v xml:space="preserve"> </v>
      </c>
      <c r="X53" s="59" t="str">
        <f t="shared" si="0"/>
        <v xml:space="preserve"> </v>
      </c>
      <c r="Y53" s="59" t="str">
        <f t="shared" si="0"/>
        <v xml:space="preserve"> </v>
      </c>
      <c r="Z53" s="59" t="str">
        <f t="shared" si="0"/>
        <v xml:space="preserve"> </v>
      </c>
      <c r="AA53" s="59" t="str">
        <f t="shared" si="0"/>
        <v xml:space="preserve"> </v>
      </c>
      <c r="AB53" s="59" t="str">
        <f t="shared" si="0"/>
        <v xml:space="preserve"> </v>
      </c>
      <c r="AC53" s="59" t="str">
        <f t="shared" si="0"/>
        <v xml:space="preserve"> </v>
      </c>
      <c r="AD53" s="59" t="str">
        <f t="shared" si="0"/>
        <v xml:space="preserve"> </v>
      </c>
      <c r="AE53" s="59" t="str">
        <f t="shared" si="0"/>
        <v xml:space="preserve"> </v>
      </c>
      <c r="AF53" s="59" t="str">
        <f t="shared" si="0"/>
        <v xml:space="preserve"> </v>
      </c>
      <c r="AG53" s="60" t="str">
        <f t="shared" si="0"/>
        <v xml:space="preserve"> </v>
      </c>
    </row>
    <row r="54" spans="2:55" s="56" customFormat="1" ht="15" customHeight="1">
      <c r="B54" s="61" t="s">
        <v>8</v>
      </c>
      <c r="C54" s="62">
        <f t="shared" ref="C54:AG54" si="1">MAX(C48:C52)-MIN(C48:C52)</f>
        <v>0</v>
      </c>
      <c r="D54" s="63">
        <f t="shared" si="1"/>
        <v>0</v>
      </c>
      <c r="E54" s="63">
        <f t="shared" si="1"/>
        <v>0</v>
      </c>
      <c r="F54" s="63">
        <f t="shared" si="1"/>
        <v>0</v>
      </c>
      <c r="G54" s="63">
        <f t="shared" si="1"/>
        <v>0</v>
      </c>
      <c r="H54" s="63">
        <f t="shared" si="1"/>
        <v>0</v>
      </c>
      <c r="I54" s="63">
        <f t="shared" si="1"/>
        <v>0</v>
      </c>
      <c r="J54" s="63">
        <f t="shared" si="1"/>
        <v>0</v>
      </c>
      <c r="K54" s="63">
        <f t="shared" si="1"/>
        <v>0</v>
      </c>
      <c r="L54" s="63">
        <f t="shared" si="1"/>
        <v>0</v>
      </c>
      <c r="M54" s="63">
        <f t="shared" si="1"/>
        <v>0</v>
      </c>
      <c r="N54" s="63">
        <f t="shared" si="1"/>
        <v>0</v>
      </c>
      <c r="O54" s="63">
        <f t="shared" si="1"/>
        <v>0</v>
      </c>
      <c r="P54" s="63">
        <f t="shared" si="1"/>
        <v>0</v>
      </c>
      <c r="Q54" s="63">
        <f t="shared" si="1"/>
        <v>0</v>
      </c>
      <c r="R54" s="109">
        <f t="shared" si="1"/>
        <v>0</v>
      </c>
      <c r="S54" s="109">
        <f t="shared" si="1"/>
        <v>0</v>
      </c>
      <c r="T54" s="109">
        <f t="shared" si="1"/>
        <v>0</v>
      </c>
      <c r="U54" s="109">
        <f t="shared" si="1"/>
        <v>0</v>
      </c>
      <c r="V54" s="109">
        <f t="shared" si="1"/>
        <v>0</v>
      </c>
      <c r="W54" s="109">
        <f t="shared" si="1"/>
        <v>0</v>
      </c>
      <c r="X54" s="109">
        <f t="shared" si="1"/>
        <v>0</v>
      </c>
      <c r="Y54" s="109">
        <f t="shared" si="1"/>
        <v>0</v>
      </c>
      <c r="Z54" s="109">
        <f t="shared" si="1"/>
        <v>0</v>
      </c>
      <c r="AA54" s="109">
        <f t="shared" si="1"/>
        <v>0</v>
      </c>
      <c r="AB54" s="109">
        <f t="shared" si="1"/>
        <v>0</v>
      </c>
      <c r="AC54" s="109">
        <f t="shared" si="1"/>
        <v>0</v>
      </c>
      <c r="AD54" s="109">
        <f t="shared" si="1"/>
        <v>0</v>
      </c>
      <c r="AE54" s="109">
        <f t="shared" si="1"/>
        <v>0</v>
      </c>
      <c r="AF54" s="109">
        <f t="shared" si="1"/>
        <v>0</v>
      </c>
      <c r="AG54" s="110">
        <f t="shared" si="1"/>
        <v>0</v>
      </c>
    </row>
    <row r="55" spans="2:55" s="56" customFormat="1" ht="20.100000000000001" customHeight="1">
      <c r="B55" s="64" t="s">
        <v>12</v>
      </c>
      <c r="C55" s="76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8"/>
    </row>
    <row r="56" spans="2:55" s="56" customFormat="1" ht="26.25" thickBot="1">
      <c r="B56" s="116" t="str">
        <f>'SJCPIL-R 16-303-03 - T1'!B56</f>
        <v>Visto do Lider / Sublíder</v>
      </c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1"/>
    </row>
    <row r="57" spans="2:55" s="42" customFormat="1" ht="20.100000000000001" customHeight="1">
      <c r="B57" s="132" t="s">
        <v>27</v>
      </c>
      <c r="C57" s="133"/>
      <c r="D57" s="133"/>
      <c r="E57" s="134"/>
      <c r="F57" s="65" t="s">
        <v>30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50"/>
    </row>
    <row r="58" spans="2:55" s="42" customFormat="1" ht="20.100000000000001" customHeight="1">
      <c r="B58" s="66"/>
      <c r="C58" s="32" t="s">
        <v>29</v>
      </c>
      <c r="D58" s="32"/>
      <c r="E58" s="46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42" customFormat="1" ht="20.100000000000001" customHeight="1">
      <c r="B59" s="135" t="s">
        <v>28</v>
      </c>
      <c r="C59" s="136"/>
      <c r="D59" s="136"/>
      <c r="E59" s="46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42" customFormat="1" ht="20.100000000000001" customHeight="1" thickBot="1">
      <c r="B60" s="67"/>
      <c r="C60" s="68" t="s">
        <v>15</v>
      </c>
      <c r="D60" s="52"/>
      <c r="E60" s="5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42" customFormat="1" ht="7.5" customHeight="1"/>
    <row r="62" spans="2:55" s="42" customFormat="1" ht="15.75">
      <c r="B62" s="137" t="s">
        <v>32</v>
      </c>
      <c r="C62" s="120"/>
      <c r="D62" s="120"/>
      <c r="E62" s="120"/>
      <c r="F62" s="120"/>
      <c r="G62" s="118" t="s">
        <v>16</v>
      </c>
      <c r="H62" s="118"/>
      <c r="I62" s="118"/>
      <c r="J62" s="118"/>
      <c r="K62" s="127"/>
      <c r="L62" s="118" t="s">
        <v>33</v>
      </c>
      <c r="M62" s="118"/>
      <c r="N62" s="118"/>
      <c r="O62" s="118"/>
      <c r="P62" s="118"/>
      <c r="Q62" s="118"/>
      <c r="R62" s="118"/>
      <c r="S62" s="120" t="s">
        <v>44</v>
      </c>
      <c r="T62" s="120"/>
      <c r="U62" s="120"/>
      <c r="V62" s="120"/>
      <c r="W62" s="122" t="s">
        <v>45</v>
      </c>
      <c r="X62" s="120"/>
      <c r="Y62" s="120"/>
      <c r="Z62" s="120"/>
      <c r="AA62" s="120"/>
      <c r="AB62" s="120"/>
      <c r="AC62" s="120" t="s">
        <v>16</v>
      </c>
      <c r="AD62" s="120"/>
      <c r="AE62" s="120"/>
      <c r="AF62" s="120"/>
      <c r="AG62" s="124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</row>
    <row r="63" spans="2:55" s="42" customFormat="1" ht="15.75">
      <c r="B63" s="138"/>
      <c r="C63" s="121"/>
      <c r="D63" s="121"/>
      <c r="E63" s="121"/>
      <c r="F63" s="121"/>
      <c r="G63" s="119"/>
      <c r="H63" s="119"/>
      <c r="I63" s="119"/>
      <c r="J63" s="119"/>
      <c r="K63" s="128"/>
      <c r="L63" s="119"/>
      <c r="M63" s="119"/>
      <c r="N63" s="119"/>
      <c r="O63" s="119"/>
      <c r="P63" s="119"/>
      <c r="Q63" s="119"/>
      <c r="R63" s="119"/>
      <c r="S63" s="121"/>
      <c r="T63" s="121"/>
      <c r="U63" s="121"/>
      <c r="V63" s="121"/>
      <c r="W63" s="123"/>
      <c r="X63" s="121"/>
      <c r="Y63" s="121"/>
      <c r="Z63" s="121"/>
      <c r="AA63" s="121"/>
      <c r="AB63" s="121"/>
      <c r="AC63" s="121"/>
      <c r="AD63" s="121"/>
      <c r="AE63" s="121"/>
      <c r="AF63" s="121"/>
      <c r="AG63" s="125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</row>
    <row r="64" spans="2:55" ht="14.25">
      <c r="B64" s="70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0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</row>
    <row r="65" spans="2:5">
      <c r="B65" s="13" t="s">
        <v>19</v>
      </c>
    </row>
    <row r="66" spans="2:5">
      <c r="B66" s="13" t="s">
        <v>17</v>
      </c>
      <c r="C66" s="72" t="e">
        <f>AVERAGE(C53:AG53)+0.577*C69</f>
        <v>#DIV/0!</v>
      </c>
    </row>
    <row r="67" spans="2:5">
      <c r="B67" s="13" t="s">
        <v>2</v>
      </c>
      <c r="C67" s="72" t="e">
        <f>AVERAGE(C53:AG53)</f>
        <v>#DIV/0!</v>
      </c>
      <c r="D67" s="73" t="s">
        <v>23</v>
      </c>
      <c r="E67" s="13" t="e">
        <f>STDEV(C48:AF52)</f>
        <v>#DIV/0!</v>
      </c>
    </row>
    <row r="68" spans="2:5">
      <c r="B68" s="13" t="s">
        <v>18</v>
      </c>
      <c r="C68" s="72" t="e">
        <f>C67-0.577*C69</f>
        <v>#DIV/0!</v>
      </c>
    </row>
    <row r="69" spans="2:5">
      <c r="B69" s="13" t="s">
        <v>8</v>
      </c>
      <c r="C69" s="72" t="e">
        <f>2.115*(SUM(C54:AG54)/COUNTIF(C54:AG54,"&lt;&gt;0"))</f>
        <v>#DIV/0!</v>
      </c>
    </row>
    <row r="71" spans="2:5">
      <c r="B71" s="13" t="s">
        <v>20</v>
      </c>
    </row>
    <row r="73" spans="2:5">
      <c r="B73" s="13" t="s">
        <v>21</v>
      </c>
      <c r="C73" s="72" t="e">
        <f>E7/(6*E67)</f>
        <v>#DIV/0!</v>
      </c>
    </row>
    <row r="74" spans="2:5">
      <c r="B74" s="13" t="s">
        <v>22</v>
      </c>
      <c r="C74" s="72" t="e">
        <f>MIN((E4-C67)/(3*E67),(C67-E6)/(3*E67))</f>
        <v>#DIV/0!</v>
      </c>
    </row>
    <row r="75" spans="2:5">
      <c r="C75" s="13">
        <f>COUNTIF(C10:AG10,"&gt;0")</f>
        <v>0</v>
      </c>
    </row>
  </sheetData>
  <sheetProtection algorithmName="SHA-512" hashValue="2SNqvYBMDMNz8/uygYRNj46cVolQc6z7Xk5CQMycA6Eha48FSXBzK2bOfdqh/x9Il56ws/zqMQyMN1VcUlP/Lg==" saltValue="7RmM89mvHvPGXs8XWRzv9A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3" priority="1">
      <formula>(C48&gt;$G$4)*(C48&lt;&gt;0)</formula>
    </cfRule>
    <cfRule type="expression" dxfId="2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200-000000000000}">
      <formula1>1</formula1>
      <formula2>31</formula2>
    </dataValidation>
    <dataValidation type="whole" showInputMessage="1" showErrorMessage="1" errorTitle="Data" error="Digite apenas o dia entre 1 e 31" sqref="E10:AG10" xr:uid="{00000000-0002-0000-0200-000001000000}">
      <formula1>1</formula1>
      <formula2>31</formula2>
    </dataValidation>
    <dataValidation type="list" showErrorMessage="1" promptTitle="Turno" prompt="Escolha" sqref="C11:AG11" xr:uid="{00000000-0002-0000-0200-000002000000}">
      <formula1>Turnos</formula1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 xml:space="preserve">&amp;RSJCPIL-R AA-XXX-RR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>
    <tabColor indexed="47"/>
    <pageSetUpPr fitToPage="1"/>
  </sheetPr>
  <dimension ref="B1:BC75"/>
  <sheetViews>
    <sheetView showZeros="0" tabSelected="1" topLeftCell="A2" zoomScaleNormal="100" workbookViewId="0">
      <selection activeCell="P55" sqref="P55"/>
    </sheetView>
  </sheetViews>
  <sheetFormatPr defaultColWidth="10.28515625" defaultRowHeight="12.75"/>
  <cols>
    <col min="1" max="1" width="1.5703125" style="13" customWidth="1"/>
    <col min="2" max="2" width="16.140625" style="13" customWidth="1"/>
    <col min="3" max="33" width="6.7109375" style="13" customWidth="1"/>
    <col min="34" max="34" width="3.140625" style="13" customWidth="1"/>
    <col min="35" max="55" width="6.7109375" style="13" customWidth="1"/>
    <col min="56" max="16384" width="10.28515625" style="13"/>
  </cols>
  <sheetData>
    <row r="1" spans="2:50" ht="21.75" thickBot="1">
      <c r="B1" s="99" t="s">
        <v>46</v>
      </c>
      <c r="C1" s="100"/>
      <c r="D1" s="100"/>
      <c r="E1" s="100"/>
      <c r="F1" s="101"/>
      <c r="G1" s="101"/>
      <c r="H1" s="102"/>
      <c r="I1" s="98" t="s">
        <v>42</v>
      </c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7"/>
      <c r="AX1" s="14"/>
    </row>
    <row r="2" spans="2:50" s="15" customFormat="1" ht="19.5" customHeight="1">
      <c r="B2" s="103" t="s">
        <v>47</v>
      </c>
      <c r="C2" s="104"/>
      <c r="D2" s="105"/>
      <c r="E2" s="105"/>
      <c r="F2" s="106"/>
      <c r="G2" s="106"/>
      <c r="H2" s="107"/>
      <c r="I2" s="145" t="s">
        <v>26</v>
      </c>
      <c r="J2" s="146"/>
      <c r="K2" s="149" t="str">
        <f>'SJCPIL-R 16-303-03 - T1'!K2:L3</f>
        <v>UM-3 L1</v>
      </c>
      <c r="L2" s="150"/>
      <c r="M2" s="153" t="s">
        <v>0</v>
      </c>
      <c r="N2" s="154"/>
      <c r="O2" s="154"/>
      <c r="P2" s="154"/>
      <c r="Q2" s="155"/>
      <c r="R2" s="159" t="s">
        <v>25</v>
      </c>
      <c r="S2" s="160"/>
      <c r="T2" s="161"/>
      <c r="U2" s="16" t="s">
        <v>39</v>
      </c>
      <c r="V2" s="17"/>
      <c r="W2" s="17"/>
      <c r="X2" s="17"/>
      <c r="Y2" s="17"/>
      <c r="Z2" s="18"/>
      <c r="AA2" s="18"/>
      <c r="AB2" s="18"/>
      <c r="AC2" s="18"/>
      <c r="AD2" s="18"/>
      <c r="AE2" s="19"/>
      <c r="AF2" s="19"/>
      <c r="AG2" s="20"/>
    </row>
    <row r="3" spans="2:50" ht="16.899999999999999" customHeight="1" thickBot="1">
      <c r="B3" s="82"/>
      <c r="I3" s="147"/>
      <c r="J3" s="148"/>
      <c r="K3" s="151"/>
      <c r="L3" s="152"/>
      <c r="M3" s="156"/>
      <c r="N3" s="157"/>
      <c r="O3" s="157"/>
      <c r="P3" s="157"/>
      <c r="Q3" s="158"/>
      <c r="R3" s="162" t="s">
        <v>24</v>
      </c>
      <c r="S3" s="163"/>
      <c r="T3" s="164"/>
      <c r="U3" s="21" t="s">
        <v>40</v>
      </c>
      <c r="V3" s="22"/>
      <c r="W3" s="22"/>
      <c r="X3" s="22"/>
      <c r="Y3" s="22"/>
      <c r="Z3" s="22"/>
      <c r="AA3" s="22"/>
      <c r="AB3" s="22"/>
      <c r="AC3" s="22"/>
      <c r="AD3" s="22"/>
      <c r="AE3" s="23"/>
      <c r="AF3" s="23"/>
      <c r="AG3" s="24"/>
    </row>
    <row r="4" spans="2:50" s="32" customFormat="1" ht="16.899999999999999" customHeight="1">
      <c r="B4" s="83" t="s">
        <v>13</v>
      </c>
      <c r="C4" s="25"/>
      <c r="D4" s="26" t="s">
        <v>1</v>
      </c>
      <c r="E4" s="27">
        <f>E5+E7/2</f>
        <v>47.7</v>
      </c>
      <c r="F4" s="28" t="s">
        <v>34</v>
      </c>
      <c r="G4" s="29">
        <f>G5+G7/2</f>
        <v>47.65</v>
      </c>
      <c r="H4" s="30"/>
      <c r="I4" s="31"/>
      <c r="Z4" s="143" t="str">
        <f ca="1">'SJCPIL-R 16-303-03 - T1'!Z4:AC5</f>
        <v>MÊS: 03</v>
      </c>
      <c r="AA4" s="139"/>
      <c r="AB4" s="139"/>
      <c r="AC4" s="139"/>
      <c r="AD4" s="139" t="str">
        <f ca="1">'SJCPIL-R 16-303-03 - T1'!AD4:AG5</f>
        <v>ANO: 2022</v>
      </c>
      <c r="AE4" s="139"/>
      <c r="AF4" s="139"/>
      <c r="AG4" s="140"/>
    </row>
    <row r="5" spans="2:50" s="32" customFormat="1" ht="16.899999999999999" customHeight="1" thickBot="1">
      <c r="B5" s="84" t="s">
        <v>50</v>
      </c>
      <c r="C5" s="33" t="s">
        <v>2</v>
      </c>
      <c r="D5" s="34" t="s">
        <v>3</v>
      </c>
      <c r="E5" s="35">
        <v>47.6</v>
      </c>
      <c r="F5" s="36" t="s">
        <v>3</v>
      </c>
      <c r="G5" s="37">
        <f>E5</f>
        <v>47.6</v>
      </c>
      <c r="H5" s="30"/>
      <c r="I5" s="32" t="s">
        <v>31</v>
      </c>
      <c r="R5" s="32" t="s">
        <v>4</v>
      </c>
      <c r="Z5" s="144"/>
      <c r="AA5" s="141"/>
      <c r="AB5" s="141"/>
      <c r="AC5" s="141"/>
      <c r="AD5" s="141"/>
      <c r="AE5" s="141"/>
      <c r="AF5" s="141"/>
      <c r="AG5" s="142"/>
    </row>
    <row r="6" spans="2:50" s="32" customFormat="1" ht="16.899999999999999" customHeight="1">
      <c r="B6" s="85" t="s">
        <v>14</v>
      </c>
      <c r="C6" s="38"/>
      <c r="D6" s="34" t="s">
        <v>5</v>
      </c>
      <c r="E6" s="35">
        <f>E5-E7/2</f>
        <v>47.5</v>
      </c>
      <c r="F6" s="36" t="s">
        <v>35</v>
      </c>
      <c r="G6" s="37">
        <f>G5-G7/2</f>
        <v>47.550000000000004</v>
      </c>
      <c r="H6" s="30"/>
      <c r="I6" s="32" t="s">
        <v>6</v>
      </c>
      <c r="R6" s="32" t="s">
        <v>7</v>
      </c>
      <c r="AC6" s="86"/>
      <c r="AD6" s="86"/>
      <c r="AG6" s="87"/>
    </row>
    <row r="7" spans="2:50" s="32" customFormat="1" ht="16.899999999999999" customHeight="1" thickBot="1">
      <c r="B7" s="88"/>
      <c r="C7" s="89" t="s">
        <v>8</v>
      </c>
      <c r="D7" s="90" t="s">
        <v>1</v>
      </c>
      <c r="E7" s="91">
        <v>0.2</v>
      </c>
      <c r="F7" s="39" t="s">
        <v>34</v>
      </c>
      <c r="G7" s="40">
        <v>0.1</v>
      </c>
      <c r="H7" s="92"/>
      <c r="I7" s="93" t="s">
        <v>9</v>
      </c>
      <c r="J7" s="93"/>
      <c r="K7" s="93"/>
      <c r="L7" s="93"/>
      <c r="M7" s="93"/>
      <c r="N7" s="93"/>
      <c r="O7" s="93"/>
      <c r="P7" s="93"/>
      <c r="Q7" s="93"/>
      <c r="R7" s="93"/>
      <c r="S7" s="93"/>
      <c r="T7" s="93"/>
      <c r="U7" s="93"/>
      <c r="V7" s="93"/>
      <c r="W7" s="93"/>
      <c r="X7" s="93"/>
      <c r="Y7" s="93"/>
      <c r="Z7" s="93"/>
      <c r="AA7" s="93"/>
      <c r="AB7" s="93"/>
      <c r="AC7" s="94"/>
      <c r="AD7" s="94"/>
      <c r="AE7" s="93"/>
      <c r="AF7" s="93"/>
      <c r="AG7" s="95"/>
    </row>
    <row r="8" spans="2:50" s="32" customFormat="1" ht="4.5" customHeight="1" thickBot="1"/>
    <row r="9" spans="2:50" s="42" customFormat="1">
      <c r="B9" s="41" t="s">
        <v>10</v>
      </c>
      <c r="C9" s="74">
        <v>1</v>
      </c>
      <c r="D9" s="74">
        <v>2</v>
      </c>
      <c r="E9" s="74">
        <v>47</v>
      </c>
      <c r="F9" s="74">
        <v>4</v>
      </c>
      <c r="G9" s="74">
        <v>5</v>
      </c>
      <c r="H9" s="74">
        <v>6</v>
      </c>
      <c r="I9" s="74">
        <v>7</v>
      </c>
      <c r="J9" s="74">
        <v>8</v>
      </c>
      <c r="K9" s="74">
        <v>9</v>
      </c>
      <c r="L9" s="74">
        <v>10</v>
      </c>
      <c r="M9" s="74">
        <v>11</v>
      </c>
      <c r="N9" s="74">
        <v>12</v>
      </c>
      <c r="O9" s="74">
        <v>13</v>
      </c>
      <c r="P9" s="74">
        <v>14</v>
      </c>
      <c r="Q9" s="74">
        <v>15</v>
      </c>
      <c r="R9" s="74">
        <v>16</v>
      </c>
      <c r="S9" s="74">
        <v>17</v>
      </c>
      <c r="T9" s="74">
        <v>18</v>
      </c>
      <c r="U9" s="74">
        <v>19</v>
      </c>
      <c r="V9" s="74">
        <v>20</v>
      </c>
      <c r="W9" s="74">
        <v>21</v>
      </c>
      <c r="X9" s="74">
        <v>22</v>
      </c>
      <c r="Y9" s="74">
        <v>23</v>
      </c>
      <c r="Z9" s="74">
        <v>24</v>
      </c>
      <c r="AA9" s="74">
        <v>25</v>
      </c>
      <c r="AB9" s="74">
        <v>26</v>
      </c>
      <c r="AC9" s="74">
        <v>27</v>
      </c>
      <c r="AD9" s="74">
        <v>28</v>
      </c>
      <c r="AE9" s="74">
        <v>29</v>
      </c>
      <c r="AF9" s="74">
        <v>30</v>
      </c>
      <c r="AG9" s="75">
        <v>31</v>
      </c>
    </row>
    <row r="10" spans="2:50" s="42" customFormat="1" ht="14.1" customHeight="1">
      <c r="B10" s="43" t="s">
        <v>11</v>
      </c>
      <c r="C10" s="108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10"/>
    </row>
    <row r="11" spans="2:50" s="42" customFormat="1" ht="14.1" customHeight="1">
      <c r="B11" s="44" t="s">
        <v>41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10"/>
    </row>
    <row r="12" spans="2:50" s="42" customFormat="1" ht="12" customHeight="1">
      <c r="B12" s="45"/>
      <c r="AG12" s="46"/>
    </row>
    <row r="13" spans="2:50" s="42" customFormat="1" ht="12" customHeight="1">
      <c r="B13" s="129"/>
      <c r="AG13" s="46"/>
    </row>
    <row r="14" spans="2:50" s="42" customFormat="1" ht="12" customHeight="1">
      <c r="B14" s="129"/>
      <c r="AG14" s="46"/>
    </row>
    <row r="15" spans="2:50" s="42" customFormat="1" ht="12" customHeight="1">
      <c r="B15" s="130"/>
      <c r="AG15" s="46"/>
    </row>
    <row r="16" spans="2:50" s="42" customFormat="1" ht="12" customHeight="1">
      <c r="B16" s="130"/>
      <c r="AG16" s="46"/>
    </row>
    <row r="17" spans="2:33" s="42" customFormat="1" ht="12" customHeight="1">
      <c r="B17" s="130"/>
      <c r="AG17" s="46"/>
    </row>
    <row r="18" spans="2:33" s="42" customFormat="1" ht="12" customHeight="1">
      <c r="B18" s="130"/>
      <c r="AG18" s="46"/>
    </row>
    <row r="19" spans="2:33" s="42" customFormat="1" ht="12" customHeight="1">
      <c r="B19" s="130"/>
      <c r="AG19" s="46"/>
    </row>
    <row r="20" spans="2:33" s="42" customFormat="1" ht="12" customHeight="1">
      <c r="B20" s="130"/>
      <c r="AG20" s="46"/>
    </row>
    <row r="21" spans="2:33" s="42" customFormat="1" ht="12" customHeight="1">
      <c r="B21" s="130"/>
      <c r="AG21" s="46"/>
    </row>
    <row r="22" spans="2:33" s="42" customFormat="1" ht="12" customHeight="1">
      <c r="B22" s="130"/>
      <c r="AG22" s="46"/>
    </row>
    <row r="23" spans="2:33" s="42" customFormat="1" ht="12" customHeight="1">
      <c r="B23" s="129"/>
      <c r="AG23" s="46"/>
    </row>
    <row r="24" spans="2:33" s="42" customFormat="1" ht="12" customHeight="1">
      <c r="B24" s="129"/>
      <c r="AG24" s="46"/>
    </row>
    <row r="25" spans="2:33" s="42" customFormat="1" ht="12" customHeight="1">
      <c r="B25" s="130"/>
      <c r="AG25" s="46"/>
    </row>
    <row r="26" spans="2:33" s="42" customFormat="1" ht="12" customHeight="1">
      <c r="B26" s="130"/>
      <c r="AG26" s="46"/>
    </row>
    <row r="27" spans="2:33" s="42" customFormat="1" ht="12" customHeight="1">
      <c r="B27" s="130"/>
      <c r="AG27" s="46"/>
    </row>
    <row r="28" spans="2:33" s="42" customFormat="1" ht="12" customHeight="1">
      <c r="B28" s="130"/>
      <c r="AG28" s="46"/>
    </row>
    <row r="29" spans="2:33" s="42" customFormat="1" ht="12" customHeight="1">
      <c r="B29" s="130"/>
      <c r="AG29" s="46"/>
    </row>
    <row r="30" spans="2:33" s="42" customFormat="1" ht="12" customHeight="1">
      <c r="B30" s="130"/>
      <c r="AG30" s="46"/>
    </row>
    <row r="31" spans="2:33" s="42" customFormat="1" ht="12" customHeight="1">
      <c r="B31" s="130"/>
      <c r="AG31" s="46"/>
    </row>
    <row r="32" spans="2:33" s="42" customFormat="1" ht="12" customHeight="1">
      <c r="B32" s="130"/>
      <c r="AG32" s="46"/>
    </row>
    <row r="33" spans="2:33" s="42" customFormat="1" ht="12" customHeight="1">
      <c r="B33" s="129"/>
      <c r="AG33" s="46"/>
    </row>
    <row r="34" spans="2:33" s="42" customFormat="1" ht="12" customHeight="1">
      <c r="B34" s="129"/>
      <c r="AG34" s="46"/>
    </row>
    <row r="35" spans="2:33" s="42" customFormat="1" ht="12" customHeight="1" thickBot="1">
      <c r="B35" s="48"/>
      <c r="AG35" s="46"/>
    </row>
    <row r="36" spans="2:33" s="42" customFormat="1" ht="12" customHeight="1">
      <c r="B36" s="131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  <c r="AA36" s="49"/>
      <c r="AB36" s="49"/>
      <c r="AC36" s="49"/>
      <c r="AD36" s="49"/>
      <c r="AE36" s="49"/>
      <c r="AF36" s="49"/>
      <c r="AG36" s="50"/>
    </row>
    <row r="37" spans="2:33" s="42" customFormat="1" ht="12" customHeight="1">
      <c r="B37" s="129"/>
      <c r="AG37" s="46"/>
    </row>
    <row r="38" spans="2:33" s="42" customFormat="1" ht="12" customHeight="1">
      <c r="B38" s="47"/>
      <c r="AG38" s="46"/>
    </row>
    <row r="39" spans="2:33" s="42" customFormat="1" ht="12" customHeight="1">
      <c r="B39" s="47"/>
      <c r="AG39" s="46"/>
    </row>
    <row r="40" spans="2:33" s="42" customFormat="1" ht="12" customHeight="1">
      <c r="B40" s="47"/>
      <c r="AG40" s="46"/>
    </row>
    <row r="41" spans="2:33" s="42" customFormat="1" ht="12" customHeight="1">
      <c r="B41" s="129"/>
      <c r="AG41" s="46"/>
    </row>
    <row r="42" spans="2:33" s="42" customFormat="1" ht="12" customHeight="1">
      <c r="B42" s="129"/>
      <c r="AG42" s="46"/>
    </row>
    <row r="43" spans="2:33" s="42" customFormat="1" ht="12" customHeight="1">
      <c r="B43" s="47"/>
      <c r="AG43" s="46"/>
    </row>
    <row r="44" spans="2:33" s="42" customFormat="1" ht="12" customHeight="1">
      <c r="B44" s="47"/>
      <c r="AG44" s="46"/>
    </row>
    <row r="45" spans="2:33" s="42" customFormat="1" ht="12" customHeight="1">
      <c r="B45" s="47"/>
      <c r="AG45" s="46"/>
    </row>
    <row r="46" spans="2:33" s="42" customFormat="1" ht="12" customHeight="1" thickBot="1">
      <c r="B46" s="51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3"/>
    </row>
    <row r="47" spans="2:33" s="42" customFormat="1" ht="6" customHeight="1">
      <c r="B47" s="54"/>
      <c r="AG47" s="46"/>
    </row>
    <row r="48" spans="2:33" s="56" customFormat="1" ht="15" customHeight="1">
      <c r="B48" s="55">
        <v>1</v>
      </c>
      <c r="C48" s="6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11"/>
    </row>
    <row r="49" spans="2:55" s="56" customFormat="1" ht="15" customHeight="1">
      <c r="B49" s="57">
        <v>2</v>
      </c>
      <c r="C49" s="5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12"/>
    </row>
    <row r="50" spans="2:55" s="56" customFormat="1" ht="15" customHeight="1">
      <c r="B50" s="57">
        <v>3</v>
      </c>
      <c r="C50" s="5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12"/>
    </row>
    <row r="51" spans="2:55" s="56" customFormat="1" ht="15" customHeight="1">
      <c r="B51" s="57">
        <v>4</v>
      </c>
      <c r="C51" s="5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12"/>
    </row>
    <row r="52" spans="2:55" s="56" customFormat="1" ht="15" customHeight="1">
      <c r="B52" s="61">
        <v>5</v>
      </c>
      <c r="C52" s="5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12"/>
    </row>
    <row r="53" spans="2:55" s="56" customFormat="1" ht="15" customHeight="1">
      <c r="B53" s="61" t="s">
        <v>15</v>
      </c>
      <c r="C53" s="58" t="str">
        <f t="shared" ref="C53:AG53" si="0">IF(ISERR(AVERAGE(C48:C52))," ",AVERAGE(C48:C52))</f>
        <v xml:space="preserve"> </v>
      </c>
      <c r="D53" s="59" t="str">
        <f t="shared" si="0"/>
        <v xml:space="preserve"> </v>
      </c>
      <c r="E53" s="59" t="str">
        <f t="shared" si="0"/>
        <v xml:space="preserve"> </v>
      </c>
      <c r="F53" s="59" t="str">
        <f t="shared" si="0"/>
        <v xml:space="preserve"> </v>
      </c>
      <c r="G53" s="59" t="str">
        <f t="shared" si="0"/>
        <v xml:space="preserve"> </v>
      </c>
      <c r="H53" s="59" t="str">
        <f t="shared" si="0"/>
        <v xml:space="preserve"> </v>
      </c>
      <c r="I53" s="59" t="str">
        <f t="shared" si="0"/>
        <v xml:space="preserve"> </v>
      </c>
      <c r="J53" s="59" t="str">
        <f t="shared" si="0"/>
        <v xml:space="preserve"> </v>
      </c>
      <c r="K53" s="59" t="str">
        <f t="shared" si="0"/>
        <v xml:space="preserve"> </v>
      </c>
      <c r="L53" s="59" t="str">
        <f t="shared" si="0"/>
        <v xml:space="preserve"> </v>
      </c>
      <c r="M53" s="59" t="str">
        <f t="shared" si="0"/>
        <v xml:space="preserve"> </v>
      </c>
      <c r="N53" s="59" t="str">
        <f t="shared" si="0"/>
        <v xml:space="preserve"> </v>
      </c>
      <c r="O53" s="59" t="str">
        <f t="shared" si="0"/>
        <v xml:space="preserve"> </v>
      </c>
      <c r="P53" s="59" t="str">
        <f t="shared" si="0"/>
        <v xml:space="preserve"> </v>
      </c>
      <c r="Q53" s="59" t="str">
        <f t="shared" si="0"/>
        <v xml:space="preserve"> </v>
      </c>
      <c r="R53" s="59" t="str">
        <f t="shared" si="0"/>
        <v xml:space="preserve"> </v>
      </c>
      <c r="S53" s="59" t="str">
        <f t="shared" si="0"/>
        <v xml:space="preserve"> </v>
      </c>
      <c r="T53" s="59" t="str">
        <f t="shared" si="0"/>
        <v xml:space="preserve"> </v>
      </c>
      <c r="U53" s="59" t="str">
        <f t="shared" si="0"/>
        <v xml:space="preserve"> </v>
      </c>
      <c r="V53" s="59" t="str">
        <f t="shared" si="0"/>
        <v xml:space="preserve"> </v>
      </c>
      <c r="W53" s="59" t="str">
        <f t="shared" si="0"/>
        <v xml:space="preserve"> </v>
      </c>
      <c r="X53" s="59" t="str">
        <f t="shared" si="0"/>
        <v xml:space="preserve"> </v>
      </c>
      <c r="Y53" s="59" t="str">
        <f t="shared" si="0"/>
        <v xml:space="preserve"> </v>
      </c>
      <c r="Z53" s="59" t="str">
        <f t="shared" si="0"/>
        <v xml:space="preserve"> </v>
      </c>
      <c r="AA53" s="59" t="str">
        <f t="shared" si="0"/>
        <v xml:space="preserve"> </v>
      </c>
      <c r="AB53" s="59" t="str">
        <f t="shared" si="0"/>
        <v xml:space="preserve"> </v>
      </c>
      <c r="AC53" s="59" t="str">
        <f t="shared" si="0"/>
        <v xml:space="preserve"> </v>
      </c>
      <c r="AD53" s="59" t="str">
        <f t="shared" si="0"/>
        <v xml:space="preserve"> </v>
      </c>
      <c r="AE53" s="59" t="str">
        <f t="shared" si="0"/>
        <v xml:space="preserve"> </v>
      </c>
      <c r="AF53" s="59" t="str">
        <f t="shared" si="0"/>
        <v xml:space="preserve"> </v>
      </c>
      <c r="AG53" s="60" t="str">
        <f t="shared" si="0"/>
        <v xml:space="preserve"> </v>
      </c>
    </row>
    <row r="54" spans="2:55" s="56" customFormat="1" ht="15" customHeight="1">
      <c r="B54" s="61" t="s">
        <v>8</v>
      </c>
      <c r="C54" s="62">
        <f t="shared" ref="C54:AG54" si="1">MAX(C48:C52)-MIN(C48:C52)</f>
        <v>0</v>
      </c>
      <c r="D54" s="63">
        <f t="shared" si="1"/>
        <v>0</v>
      </c>
      <c r="E54" s="63">
        <f t="shared" si="1"/>
        <v>0</v>
      </c>
      <c r="F54" s="63">
        <f t="shared" si="1"/>
        <v>0</v>
      </c>
      <c r="G54" s="63">
        <f t="shared" si="1"/>
        <v>0</v>
      </c>
      <c r="H54" s="63">
        <f t="shared" si="1"/>
        <v>0</v>
      </c>
      <c r="I54" s="63">
        <f t="shared" si="1"/>
        <v>0</v>
      </c>
      <c r="J54" s="63">
        <f t="shared" si="1"/>
        <v>0</v>
      </c>
      <c r="K54" s="63">
        <f t="shared" si="1"/>
        <v>0</v>
      </c>
      <c r="L54" s="63">
        <f t="shared" si="1"/>
        <v>0</v>
      </c>
      <c r="M54" s="63">
        <f t="shared" si="1"/>
        <v>0</v>
      </c>
      <c r="N54" s="63">
        <f t="shared" si="1"/>
        <v>0</v>
      </c>
      <c r="O54" s="63">
        <f t="shared" si="1"/>
        <v>0</v>
      </c>
      <c r="P54" s="63">
        <f t="shared" si="1"/>
        <v>0</v>
      </c>
      <c r="Q54" s="63">
        <f t="shared" si="1"/>
        <v>0</v>
      </c>
      <c r="R54" s="109">
        <f t="shared" si="1"/>
        <v>0</v>
      </c>
      <c r="S54" s="109">
        <f t="shared" si="1"/>
        <v>0</v>
      </c>
      <c r="T54" s="109">
        <f t="shared" si="1"/>
        <v>0</v>
      </c>
      <c r="U54" s="109">
        <f t="shared" si="1"/>
        <v>0</v>
      </c>
      <c r="V54" s="109">
        <f t="shared" si="1"/>
        <v>0</v>
      </c>
      <c r="W54" s="109">
        <f t="shared" si="1"/>
        <v>0</v>
      </c>
      <c r="X54" s="109">
        <f t="shared" si="1"/>
        <v>0</v>
      </c>
      <c r="Y54" s="109">
        <f t="shared" si="1"/>
        <v>0</v>
      </c>
      <c r="Z54" s="109">
        <f t="shared" si="1"/>
        <v>0</v>
      </c>
      <c r="AA54" s="109">
        <f t="shared" si="1"/>
        <v>0</v>
      </c>
      <c r="AB54" s="109">
        <f t="shared" si="1"/>
        <v>0</v>
      </c>
      <c r="AC54" s="109">
        <f t="shared" si="1"/>
        <v>0</v>
      </c>
      <c r="AD54" s="109">
        <f t="shared" si="1"/>
        <v>0</v>
      </c>
      <c r="AE54" s="109">
        <f t="shared" si="1"/>
        <v>0</v>
      </c>
      <c r="AF54" s="109">
        <f t="shared" si="1"/>
        <v>0</v>
      </c>
      <c r="AG54" s="110">
        <f t="shared" si="1"/>
        <v>0</v>
      </c>
    </row>
    <row r="55" spans="2:55" s="56" customFormat="1" ht="20.100000000000001" customHeight="1">
      <c r="B55" s="64" t="s">
        <v>12</v>
      </c>
      <c r="C55" s="76"/>
      <c r="D55" s="77"/>
      <c r="E55" s="77"/>
      <c r="F55" s="77"/>
      <c r="G55" s="77"/>
      <c r="H55" s="77"/>
      <c r="I55" s="77"/>
      <c r="J55" s="77"/>
      <c r="K55" s="77"/>
      <c r="L55" s="77"/>
      <c r="M55" s="77"/>
      <c r="N55" s="77"/>
      <c r="O55" s="77"/>
      <c r="P55" s="77"/>
      <c r="Q55" s="77"/>
      <c r="R55" s="77"/>
      <c r="S55" s="77"/>
      <c r="T55" s="77"/>
      <c r="U55" s="77"/>
      <c r="V55" s="77"/>
      <c r="W55" s="77"/>
      <c r="X55" s="77"/>
      <c r="Y55" s="77"/>
      <c r="Z55" s="77"/>
      <c r="AA55" s="77"/>
      <c r="AB55" s="77"/>
      <c r="AC55" s="77"/>
      <c r="AD55" s="77"/>
      <c r="AE55" s="77"/>
      <c r="AF55" s="77"/>
      <c r="AG55" s="78"/>
    </row>
    <row r="56" spans="2:55" s="56" customFormat="1" ht="26.25" thickBot="1">
      <c r="B56" s="116" t="str">
        <f>'SJCPIL-R 16-303-03 - T1'!B56</f>
        <v>Visto do Lider / Sublíder</v>
      </c>
      <c r="C56" s="79"/>
      <c r="D56" s="80"/>
      <c r="E56" s="80"/>
      <c r="F56" s="80"/>
      <c r="G56" s="80"/>
      <c r="H56" s="80"/>
      <c r="I56" s="80"/>
      <c r="J56" s="80"/>
      <c r="K56" s="80"/>
      <c r="L56" s="80"/>
      <c r="M56" s="80"/>
      <c r="N56" s="80"/>
      <c r="O56" s="80"/>
      <c r="P56" s="80"/>
      <c r="Q56" s="80"/>
      <c r="R56" s="80"/>
      <c r="S56" s="80"/>
      <c r="T56" s="80"/>
      <c r="U56" s="80"/>
      <c r="V56" s="80"/>
      <c r="W56" s="80"/>
      <c r="X56" s="80"/>
      <c r="Y56" s="80"/>
      <c r="Z56" s="80"/>
      <c r="AA56" s="80"/>
      <c r="AB56" s="80"/>
      <c r="AC56" s="80"/>
      <c r="AD56" s="80"/>
      <c r="AE56" s="80"/>
      <c r="AF56" s="80"/>
      <c r="AG56" s="81"/>
    </row>
    <row r="57" spans="2:55" s="42" customFormat="1" ht="20.100000000000001" customHeight="1">
      <c r="B57" s="132" t="s">
        <v>27</v>
      </c>
      <c r="C57" s="133"/>
      <c r="D57" s="133"/>
      <c r="E57" s="134"/>
      <c r="F57" s="65" t="s">
        <v>30</v>
      </c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  <c r="AE57" s="49"/>
      <c r="AF57" s="49"/>
      <c r="AG57" s="50"/>
    </row>
    <row r="58" spans="2:55" s="42" customFormat="1" ht="20.100000000000001" customHeight="1">
      <c r="B58" s="66"/>
      <c r="C58" s="32" t="s">
        <v>29</v>
      </c>
      <c r="D58" s="32"/>
      <c r="E58" s="46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2"/>
    </row>
    <row r="59" spans="2:55" s="42" customFormat="1" ht="20.100000000000001" customHeight="1">
      <c r="B59" s="135" t="s">
        <v>28</v>
      </c>
      <c r="C59" s="136"/>
      <c r="D59" s="136"/>
      <c r="E59" s="46"/>
      <c r="F59" s="1"/>
      <c r="G59" s="1"/>
      <c r="H59" s="1"/>
      <c r="I59" s="1"/>
      <c r="J59" s="1"/>
      <c r="K59" s="1"/>
      <c r="L59" s="1"/>
      <c r="M59" s="1"/>
      <c r="N59" s="1"/>
      <c r="O59" s="11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2"/>
    </row>
    <row r="60" spans="2:55" s="42" customFormat="1" ht="20.100000000000001" customHeight="1" thickBot="1">
      <c r="B60" s="67"/>
      <c r="C60" s="68" t="s">
        <v>15</v>
      </c>
      <c r="D60" s="52"/>
      <c r="E60" s="5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4"/>
    </row>
    <row r="61" spans="2:55" s="42" customFormat="1" ht="7.5" customHeight="1"/>
    <row r="62" spans="2:55" s="42" customFormat="1" ht="15.75">
      <c r="B62" s="137" t="s">
        <v>32</v>
      </c>
      <c r="C62" s="120"/>
      <c r="D62" s="120"/>
      <c r="E62" s="120"/>
      <c r="F62" s="120"/>
      <c r="G62" s="118" t="s">
        <v>16</v>
      </c>
      <c r="H62" s="118"/>
      <c r="I62" s="118"/>
      <c r="J62" s="118"/>
      <c r="K62" s="127"/>
      <c r="L62" s="118" t="s">
        <v>33</v>
      </c>
      <c r="M62" s="118"/>
      <c r="N62" s="118"/>
      <c r="O62" s="118"/>
      <c r="P62" s="118"/>
      <c r="Q62" s="118"/>
      <c r="R62" s="118"/>
      <c r="S62" s="120" t="s">
        <v>44</v>
      </c>
      <c r="T62" s="120"/>
      <c r="U62" s="120"/>
      <c r="V62" s="120"/>
      <c r="W62" s="122" t="s">
        <v>45</v>
      </c>
      <c r="X62" s="120"/>
      <c r="Y62" s="120"/>
      <c r="Z62" s="120"/>
      <c r="AA62" s="120"/>
      <c r="AB62" s="120"/>
      <c r="AC62" s="120" t="s">
        <v>16</v>
      </c>
      <c r="AD62" s="120"/>
      <c r="AE62" s="120"/>
      <c r="AF62" s="120"/>
      <c r="AG62" s="124"/>
      <c r="AH62" s="69"/>
      <c r="AI62" s="69"/>
      <c r="AJ62" s="69"/>
      <c r="AK62" s="69"/>
      <c r="AL62" s="69"/>
      <c r="AM62" s="69"/>
      <c r="AN62" s="69"/>
      <c r="AO62" s="69"/>
      <c r="AP62" s="69"/>
      <c r="AQ62" s="69"/>
      <c r="AR62" s="69"/>
      <c r="AS62" s="69"/>
      <c r="AT62" s="69"/>
      <c r="AU62" s="69"/>
      <c r="AV62" s="69"/>
      <c r="AW62" s="69"/>
      <c r="AX62" s="69"/>
      <c r="AY62" s="69"/>
      <c r="AZ62" s="69"/>
      <c r="BA62" s="69"/>
      <c r="BB62" s="69"/>
      <c r="BC62" s="69"/>
    </row>
    <row r="63" spans="2:55" s="42" customFormat="1" ht="15.75">
      <c r="B63" s="138"/>
      <c r="C63" s="121"/>
      <c r="D63" s="121"/>
      <c r="E63" s="121"/>
      <c r="F63" s="121"/>
      <c r="G63" s="119"/>
      <c r="H63" s="119"/>
      <c r="I63" s="119"/>
      <c r="J63" s="119"/>
      <c r="K63" s="128"/>
      <c r="L63" s="119"/>
      <c r="M63" s="119"/>
      <c r="N63" s="119"/>
      <c r="O63" s="119"/>
      <c r="P63" s="119"/>
      <c r="Q63" s="119"/>
      <c r="R63" s="119"/>
      <c r="S63" s="121"/>
      <c r="T63" s="121"/>
      <c r="U63" s="121"/>
      <c r="V63" s="121"/>
      <c r="W63" s="123"/>
      <c r="X63" s="121"/>
      <c r="Y63" s="121"/>
      <c r="Z63" s="121"/>
      <c r="AA63" s="121"/>
      <c r="AB63" s="121"/>
      <c r="AC63" s="121"/>
      <c r="AD63" s="121"/>
      <c r="AE63" s="121"/>
      <c r="AF63" s="121"/>
      <c r="AG63" s="125"/>
      <c r="AH63" s="69"/>
      <c r="AI63" s="69"/>
      <c r="AJ63" s="69"/>
      <c r="AK63" s="69"/>
      <c r="AL63" s="69"/>
      <c r="AM63" s="69"/>
      <c r="AN63" s="69"/>
      <c r="AO63" s="69"/>
      <c r="AP63" s="69"/>
      <c r="AQ63" s="69"/>
      <c r="AR63" s="69"/>
      <c r="AS63" s="69"/>
      <c r="AT63" s="69"/>
      <c r="AU63" s="69"/>
      <c r="AV63" s="69"/>
      <c r="AW63" s="69"/>
      <c r="AX63" s="69"/>
      <c r="AY63" s="69"/>
      <c r="AZ63" s="69"/>
      <c r="BA63" s="69"/>
      <c r="BB63" s="69"/>
      <c r="BC63" s="69"/>
    </row>
    <row r="64" spans="2:55" ht="14.25">
      <c r="B64" s="70"/>
      <c r="C64" s="71"/>
      <c r="D64" s="71"/>
      <c r="E64" s="71"/>
      <c r="F64" s="71"/>
      <c r="G64" s="71"/>
      <c r="H64" s="71"/>
      <c r="I64" s="71"/>
      <c r="J64" s="71"/>
      <c r="K64" s="71"/>
      <c r="L64" s="71"/>
      <c r="M64" s="71"/>
      <c r="N64" s="71"/>
      <c r="O64" s="71"/>
      <c r="P64" s="71"/>
      <c r="Q64" s="71"/>
      <c r="R64" s="71"/>
      <c r="S64" s="71"/>
      <c r="T64" s="71"/>
      <c r="U64" s="71"/>
      <c r="V64" s="71"/>
      <c r="W64" s="71"/>
      <c r="X64" s="71"/>
      <c r="Y64" s="71"/>
      <c r="Z64" s="71"/>
      <c r="AA64" s="71"/>
      <c r="AB64" s="71"/>
      <c r="AC64" s="71"/>
      <c r="AD64" s="71"/>
      <c r="AE64" s="71"/>
      <c r="AF64" s="71"/>
      <c r="AG64" s="71"/>
      <c r="AH64" s="71"/>
      <c r="AI64" s="71"/>
      <c r="AJ64" s="71"/>
      <c r="AK64" s="71"/>
      <c r="AL64" s="71"/>
      <c r="AM64" s="71"/>
      <c r="AN64" s="71"/>
      <c r="AO64" s="71"/>
      <c r="AP64" s="71"/>
      <c r="AQ64" s="71"/>
      <c r="AR64" s="70"/>
      <c r="AS64" s="126"/>
      <c r="AT64" s="126"/>
      <c r="AU64" s="126"/>
      <c r="AV64" s="126"/>
      <c r="AW64" s="126"/>
      <c r="AX64" s="126"/>
      <c r="AY64" s="126"/>
      <c r="AZ64" s="126"/>
      <c r="BA64" s="126"/>
      <c r="BB64" s="126"/>
      <c r="BC64" s="126"/>
    </row>
    <row r="65" spans="2:5">
      <c r="B65" s="13" t="s">
        <v>19</v>
      </c>
    </row>
    <row r="66" spans="2:5">
      <c r="B66" s="13" t="s">
        <v>17</v>
      </c>
      <c r="C66" s="72" t="e">
        <f>AVERAGE(C53:AG53)+0.577*C69</f>
        <v>#DIV/0!</v>
      </c>
    </row>
    <row r="67" spans="2:5">
      <c r="B67" s="13" t="s">
        <v>2</v>
      </c>
      <c r="C67" s="72" t="e">
        <f>AVERAGE(C53:AG53)</f>
        <v>#DIV/0!</v>
      </c>
      <c r="D67" s="73" t="s">
        <v>23</v>
      </c>
      <c r="E67" s="13" t="e">
        <f>STDEV(C48:AF52)</f>
        <v>#DIV/0!</v>
      </c>
    </row>
    <row r="68" spans="2:5">
      <c r="B68" s="13" t="s">
        <v>18</v>
      </c>
      <c r="C68" s="72" t="e">
        <f>C67-0.577*C69</f>
        <v>#DIV/0!</v>
      </c>
    </row>
    <row r="69" spans="2:5">
      <c r="B69" s="13" t="s">
        <v>8</v>
      </c>
      <c r="C69" s="72" t="e">
        <f>2.115*(SUM(C54:AG54)/COUNTIF(C54:AG54,"&lt;&gt;0"))</f>
        <v>#DIV/0!</v>
      </c>
    </row>
    <row r="71" spans="2:5">
      <c r="B71" s="13" t="s">
        <v>20</v>
      </c>
    </row>
    <row r="73" spans="2:5">
      <c r="B73" s="13" t="s">
        <v>21</v>
      </c>
      <c r="C73" s="72" t="e">
        <f>E7/(6*E67)</f>
        <v>#DIV/0!</v>
      </c>
    </row>
    <row r="74" spans="2:5">
      <c r="B74" s="13" t="s">
        <v>22</v>
      </c>
      <c r="C74" s="72" t="e">
        <f>MIN((E4-C67)/(3*E67),(C67-E6)/(3*E67))</f>
        <v>#DIV/0!</v>
      </c>
    </row>
    <row r="75" spans="2:5">
      <c r="C75" s="13">
        <f>COUNTIF(C10:AG10,"&gt;0")</f>
        <v>0</v>
      </c>
    </row>
  </sheetData>
  <sheetProtection algorithmName="SHA-512" hashValue="T7LIwtlW2E/zdWAX9XuEgQC9/1MryL9O2D8Z1MFjsXulyEwHKMCa/GxF7zdPH84wUa3+wi/jwFaJANFQLEVUHg==" saltValue="zDOr33Nq/l85n+CK0Om4Sw==" spinCount="100000" sheet="1" objects="1" scenarios="1" selectLockedCells="1"/>
  <mergeCells count="29">
    <mergeCell ref="B21:B22"/>
    <mergeCell ref="I2:J3"/>
    <mergeCell ref="K2:L3"/>
    <mergeCell ref="M2:Q3"/>
    <mergeCell ref="R2:T2"/>
    <mergeCell ref="R3:T3"/>
    <mergeCell ref="AD4:AG5"/>
    <mergeCell ref="B13:B14"/>
    <mergeCell ref="B15:B16"/>
    <mergeCell ref="B17:B18"/>
    <mergeCell ref="B19:B20"/>
    <mergeCell ref="Z4:AC5"/>
    <mergeCell ref="G62:K63"/>
    <mergeCell ref="B23:B24"/>
    <mergeCell ref="B25:B26"/>
    <mergeCell ref="B27:B28"/>
    <mergeCell ref="B29:B30"/>
    <mergeCell ref="B31:B32"/>
    <mergeCell ref="B33:B34"/>
    <mergeCell ref="B36:B37"/>
    <mergeCell ref="B41:B42"/>
    <mergeCell ref="B57:E57"/>
    <mergeCell ref="B59:D59"/>
    <mergeCell ref="B62:F63"/>
    <mergeCell ref="L62:R63"/>
    <mergeCell ref="S62:V63"/>
    <mergeCell ref="W62:AB63"/>
    <mergeCell ref="AC62:AG63"/>
    <mergeCell ref="AS64:BC64"/>
  </mergeCells>
  <conditionalFormatting sqref="C48:AG52">
    <cfRule type="expression" dxfId="1" priority="1">
      <formula>(C48&gt;$G$4)*(C48&lt;&gt;0)</formula>
    </cfRule>
    <cfRule type="expression" dxfId="0" priority="2">
      <formula>(C48&lt;$G$6)*(C48&lt;&gt;0)</formula>
    </cfRule>
  </conditionalFormatting>
  <dataValidations count="3">
    <dataValidation type="whole" showErrorMessage="1" errorTitle="Data" error="Digite apenas o dia entre 1 e 31" sqref="C10:D10" xr:uid="{00000000-0002-0000-0300-000000000000}">
      <formula1>1</formula1>
      <formula2>31</formula2>
    </dataValidation>
    <dataValidation type="list" showErrorMessage="1" promptTitle="Turno" prompt="Escolha" sqref="C11:AG11" xr:uid="{00000000-0002-0000-0300-000001000000}">
      <formula1>Turnos</formula1>
    </dataValidation>
    <dataValidation type="whole" showInputMessage="1" showErrorMessage="1" errorTitle="Data" error="Digite apenas o dia entre 1 e 31" sqref="E10:AG10" xr:uid="{00000000-0002-0000-0300-000002000000}">
      <formula1>1</formula1>
      <formula2>31</formula2>
    </dataValidation>
  </dataValidations>
  <printOptions horizontalCentered="1"/>
  <pageMargins left="0" right="0" top="0.59055118110236227" bottom="0.39370078740157483" header="0.39370078740157483" footer="0.23622047244094491"/>
  <pageSetup paperSize="9" scale="62" orientation="landscape" r:id="rId1"/>
  <headerFooter alignWithMargins="0">
    <oddFooter xml:space="preserve">&amp;RSJCPIL-R AA-XXX-RR 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3</vt:i4>
      </vt:variant>
    </vt:vector>
  </HeadingPairs>
  <TitlesOfParts>
    <vt:vector size="7" baseType="lpstr">
      <vt:lpstr>Configurações</vt:lpstr>
      <vt:lpstr>SJCPIL-R 16-303-03 - T1</vt:lpstr>
      <vt:lpstr>SJCPIL-R 16-304-03</vt:lpstr>
      <vt:lpstr>SJCPIL-R 16-308-02</vt:lpstr>
      <vt:lpstr>'SJCPIL-R 16-303-03 - T1'!Area_de_impressao</vt:lpstr>
      <vt:lpstr>'SJCPIL-R 16-304-03'!Area_de_impressao</vt:lpstr>
      <vt:lpstr>'SJCPIL-R 16-308-02'!Area_de_impressao</vt:lpstr>
    </vt:vector>
  </TitlesOfParts>
  <Company>Panasonic do Brasil LTDA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TSAITO</dc:creator>
  <cp:lastModifiedBy>Osvaldo Martins Torquati</cp:lastModifiedBy>
  <cp:lastPrinted>2019-08-08T11:18:47Z</cp:lastPrinted>
  <dcterms:created xsi:type="dcterms:W3CDTF">2006-05-22T13:55:53Z</dcterms:created>
  <dcterms:modified xsi:type="dcterms:W3CDTF">2022-02-18T18:10:40Z</dcterms:modified>
</cp:coreProperties>
</file>